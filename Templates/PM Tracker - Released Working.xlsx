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April\"/>
    </mc:Choice>
  </mc:AlternateContent>
  <xr:revisionPtr revIDLastSave="0" documentId="13_ncr:1_{2E17D0D0-1D06-404B-80FA-4E185C3A9A9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rawing Submittal" sheetId="2" r:id="rId1"/>
    <sheet name="Cust Dwg Return" sheetId="3" r:id="rId2"/>
    <sheet name="RTR v2" sheetId="6" r:id="rId3"/>
    <sheet name="Actual Dates" sheetId="12" r:id="rId4"/>
    <sheet name="Change Order (3)" sheetId="15" state="hidden" r:id="rId5"/>
    <sheet name="Date" sheetId="4" state="hidden" r:id="rId6"/>
    <sheet name="Date Calcs" sheetId="11" r:id="rId7"/>
    <sheet name="Date Calcs from Ship Date" sheetId="16" r:id="rId8"/>
    <sheet name="OGSM 2019" sheetId="13" state="hidden" r:id="rId9"/>
    <sheet name="DRAWING EFFICIENCY" sheetId="14" state="hidden" r:id="rId10"/>
  </sheets>
  <externalReferences>
    <externalReference r:id="rId11"/>
  </externalReferences>
  <definedNames>
    <definedName name="_xlnm._FilterDatabase" localSheetId="1" hidden="1">'Cust Dwg Return'!$A$5:$J$71</definedName>
    <definedName name="_xlnm._FilterDatabase" localSheetId="0" hidden="1">'Drawing Submittal'!$A$5:$J$67</definedName>
    <definedName name="Dates" localSheetId="9">'[1]Actual Dates'!$A$4:$AB$349</definedName>
    <definedName name="Dates" localSheetId="8">'[1]Actual Dates'!$A$4:$AB$349</definedName>
    <definedName name="Dates">'Actual Dates'!$A$4:$AF$157</definedName>
    <definedName name="Jobs" localSheetId="9">'[1]Date Calcs'!$A$4:$AB$349</definedName>
    <definedName name="Jobs" localSheetId="8">'[1]Date Calcs'!$A$4:$AB$349</definedName>
    <definedName name="Jobs">'Date Calcs'!$A$5:$AF$133</definedName>
    <definedName name="_xlnm.Print_Area" localSheetId="3">'Actual Dates'!#REF!</definedName>
    <definedName name="_xlnm.Print_Area" localSheetId="1">'Cust Dwg Return'!$A$1:$G$6</definedName>
    <definedName name="_xlnm.Print_Area" localSheetId="9">'DRAWING EFFICIENCY'!#REF!</definedName>
    <definedName name="_xlnm.Print_Area" localSheetId="0">'Drawing Submittal'!$A$1:$G$8</definedName>
    <definedName name="_xlnm.Print_Area" localSheetId="8">'OGSM 2019'!$A$1:$S$46</definedName>
    <definedName name="_xlnm.Print_Area" localSheetId="2">'RTR v2'!$A$1:$AG$6</definedName>
    <definedName name="_xlnm.Print_Titles" localSheetId="3">'Actual Dates'!$A:$G,'Actual Dates'!$1:$3</definedName>
    <definedName name="_xlnm.Print_Titles" localSheetId="0">'Drawing Submittal'!$1:$5</definedName>
    <definedName name="_xlnm.Print_Titles" localSheetId="2">'RTR v2'!$1:$5</definedName>
    <definedName name="Ship" localSheetId="7">'Date Calcs from Ship Date'!$A$5:$AE$133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16" l="1"/>
  <c r="AD6" i="16"/>
  <c r="AD7" i="16"/>
  <c r="AD8" i="16"/>
  <c r="AD9" i="16"/>
  <c r="AD10" i="16"/>
  <c r="AD11" i="16"/>
  <c r="AD12" i="16"/>
  <c r="AD13" i="16"/>
  <c r="AD14" i="16"/>
  <c r="AD15" i="16"/>
  <c r="AD16" i="16"/>
  <c r="AD17" i="16"/>
  <c r="AD18" i="16"/>
  <c r="AD19" i="16"/>
  <c r="AD20" i="16"/>
  <c r="AA20" i="16" s="1"/>
  <c r="AD21" i="16"/>
  <c r="AD22" i="16"/>
  <c r="AD23" i="16"/>
  <c r="AA23" i="16" s="1"/>
  <c r="AD24" i="16"/>
  <c r="AD25" i="16"/>
  <c r="AA25" i="16" s="1"/>
  <c r="AD26" i="16"/>
  <c r="AD27" i="16"/>
  <c r="AD28" i="16"/>
  <c r="AA28" i="16" s="1"/>
  <c r="AD29" i="16"/>
  <c r="AD30" i="16"/>
  <c r="AD31" i="16"/>
  <c r="AC31" i="16" s="1"/>
  <c r="AD32" i="16"/>
  <c r="AD33" i="16"/>
  <c r="AC33" i="16" s="1"/>
  <c r="AD34" i="16"/>
  <c r="AD35" i="16"/>
  <c r="AA35" i="16" s="1"/>
  <c r="AD36" i="16"/>
  <c r="AA36" i="16" s="1"/>
  <c r="AD37" i="16"/>
  <c r="AD38" i="16"/>
  <c r="AD39" i="16"/>
  <c r="AC39" i="16" s="1"/>
  <c r="AD40" i="16"/>
  <c r="AD41" i="16"/>
  <c r="AA41" i="16" s="1"/>
  <c r="AD42" i="16"/>
  <c r="AD43" i="16"/>
  <c r="AD44" i="16"/>
  <c r="AC44" i="16" s="1"/>
  <c r="AD45" i="16"/>
  <c r="AD46" i="16"/>
  <c r="AD47" i="16"/>
  <c r="AC47" i="16" s="1"/>
  <c r="AD48" i="16"/>
  <c r="AD49" i="16"/>
  <c r="AC49" i="16" s="1"/>
  <c r="AD50" i="16"/>
  <c r="AD51" i="16"/>
  <c r="AD52" i="16"/>
  <c r="AA52" i="16" s="1"/>
  <c r="AD53" i="16"/>
  <c r="AD54" i="16"/>
  <c r="AD55" i="16"/>
  <c r="AA55" i="16" s="1"/>
  <c r="AD56" i="16"/>
  <c r="AD57" i="16"/>
  <c r="AA57" i="16" s="1"/>
  <c r="AD58" i="16"/>
  <c r="AD59" i="16"/>
  <c r="AD60" i="16"/>
  <c r="AA60" i="16" s="1"/>
  <c r="AC24" i="16"/>
  <c r="AA27" i="16"/>
  <c r="AC32" i="16"/>
  <c r="AC40" i="16"/>
  <c r="AA43" i="16"/>
  <c r="AC48" i="16"/>
  <c r="AC51" i="16"/>
  <c r="AC55" i="16"/>
  <c r="AC56" i="16"/>
  <c r="AA59" i="16"/>
  <c r="AA21" i="16"/>
  <c r="AA22" i="16"/>
  <c r="AA24" i="16"/>
  <c r="AA26" i="16"/>
  <c r="AA29" i="16"/>
  <c r="AA30" i="16"/>
  <c r="AA32" i="16"/>
  <c r="AA33" i="16"/>
  <c r="AA34" i="16"/>
  <c r="AA37" i="16"/>
  <c r="AA38" i="16"/>
  <c r="AA39" i="16"/>
  <c r="AA40" i="16"/>
  <c r="AA42" i="16"/>
  <c r="AA45" i="16"/>
  <c r="AA46" i="16"/>
  <c r="AA48" i="16"/>
  <c r="AA50" i="16"/>
  <c r="AA51" i="16"/>
  <c r="AA53" i="16"/>
  <c r="AA54" i="16"/>
  <c r="AA56" i="16"/>
  <c r="AA58" i="16"/>
  <c r="AC21" i="16"/>
  <c r="AC22" i="16"/>
  <c r="AC26" i="16"/>
  <c r="AC29" i="16"/>
  <c r="AC30" i="16"/>
  <c r="AC34" i="16"/>
  <c r="AC37" i="16"/>
  <c r="AC38" i="16"/>
  <c r="AC42" i="16"/>
  <c r="AC45" i="16"/>
  <c r="AC46" i="16"/>
  <c r="AC50" i="16"/>
  <c r="AC52" i="16"/>
  <c r="AC53" i="16"/>
  <c r="AC54" i="16"/>
  <c r="AC57" i="16"/>
  <c r="AC58" i="1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R20" i="6"/>
  <c r="Q21" i="6"/>
  <c r="R21" i="6"/>
  <c r="Q22" i="6"/>
  <c r="R22" i="6"/>
  <c r="Q23" i="6"/>
  <c r="R23" i="6"/>
  <c r="Q24" i="6"/>
  <c r="R24" i="6"/>
  <c r="Q25" i="6"/>
  <c r="R25" i="6"/>
  <c r="Q26" i="6"/>
  <c r="R26" i="6"/>
  <c r="Q27" i="6"/>
  <c r="Q28" i="6"/>
  <c r="Q29" i="6"/>
  <c r="R29" i="6"/>
  <c r="Q30" i="6"/>
  <c r="R30" i="6"/>
  <c r="Q31" i="6"/>
  <c r="R31" i="6"/>
  <c r="Q32" i="6"/>
  <c r="R32" i="6"/>
  <c r="Q33" i="6"/>
  <c r="Q34" i="6"/>
  <c r="Q35" i="6"/>
  <c r="R35" i="6"/>
  <c r="Q36" i="6"/>
  <c r="R36" i="6"/>
  <c r="Q37" i="6"/>
  <c r="R37" i="6"/>
  <c r="Q38" i="6"/>
  <c r="R38" i="6"/>
  <c r="Q39" i="6"/>
  <c r="R39" i="6"/>
  <c r="Q40" i="6"/>
  <c r="R40" i="6"/>
  <c r="Q41" i="6"/>
  <c r="R41" i="6"/>
  <c r="Q42" i="6"/>
  <c r="R42" i="6"/>
  <c r="Q43" i="6"/>
  <c r="R43" i="6"/>
  <c r="Q44" i="6"/>
  <c r="R44" i="6"/>
  <c r="Q45" i="6"/>
  <c r="R45" i="6"/>
  <c r="Q46" i="6"/>
  <c r="R46" i="6"/>
  <c r="Q47" i="6"/>
  <c r="R47" i="6"/>
  <c r="Q48" i="6"/>
  <c r="R48" i="6"/>
  <c r="Q49" i="6"/>
  <c r="R49" i="6"/>
  <c r="Q50" i="6"/>
  <c r="R50" i="6"/>
  <c r="Q51" i="6"/>
  <c r="R51" i="6"/>
  <c r="Q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T20" i="6"/>
  <c r="S21" i="6"/>
  <c r="T21" i="6"/>
  <c r="S22" i="6"/>
  <c r="T22" i="6"/>
  <c r="S23" i="6"/>
  <c r="T23" i="6"/>
  <c r="S24" i="6"/>
  <c r="T24" i="6"/>
  <c r="S25" i="6"/>
  <c r="T25" i="6"/>
  <c r="S26" i="6"/>
  <c r="T26" i="6"/>
  <c r="S27" i="6"/>
  <c r="S28" i="6"/>
  <c r="S29" i="6"/>
  <c r="T29" i="6"/>
  <c r="S30" i="6"/>
  <c r="T30" i="6"/>
  <c r="S31" i="6"/>
  <c r="T31" i="6"/>
  <c r="S32" i="6"/>
  <c r="T32" i="6"/>
  <c r="S33" i="6"/>
  <c r="S34" i="6"/>
  <c r="S35" i="6"/>
  <c r="T35" i="6"/>
  <c r="S36" i="6"/>
  <c r="T36" i="6"/>
  <c r="S37" i="6"/>
  <c r="T37" i="6"/>
  <c r="S38" i="6"/>
  <c r="T38" i="6"/>
  <c r="S39" i="6"/>
  <c r="T39" i="6"/>
  <c r="S40" i="6"/>
  <c r="T40" i="6"/>
  <c r="S41" i="6"/>
  <c r="T41" i="6"/>
  <c r="S42" i="6"/>
  <c r="T42" i="6"/>
  <c r="S43" i="6"/>
  <c r="T43" i="6"/>
  <c r="S44" i="6"/>
  <c r="T44" i="6"/>
  <c r="S45" i="6"/>
  <c r="T45" i="6"/>
  <c r="S46" i="6"/>
  <c r="T46" i="6"/>
  <c r="S47" i="6"/>
  <c r="T47" i="6"/>
  <c r="S48" i="6"/>
  <c r="T48" i="6"/>
  <c r="S49" i="6"/>
  <c r="T49" i="6"/>
  <c r="S50" i="6"/>
  <c r="T50" i="6"/>
  <c r="S51" i="6"/>
  <c r="T51" i="6"/>
  <c r="S6" i="6"/>
  <c r="W7" i="6"/>
  <c r="W8" i="6"/>
  <c r="W9" i="6"/>
  <c r="W10" i="6"/>
  <c r="W11" i="6"/>
  <c r="W12" i="6"/>
  <c r="W13" i="6"/>
  <c r="W14" i="6"/>
  <c r="W15" i="6"/>
  <c r="W16" i="6"/>
  <c r="W17" i="6"/>
  <c r="X17" i="6"/>
  <c r="W18" i="6"/>
  <c r="W19" i="6"/>
  <c r="W20" i="6"/>
  <c r="X20" i="6"/>
  <c r="W21" i="6"/>
  <c r="X21" i="6"/>
  <c r="W22" i="6"/>
  <c r="X22" i="6"/>
  <c r="W23" i="6"/>
  <c r="X23" i="6"/>
  <c r="W24" i="6"/>
  <c r="X24" i="6"/>
  <c r="W25" i="6"/>
  <c r="X25" i="6"/>
  <c r="W26" i="6"/>
  <c r="X26" i="6"/>
  <c r="W27" i="6"/>
  <c r="W28" i="6"/>
  <c r="W29" i="6"/>
  <c r="X29" i="6"/>
  <c r="W30" i="6"/>
  <c r="X30" i="6"/>
  <c r="W31" i="6"/>
  <c r="X31" i="6"/>
  <c r="W32" i="6"/>
  <c r="X32" i="6"/>
  <c r="W33" i="6"/>
  <c r="W34" i="6"/>
  <c r="W35" i="6"/>
  <c r="W36" i="6"/>
  <c r="X36" i="6"/>
  <c r="W37" i="6"/>
  <c r="X37" i="6"/>
  <c r="W38" i="6"/>
  <c r="X38" i="6"/>
  <c r="W39" i="6"/>
  <c r="X39" i="6"/>
  <c r="W40" i="6"/>
  <c r="X40" i="6"/>
  <c r="W41" i="6"/>
  <c r="X41" i="6"/>
  <c r="W42" i="6"/>
  <c r="X42" i="6"/>
  <c r="W43" i="6"/>
  <c r="X43" i="6"/>
  <c r="W44" i="6"/>
  <c r="X44" i="6"/>
  <c r="W45" i="6"/>
  <c r="X45" i="6"/>
  <c r="W46" i="6"/>
  <c r="X46" i="6"/>
  <c r="W47" i="6"/>
  <c r="X47" i="6"/>
  <c r="W48" i="6"/>
  <c r="X48" i="6"/>
  <c r="W49" i="6"/>
  <c r="X49" i="6"/>
  <c r="W50" i="6"/>
  <c r="X50" i="6"/>
  <c r="W51" i="6"/>
  <c r="X51" i="6"/>
  <c r="W6" i="6"/>
  <c r="Y7" i="6"/>
  <c r="Y8" i="6"/>
  <c r="Z8" i="6"/>
  <c r="Y9" i="6"/>
  <c r="Y10" i="6"/>
  <c r="Y11" i="6"/>
  <c r="AH11" i="6" s="1"/>
  <c r="Y12" i="6"/>
  <c r="Y13" i="6"/>
  <c r="Y14" i="6"/>
  <c r="Y15" i="6"/>
  <c r="AH15" i="6" s="1"/>
  <c r="Y16" i="6"/>
  <c r="Y17" i="6"/>
  <c r="Y18" i="6"/>
  <c r="Y19" i="6"/>
  <c r="Y20" i="6"/>
  <c r="Z20" i="6"/>
  <c r="Y21" i="6"/>
  <c r="Z21" i="6"/>
  <c r="Y22" i="6"/>
  <c r="Z22" i="6"/>
  <c r="Y23" i="6"/>
  <c r="Z23" i="6"/>
  <c r="Y24" i="6"/>
  <c r="Z24" i="6"/>
  <c r="Y25" i="6"/>
  <c r="Z25" i="6"/>
  <c r="Y26" i="6"/>
  <c r="Z26" i="6"/>
  <c r="Y27" i="6"/>
  <c r="Z27" i="6"/>
  <c r="Y28" i="6"/>
  <c r="Z28" i="6"/>
  <c r="Y29" i="6"/>
  <c r="Z29" i="6"/>
  <c r="Y30" i="6"/>
  <c r="Z30" i="6"/>
  <c r="Y31" i="6"/>
  <c r="Z31" i="6"/>
  <c r="Y32" i="6"/>
  <c r="Z32" i="6"/>
  <c r="Y33" i="6"/>
  <c r="Z33" i="6"/>
  <c r="Y34" i="6"/>
  <c r="Y35" i="6"/>
  <c r="Y36" i="6"/>
  <c r="Z36" i="6"/>
  <c r="Y37" i="6"/>
  <c r="Z37" i="6"/>
  <c r="Y38" i="6"/>
  <c r="Z38" i="6"/>
  <c r="Y39" i="6"/>
  <c r="Z39" i="6"/>
  <c r="Y40" i="6"/>
  <c r="Z40" i="6"/>
  <c r="Y41" i="6"/>
  <c r="Z41" i="6"/>
  <c r="Y42" i="6"/>
  <c r="Z42" i="6"/>
  <c r="Y43" i="6"/>
  <c r="Z43" i="6"/>
  <c r="Y44" i="6"/>
  <c r="Z44" i="6"/>
  <c r="Y45" i="6"/>
  <c r="Z45" i="6"/>
  <c r="Y46" i="6"/>
  <c r="Z46" i="6"/>
  <c r="Y47" i="6"/>
  <c r="Z47" i="6"/>
  <c r="Y48" i="6"/>
  <c r="Z48" i="6"/>
  <c r="Y49" i="6"/>
  <c r="Z49" i="6"/>
  <c r="Y50" i="6"/>
  <c r="Z50" i="6"/>
  <c r="Y51" i="6"/>
  <c r="Z51" i="6"/>
  <c r="Y6" i="6"/>
  <c r="AA7" i="6"/>
  <c r="AL7" i="6" s="1"/>
  <c r="AM7" i="6" s="1"/>
  <c r="AA8" i="6"/>
  <c r="AA9" i="6"/>
  <c r="AA10" i="6"/>
  <c r="AA11" i="6"/>
  <c r="AA12" i="6"/>
  <c r="AA13" i="6"/>
  <c r="AA14" i="6"/>
  <c r="AA15" i="6"/>
  <c r="AL15" i="6" s="1"/>
  <c r="AM15" i="6" s="1"/>
  <c r="AA16" i="6"/>
  <c r="AA17" i="6"/>
  <c r="AB17" i="6"/>
  <c r="AA18" i="6"/>
  <c r="AA19" i="6"/>
  <c r="AA20" i="6"/>
  <c r="AB20" i="6"/>
  <c r="AA21" i="6"/>
  <c r="AB21" i="6"/>
  <c r="AA22" i="6"/>
  <c r="AB22" i="6"/>
  <c r="AA23" i="6"/>
  <c r="AB23" i="6"/>
  <c r="AA24" i="6"/>
  <c r="AB24" i="6"/>
  <c r="AA25" i="6"/>
  <c r="AB25" i="6"/>
  <c r="AA26" i="6"/>
  <c r="AB26" i="6"/>
  <c r="AA27" i="6"/>
  <c r="AB27" i="6"/>
  <c r="AA28" i="6"/>
  <c r="AB28" i="6"/>
  <c r="AA29" i="6"/>
  <c r="AB29" i="6"/>
  <c r="AA30" i="6"/>
  <c r="AB30" i="6"/>
  <c r="AA31" i="6"/>
  <c r="AB31" i="6"/>
  <c r="AA32" i="6"/>
  <c r="AB32" i="6"/>
  <c r="AA33" i="6"/>
  <c r="AB33" i="6"/>
  <c r="AA34" i="6"/>
  <c r="AA35" i="6"/>
  <c r="AB35" i="6"/>
  <c r="AA36" i="6"/>
  <c r="AB36" i="6"/>
  <c r="AA37" i="6"/>
  <c r="AB37" i="6"/>
  <c r="AA38" i="6"/>
  <c r="AB38" i="6"/>
  <c r="AA39" i="6"/>
  <c r="AB39" i="6"/>
  <c r="AA40" i="6"/>
  <c r="AB40" i="6"/>
  <c r="AA41" i="6"/>
  <c r="AB41" i="6"/>
  <c r="AA42" i="6"/>
  <c r="AB42" i="6"/>
  <c r="AA43" i="6"/>
  <c r="AB43" i="6"/>
  <c r="AA44" i="6"/>
  <c r="AB44" i="6"/>
  <c r="AA45" i="6"/>
  <c r="AB45" i="6"/>
  <c r="AA46" i="6"/>
  <c r="AB46" i="6"/>
  <c r="AA47" i="6"/>
  <c r="AB47" i="6"/>
  <c r="AA48" i="6"/>
  <c r="AB48" i="6"/>
  <c r="AA49" i="6"/>
  <c r="AB49" i="6"/>
  <c r="AA50" i="6"/>
  <c r="AB50" i="6"/>
  <c r="AA51" i="6"/>
  <c r="AB51" i="6"/>
  <c r="AA6" i="6"/>
  <c r="AC7" i="6"/>
  <c r="AD7" i="6"/>
  <c r="AC8" i="6"/>
  <c r="AJ8" i="6" s="1"/>
  <c r="AK8" i="6" s="1"/>
  <c r="AC9" i="6"/>
  <c r="AC10" i="6"/>
  <c r="AC11" i="6"/>
  <c r="AC12" i="6"/>
  <c r="AC13" i="6"/>
  <c r="AC14" i="6"/>
  <c r="AC15" i="6"/>
  <c r="AC16" i="6"/>
  <c r="AJ16" i="6" s="1"/>
  <c r="AK16" i="6" s="1"/>
  <c r="AC17" i="6"/>
  <c r="AC18" i="6"/>
  <c r="AC19" i="6"/>
  <c r="AC20" i="6"/>
  <c r="AD20" i="6"/>
  <c r="AC21" i="6"/>
  <c r="AD21" i="6"/>
  <c r="AC22" i="6"/>
  <c r="AD22" i="6"/>
  <c r="AC23" i="6"/>
  <c r="AD23" i="6"/>
  <c r="AC24" i="6"/>
  <c r="AD24" i="6"/>
  <c r="AC25" i="6"/>
  <c r="AD25" i="6"/>
  <c r="AC26" i="6"/>
  <c r="AD26" i="6"/>
  <c r="AC27" i="6"/>
  <c r="AD27" i="6"/>
  <c r="AC28" i="6"/>
  <c r="AD28" i="6"/>
  <c r="AC29" i="6"/>
  <c r="AD29" i="6"/>
  <c r="AC30" i="6"/>
  <c r="AD30" i="6"/>
  <c r="AC31" i="6"/>
  <c r="AD31" i="6"/>
  <c r="AC32" i="6"/>
  <c r="AD32" i="6"/>
  <c r="AC33" i="6"/>
  <c r="AD33" i="6"/>
  <c r="AC34" i="6"/>
  <c r="AJ34" i="6" s="1"/>
  <c r="AK34" i="6" s="1"/>
  <c r="AC35" i="6"/>
  <c r="AD35" i="6"/>
  <c r="AC36" i="6"/>
  <c r="AD36" i="6"/>
  <c r="AC37" i="6"/>
  <c r="AD37" i="6"/>
  <c r="AC38" i="6"/>
  <c r="AD38" i="6"/>
  <c r="AC39" i="6"/>
  <c r="AD39" i="6"/>
  <c r="AC40" i="6"/>
  <c r="AD40" i="6"/>
  <c r="AC41" i="6"/>
  <c r="AD41" i="6"/>
  <c r="AC42" i="6"/>
  <c r="AD42" i="6"/>
  <c r="AC43" i="6"/>
  <c r="AD43" i="6"/>
  <c r="AC44" i="6"/>
  <c r="AD44" i="6"/>
  <c r="AC45" i="6"/>
  <c r="AD45" i="6"/>
  <c r="AC46" i="6"/>
  <c r="AD46" i="6"/>
  <c r="AC47" i="6"/>
  <c r="AD47" i="6"/>
  <c r="AC48" i="6"/>
  <c r="AD48" i="6"/>
  <c r="AC49" i="6"/>
  <c r="AD49" i="6"/>
  <c r="AC50" i="6"/>
  <c r="AD50" i="6"/>
  <c r="AC51" i="6"/>
  <c r="AD51" i="6"/>
  <c r="AC6" i="6"/>
  <c r="AE7" i="6"/>
  <c r="AP7" i="6" s="1"/>
  <c r="AE8" i="6"/>
  <c r="AF8" i="6"/>
  <c r="AE9" i="6"/>
  <c r="AP9" i="6" s="1"/>
  <c r="AE10" i="6"/>
  <c r="AP10" i="6" s="1"/>
  <c r="AE11" i="6"/>
  <c r="AP11" i="6" s="1"/>
  <c r="AE12" i="6"/>
  <c r="AP12" i="6" s="1"/>
  <c r="AE13" i="6"/>
  <c r="AP13" i="6" s="1"/>
  <c r="AE14" i="6"/>
  <c r="AP14" i="6" s="1"/>
  <c r="AE15" i="6"/>
  <c r="AP15" i="6" s="1"/>
  <c r="AE16" i="6"/>
  <c r="AP16" i="6" s="1"/>
  <c r="AE17" i="6"/>
  <c r="AP17" i="6" s="1"/>
  <c r="AE18" i="6"/>
  <c r="AP18" i="6" s="1"/>
  <c r="AE19" i="6"/>
  <c r="AP19" i="6" s="1"/>
  <c r="AE20" i="6"/>
  <c r="AP20" i="6" s="1"/>
  <c r="AF20" i="6"/>
  <c r="AE21" i="6"/>
  <c r="AF21" i="6"/>
  <c r="AE22" i="6"/>
  <c r="AF22" i="6"/>
  <c r="AE23" i="6"/>
  <c r="AP23" i="6" s="1"/>
  <c r="AF23" i="6"/>
  <c r="AE24" i="6"/>
  <c r="AP24" i="6" s="1"/>
  <c r="AF24" i="6"/>
  <c r="AE25" i="6"/>
  <c r="AF25" i="6"/>
  <c r="AE26" i="6"/>
  <c r="AP26" i="6" s="1"/>
  <c r="AF26" i="6"/>
  <c r="AE27" i="6"/>
  <c r="AP27" i="6" s="1"/>
  <c r="AF27" i="6"/>
  <c r="AE28" i="6"/>
  <c r="AP28" i="6" s="1"/>
  <c r="AF28" i="6"/>
  <c r="AE29" i="6"/>
  <c r="AP29" i="6" s="1"/>
  <c r="AF29" i="6"/>
  <c r="AE30" i="6"/>
  <c r="AP30" i="6" s="1"/>
  <c r="AF30" i="6"/>
  <c r="AE31" i="6"/>
  <c r="AP31" i="6" s="1"/>
  <c r="AF31" i="6"/>
  <c r="AE32" i="6"/>
  <c r="AP32" i="6" s="1"/>
  <c r="AF32" i="6"/>
  <c r="AE33" i="6"/>
  <c r="AP33" i="6" s="1"/>
  <c r="AF33" i="6"/>
  <c r="AE34" i="6"/>
  <c r="AP34" i="6" s="1"/>
  <c r="AE35" i="6"/>
  <c r="AP35" i="6" s="1"/>
  <c r="AF35" i="6"/>
  <c r="AE36" i="6"/>
  <c r="AF36" i="6"/>
  <c r="AE37" i="6"/>
  <c r="AP37" i="6" s="1"/>
  <c r="AF37" i="6"/>
  <c r="AE38" i="6"/>
  <c r="AF38" i="6"/>
  <c r="AE39" i="6"/>
  <c r="AF39" i="6"/>
  <c r="AE40" i="6"/>
  <c r="AP40" i="6" s="1"/>
  <c r="AF40" i="6"/>
  <c r="AE41" i="6"/>
  <c r="AP41" i="6" s="1"/>
  <c r="AF41" i="6"/>
  <c r="AE42" i="6"/>
  <c r="AP42" i="6" s="1"/>
  <c r="AF42" i="6"/>
  <c r="AE43" i="6"/>
  <c r="AP43" i="6" s="1"/>
  <c r="AF43" i="6"/>
  <c r="AE44" i="6"/>
  <c r="AP44" i="6" s="1"/>
  <c r="AF44" i="6"/>
  <c r="AE45" i="6"/>
  <c r="AP45" i="6" s="1"/>
  <c r="AF45" i="6"/>
  <c r="AE46" i="6"/>
  <c r="AP46" i="6" s="1"/>
  <c r="AF46" i="6"/>
  <c r="AE47" i="6"/>
  <c r="AF47" i="6"/>
  <c r="AE48" i="6"/>
  <c r="AF48" i="6"/>
  <c r="AE49" i="6"/>
  <c r="AP49" i="6" s="1"/>
  <c r="AF49" i="6"/>
  <c r="AE50" i="6"/>
  <c r="AP50" i="6" s="1"/>
  <c r="AF50" i="6"/>
  <c r="AE51" i="6"/>
  <c r="AP51" i="6" s="1"/>
  <c r="AF51" i="6"/>
  <c r="AE6" i="6"/>
  <c r="AP6" i="6" s="1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6" i="6"/>
  <c r="V51" i="6"/>
  <c r="U51" i="6"/>
  <c r="AN51" i="6" s="1"/>
  <c r="V50" i="6"/>
  <c r="U50" i="6"/>
  <c r="AN50" i="6" s="1"/>
  <c r="V49" i="6"/>
  <c r="U49" i="6"/>
  <c r="AN49" i="6" s="1"/>
  <c r="V48" i="6"/>
  <c r="U48" i="6"/>
  <c r="AN48" i="6" s="1"/>
  <c r="V47" i="6"/>
  <c r="U47" i="6"/>
  <c r="AN47" i="6" s="1"/>
  <c r="V46" i="6"/>
  <c r="U46" i="6"/>
  <c r="AN46" i="6" s="1"/>
  <c r="V45" i="6"/>
  <c r="U45" i="6"/>
  <c r="AN45" i="6" s="1"/>
  <c r="V44" i="6"/>
  <c r="U44" i="6"/>
  <c r="AN44" i="6" s="1"/>
  <c r="V43" i="6"/>
  <c r="U43" i="6"/>
  <c r="AN43" i="6" s="1"/>
  <c r="V42" i="6"/>
  <c r="U42" i="6"/>
  <c r="AN42" i="6" s="1"/>
  <c r="V41" i="6"/>
  <c r="U41" i="6"/>
  <c r="AN41" i="6" s="1"/>
  <c r="V40" i="6"/>
  <c r="U40" i="6"/>
  <c r="AN40" i="6" s="1"/>
  <c r="V39" i="6"/>
  <c r="U39" i="6"/>
  <c r="AN39" i="6" s="1"/>
  <c r="V38" i="6"/>
  <c r="U38" i="6"/>
  <c r="AN38" i="6" s="1"/>
  <c r="V37" i="6"/>
  <c r="U37" i="6"/>
  <c r="AN37" i="6" s="1"/>
  <c r="V36" i="6"/>
  <c r="U36" i="6"/>
  <c r="AN36" i="6" s="1"/>
  <c r="U35" i="6"/>
  <c r="AN35" i="6" s="1"/>
  <c r="U34" i="6"/>
  <c r="AN34" i="6" s="1"/>
  <c r="U33" i="6"/>
  <c r="AN33" i="6" s="1"/>
  <c r="V32" i="6"/>
  <c r="U32" i="6"/>
  <c r="AN32" i="6" s="1"/>
  <c r="V31" i="6"/>
  <c r="U31" i="6"/>
  <c r="AN31" i="6" s="1"/>
  <c r="V30" i="6"/>
  <c r="U30" i="6"/>
  <c r="AN30" i="6" s="1"/>
  <c r="V29" i="6"/>
  <c r="U29" i="6"/>
  <c r="AN29" i="6" s="1"/>
  <c r="U28" i="6"/>
  <c r="AN28" i="6" s="1"/>
  <c r="U27" i="6"/>
  <c r="AN27" i="6" s="1"/>
  <c r="V26" i="6"/>
  <c r="U26" i="6"/>
  <c r="AN26" i="6" s="1"/>
  <c r="V25" i="6"/>
  <c r="U25" i="6"/>
  <c r="AN25" i="6" s="1"/>
  <c r="V24" i="6"/>
  <c r="U24" i="6"/>
  <c r="AN24" i="6" s="1"/>
  <c r="V23" i="6"/>
  <c r="U23" i="6"/>
  <c r="AN23" i="6" s="1"/>
  <c r="V22" i="6"/>
  <c r="U22" i="6"/>
  <c r="AN22" i="6" s="1"/>
  <c r="V21" i="6"/>
  <c r="U21" i="6"/>
  <c r="AN21" i="6" s="1"/>
  <c r="V20" i="6"/>
  <c r="U20" i="6"/>
  <c r="AN20" i="6" s="1"/>
  <c r="U19" i="6"/>
  <c r="AN19" i="6" s="1"/>
  <c r="U18" i="6"/>
  <c r="AN18" i="6" s="1"/>
  <c r="U17" i="6"/>
  <c r="AN17" i="6" s="1"/>
  <c r="U16" i="6"/>
  <c r="AN16" i="6" s="1"/>
  <c r="U15" i="6"/>
  <c r="AN15" i="6" s="1"/>
  <c r="U14" i="6"/>
  <c r="AN14" i="6" s="1"/>
  <c r="U13" i="6"/>
  <c r="AN13" i="6" s="1"/>
  <c r="U12" i="6"/>
  <c r="AN12" i="6" s="1"/>
  <c r="U11" i="6"/>
  <c r="AN11" i="6" s="1"/>
  <c r="U10" i="6"/>
  <c r="AN10" i="6" s="1"/>
  <c r="U9" i="6"/>
  <c r="AN9" i="6" s="1"/>
  <c r="U8" i="6"/>
  <c r="AN8" i="6" s="1"/>
  <c r="U7" i="6"/>
  <c r="AN7" i="6" s="1"/>
  <c r="U6" i="6"/>
  <c r="AN6" i="6" s="1"/>
  <c r="AJ18" i="6"/>
  <c r="AK18" i="6" s="1"/>
  <c r="AJ19" i="6"/>
  <c r="AK19" i="6" s="1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7" i="12"/>
  <c r="V39" i="12"/>
  <c r="V40" i="12"/>
  <c r="AG8" i="6" s="1"/>
  <c r="V41" i="12"/>
  <c r="V42" i="12"/>
  <c r="V43" i="12"/>
  <c r="V44" i="12"/>
  <c r="V45" i="12"/>
  <c r="V46" i="12"/>
  <c r="V47" i="12"/>
  <c r="V48" i="12"/>
  <c r="V49" i="12"/>
  <c r="V50" i="12"/>
  <c r="V51" i="12"/>
  <c r="V52" i="12"/>
  <c r="AG10" i="6" s="1"/>
  <c r="AS10" i="6" s="1"/>
  <c r="V53" i="12"/>
  <c r="V54" i="12"/>
  <c r="V55" i="12"/>
  <c r="V56" i="12"/>
  <c r="AG14" i="6" s="1"/>
  <c r="AS14" i="6" s="1"/>
  <c r="V57" i="12"/>
  <c r="V58" i="12"/>
  <c r="V59" i="12"/>
  <c r="V60" i="12"/>
  <c r="V61" i="12"/>
  <c r="V62" i="12"/>
  <c r="V63" i="12"/>
  <c r="V64" i="12"/>
  <c r="V65" i="12"/>
  <c r="V66" i="12"/>
  <c r="V67" i="12"/>
  <c r="V68" i="12"/>
  <c r="AG16" i="6" s="1"/>
  <c r="V69" i="12"/>
  <c r="V71" i="12"/>
  <c r="V72" i="12"/>
  <c r="V73" i="12"/>
  <c r="V74" i="12"/>
  <c r="V76" i="12"/>
  <c r="V77" i="12"/>
  <c r="V78" i="12"/>
  <c r="V80" i="12"/>
  <c r="V81" i="12"/>
  <c r="V82" i="12"/>
  <c r="AG17" i="6" s="1"/>
  <c r="AS17" i="6" s="1"/>
  <c r="V83" i="12"/>
  <c r="V84" i="12"/>
  <c r="AG19" i="6" s="1"/>
  <c r="AS19" i="6" s="1"/>
  <c r="V86" i="12"/>
  <c r="V87" i="12"/>
  <c r="V88" i="12"/>
  <c r="V92" i="12"/>
  <c r="V97" i="12"/>
  <c r="V99" i="12"/>
  <c r="AG34" i="6" s="1"/>
  <c r="AS34" i="6" s="1"/>
  <c r="V100" i="12"/>
  <c r="V101" i="12"/>
  <c r="V122" i="12"/>
  <c r="V123" i="12"/>
  <c r="V124" i="12"/>
  <c r="V125" i="12"/>
  <c r="V126" i="12"/>
  <c r="V127" i="12"/>
  <c r="V128" i="12"/>
  <c r="V129" i="12"/>
  <c r="V130" i="12"/>
  <c r="V131" i="12"/>
  <c r="V132" i="12"/>
  <c r="V133" i="12"/>
  <c r="V134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4" i="12"/>
  <c r="V155" i="12"/>
  <c r="V156" i="12"/>
  <c r="V157" i="12"/>
  <c r="V4" i="12"/>
  <c r="AG6" i="6" s="1"/>
  <c r="AL17" i="6"/>
  <c r="AM17" i="6" s="1"/>
  <c r="AL6" i="6"/>
  <c r="AM6" i="6" s="1"/>
  <c r="AH35" i="6"/>
  <c r="AH17" i="6"/>
  <c r="AH14" i="6"/>
  <c r="AH13" i="6"/>
  <c r="AH9" i="6"/>
  <c r="AH7" i="6"/>
  <c r="AE60" i="16"/>
  <c r="AE55" i="16"/>
  <c r="AE56" i="16"/>
  <c r="AE57" i="16"/>
  <c r="AE58" i="16"/>
  <c r="Q58" i="16" s="1"/>
  <c r="R58" i="16" s="1"/>
  <c r="P58" i="16" s="1"/>
  <c r="O58" i="16" s="1"/>
  <c r="N58" i="16" s="1"/>
  <c r="M58" i="16" s="1"/>
  <c r="L58" i="16" s="1"/>
  <c r="K58" i="16" s="1"/>
  <c r="J58" i="16" s="1"/>
  <c r="I58" i="16" s="1"/>
  <c r="AE59" i="16"/>
  <c r="AE53" i="16"/>
  <c r="AE54" i="16"/>
  <c r="AE35" i="16"/>
  <c r="AE36" i="16"/>
  <c r="AE37" i="16"/>
  <c r="AE38" i="16"/>
  <c r="AE39" i="16"/>
  <c r="AE40" i="16"/>
  <c r="AE41" i="16"/>
  <c r="AE42" i="16"/>
  <c r="AE43" i="16"/>
  <c r="AE44" i="16"/>
  <c r="AE45" i="16"/>
  <c r="AE46" i="16"/>
  <c r="AE47" i="16"/>
  <c r="AE48" i="16"/>
  <c r="AE49" i="16"/>
  <c r="AE50" i="16"/>
  <c r="AE51" i="16"/>
  <c r="AE52" i="16"/>
  <c r="Q2" i="16"/>
  <c r="H5" i="11"/>
  <c r="Q5" i="11"/>
  <c r="AB21" i="16"/>
  <c r="AB29" i="16"/>
  <c r="Q23" i="16"/>
  <c r="R23" i="16" s="1"/>
  <c r="P23" i="16" s="1"/>
  <c r="O23" i="16" s="1"/>
  <c r="N23" i="16" s="1"/>
  <c r="M23" i="16" s="1"/>
  <c r="L23" i="16" s="1"/>
  <c r="K23" i="16" s="1"/>
  <c r="J23" i="16" s="1"/>
  <c r="I23" i="16" s="1"/>
  <c r="AB24" i="16"/>
  <c r="AE6" i="16"/>
  <c r="AE7" i="16"/>
  <c r="AE8" i="16"/>
  <c r="AB8" i="16" s="1"/>
  <c r="AE9" i="16"/>
  <c r="AB9" i="16" s="1"/>
  <c r="AE10" i="16"/>
  <c r="AE11" i="16"/>
  <c r="AE12" i="16"/>
  <c r="AE13" i="16"/>
  <c r="Q13" i="16" s="1"/>
  <c r="R13" i="16" s="1"/>
  <c r="P13" i="16" s="1"/>
  <c r="O13" i="16" s="1"/>
  <c r="N13" i="16" s="1"/>
  <c r="M13" i="16" s="1"/>
  <c r="L13" i="16" s="1"/>
  <c r="K13" i="16" s="1"/>
  <c r="J13" i="16" s="1"/>
  <c r="I13" i="16" s="1"/>
  <c r="AE14" i="16"/>
  <c r="AE15" i="16"/>
  <c r="AE16" i="16"/>
  <c r="AE17" i="16"/>
  <c r="AB17" i="16" s="1"/>
  <c r="AE18" i="16"/>
  <c r="AE19" i="16"/>
  <c r="AE20" i="16"/>
  <c r="AE21" i="16"/>
  <c r="Q21" i="16" s="1"/>
  <c r="R21" i="16" s="1"/>
  <c r="P21" i="16" s="1"/>
  <c r="O21" i="16" s="1"/>
  <c r="N21" i="16" s="1"/>
  <c r="M21" i="16" s="1"/>
  <c r="L21" i="16" s="1"/>
  <c r="K21" i="16" s="1"/>
  <c r="J21" i="16" s="1"/>
  <c r="I21" i="16" s="1"/>
  <c r="AE22" i="16"/>
  <c r="Q22" i="16" s="1"/>
  <c r="R22" i="16" s="1"/>
  <c r="P22" i="16" s="1"/>
  <c r="O22" i="16" s="1"/>
  <c r="N22" i="16" s="1"/>
  <c r="M22" i="16" s="1"/>
  <c r="L22" i="16" s="1"/>
  <c r="K22" i="16" s="1"/>
  <c r="J22" i="16" s="1"/>
  <c r="I22" i="16" s="1"/>
  <c r="AE23" i="16"/>
  <c r="AE24" i="16"/>
  <c r="AE25" i="16"/>
  <c r="AE26" i="16"/>
  <c r="AE27" i="16"/>
  <c r="AE28" i="16"/>
  <c r="AE29" i="16"/>
  <c r="Q29" i="16" s="1"/>
  <c r="R29" i="16" s="1"/>
  <c r="P29" i="16" s="1"/>
  <c r="O29" i="16" s="1"/>
  <c r="N29" i="16" s="1"/>
  <c r="M29" i="16" s="1"/>
  <c r="L29" i="16" s="1"/>
  <c r="K29" i="16" s="1"/>
  <c r="J29" i="16" s="1"/>
  <c r="I29" i="16" s="1"/>
  <c r="AE30" i="16"/>
  <c r="Q30" i="16" s="1"/>
  <c r="R30" i="16" s="1"/>
  <c r="P30" i="16" s="1"/>
  <c r="O30" i="16" s="1"/>
  <c r="N30" i="16" s="1"/>
  <c r="M30" i="16" s="1"/>
  <c r="L30" i="16" s="1"/>
  <c r="K30" i="16" s="1"/>
  <c r="J30" i="16" s="1"/>
  <c r="I30" i="16" s="1"/>
  <c r="AE31" i="16"/>
  <c r="AE32" i="16"/>
  <c r="AE33" i="16"/>
  <c r="AE34" i="16"/>
  <c r="AE5" i="16"/>
  <c r="AD5" i="16" s="1"/>
  <c r="G85" i="12"/>
  <c r="G86" i="12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6" i="6"/>
  <c r="E7" i="6"/>
  <c r="F7" i="6"/>
  <c r="M7" i="6"/>
  <c r="N7" i="6"/>
  <c r="O7" i="6"/>
  <c r="P7" i="6"/>
  <c r="F8" i="6"/>
  <c r="M8" i="6"/>
  <c r="N8" i="6"/>
  <c r="O8" i="6"/>
  <c r="F9" i="6"/>
  <c r="M9" i="6"/>
  <c r="N9" i="6"/>
  <c r="O9" i="6"/>
  <c r="F10" i="6"/>
  <c r="M10" i="6"/>
  <c r="N10" i="6"/>
  <c r="O10" i="6"/>
  <c r="F11" i="6"/>
  <c r="M11" i="6"/>
  <c r="N11" i="6"/>
  <c r="O11" i="6"/>
  <c r="F12" i="6"/>
  <c r="M12" i="6"/>
  <c r="N12" i="6"/>
  <c r="O12" i="6"/>
  <c r="F13" i="6"/>
  <c r="M13" i="6"/>
  <c r="N13" i="6"/>
  <c r="O13" i="6"/>
  <c r="F14" i="6"/>
  <c r="M14" i="6"/>
  <c r="N14" i="6"/>
  <c r="O14" i="6"/>
  <c r="F15" i="6"/>
  <c r="M15" i="6"/>
  <c r="N15" i="6"/>
  <c r="O15" i="6"/>
  <c r="F16" i="6"/>
  <c r="M16" i="6"/>
  <c r="N16" i="6"/>
  <c r="O16" i="6"/>
  <c r="F17" i="6"/>
  <c r="M17" i="6"/>
  <c r="N17" i="6"/>
  <c r="O17" i="6"/>
  <c r="F18" i="6"/>
  <c r="M18" i="6"/>
  <c r="N18" i="6"/>
  <c r="O18" i="6"/>
  <c r="F19" i="6"/>
  <c r="M19" i="6"/>
  <c r="N19" i="6"/>
  <c r="O19" i="6"/>
  <c r="F20" i="6"/>
  <c r="M20" i="6"/>
  <c r="N20" i="6"/>
  <c r="O20" i="6"/>
  <c r="P20" i="6"/>
  <c r="F21" i="6"/>
  <c r="M21" i="6"/>
  <c r="N21" i="6"/>
  <c r="O21" i="6"/>
  <c r="F22" i="6"/>
  <c r="M22" i="6"/>
  <c r="N22" i="6"/>
  <c r="O22" i="6"/>
  <c r="F23" i="6"/>
  <c r="M23" i="6"/>
  <c r="N23" i="6"/>
  <c r="O23" i="6"/>
  <c r="F24" i="6"/>
  <c r="M24" i="6"/>
  <c r="N24" i="6"/>
  <c r="O24" i="6"/>
  <c r="P24" i="6"/>
  <c r="F25" i="6"/>
  <c r="M25" i="6"/>
  <c r="N25" i="6"/>
  <c r="O25" i="6"/>
  <c r="P25" i="6"/>
  <c r="F26" i="6"/>
  <c r="M26" i="6"/>
  <c r="N26" i="6"/>
  <c r="O26" i="6"/>
  <c r="P26" i="6"/>
  <c r="F27" i="6"/>
  <c r="M27" i="6"/>
  <c r="N27" i="6"/>
  <c r="O27" i="6"/>
  <c r="F28" i="6"/>
  <c r="M28" i="6"/>
  <c r="N28" i="6"/>
  <c r="O28" i="6"/>
  <c r="P28" i="6"/>
  <c r="F29" i="6"/>
  <c r="M29" i="6"/>
  <c r="N29" i="6"/>
  <c r="O29" i="6"/>
  <c r="P29" i="6"/>
  <c r="F30" i="6"/>
  <c r="M30" i="6"/>
  <c r="N30" i="6"/>
  <c r="O30" i="6"/>
  <c r="P30" i="6"/>
  <c r="F31" i="6"/>
  <c r="M31" i="6"/>
  <c r="N31" i="6"/>
  <c r="O31" i="6"/>
  <c r="P31" i="6"/>
  <c r="F32" i="6"/>
  <c r="M32" i="6"/>
  <c r="N32" i="6"/>
  <c r="O32" i="6"/>
  <c r="F33" i="6"/>
  <c r="M33" i="6"/>
  <c r="N33" i="6"/>
  <c r="O33" i="6"/>
  <c r="P33" i="6"/>
  <c r="F34" i="6"/>
  <c r="M34" i="6"/>
  <c r="N34" i="6"/>
  <c r="O34" i="6"/>
  <c r="F35" i="6"/>
  <c r="M35" i="6"/>
  <c r="N35" i="6"/>
  <c r="O35" i="6"/>
  <c r="E36" i="6"/>
  <c r="F36" i="6"/>
  <c r="M36" i="6"/>
  <c r="N36" i="6"/>
  <c r="O36" i="6"/>
  <c r="P36" i="6"/>
  <c r="F37" i="6"/>
  <c r="M37" i="6"/>
  <c r="N37" i="6"/>
  <c r="O37" i="6"/>
  <c r="P37" i="6"/>
  <c r="F38" i="6"/>
  <c r="M38" i="6"/>
  <c r="N38" i="6"/>
  <c r="O38" i="6"/>
  <c r="P38" i="6"/>
  <c r="F39" i="6"/>
  <c r="M39" i="6"/>
  <c r="N39" i="6"/>
  <c r="O39" i="6"/>
  <c r="P39" i="6"/>
  <c r="F40" i="6"/>
  <c r="G40" i="6"/>
  <c r="M40" i="6"/>
  <c r="N40" i="6"/>
  <c r="O40" i="6"/>
  <c r="P40" i="6"/>
  <c r="F41" i="6"/>
  <c r="M41" i="6"/>
  <c r="N41" i="6"/>
  <c r="O41" i="6"/>
  <c r="P41" i="6"/>
  <c r="F42" i="6"/>
  <c r="M42" i="6"/>
  <c r="N42" i="6"/>
  <c r="O42" i="6"/>
  <c r="P42" i="6"/>
  <c r="F43" i="6"/>
  <c r="M43" i="6"/>
  <c r="N43" i="6"/>
  <c r="O43" i="6"/>
  <c r="P43" i="6"/>
  <c r="F44" i="6"/>
  <c r="I44" i="6"/>
  <c r="M44" i="6"/>
  <c r="N44" i="6"/>
  <c r="O44" i="6"/>
  <c r="P44" i="6"/>
  <c r="F45" i="6"/>
  <c r="M45" i="6"/>
  <c r="N45" i="6"/>
  <c r="O45" i="6"/>
  <c r="P45" i="6"/>
  <c r="F46" i="6"/>
  <c r="M46" i="6"/>
  <c r="N46" i="6"/>
  <c r="O46" i="6"/>
  <c r="P46" i="6"/>
  <c r="F47" i="6"/>
  <c r="M47" i="6"/>
  <c r="N47" i="6"/>
  <c r="O47" i="6"/>
  <c r="P47" i="6"/>
  <c r="E48" i="6"/>
  <c r="F48" i="6"/>
  <c r="G48" i="6"/>
  <c r="I48" i="6"/>
  <c r="M48" i="6"/>
  <c r="N48" i="6"/>
  <c r="O48" i="6"/>
  <c r="P48" i="6"/>
  <c r="E49" i="6"/>
  <c r="F49" i="6"/>
  <c r="I49" i="6"/>
  <c r="M49" i="6"/>
  <c r="N49" i="6"/>
  <c r="O49" i="6"/>
  <c r="P49" i="6"/>
  <c r="F50" i="6"/>
  <c r="I50" i="6"/>
  <c r="M50" i="6"/>
  <c r="N50" i="6"/>
  <c r="O50" i="6"/>
  <c r="P50" i="6"/>
  <c r="F51" i="6"/>
  <c r="I51" i="6"/>
  <c r="M51" i="6"/>
  <c r="N51" i="6"/>
  <c r="O51" i="6"/>
  <c r="P51" i="6"/>
  <c r="O6" i="6"/>
  <c r="N6" i="6"/>
  <c r="M6" i="6"/>
  <c r="F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6" i="6"/>
  <c r="AS8" i="6" l="1"/>
  <c r="AS16" i="6"/>
  <c r="AO17" i="6"/>
  <c r="AP22" i="6"/>
  <c r="AQ22" i="6" s="1"/>
  <c r="AC41" i="16"/>
  <c r="AC28" i="16"/>
  <c r="AA49" i="16"/>
  <c r="AA31" i="16"/>
  <c r="AC23" i="16"/>
  <c r="AP25" i="6"/>
  <c r="AQ25" i="6" s="1"/>
  <c r="AC25" i="16"/>
  <c r="AA47" i="16"/>
  <c r="AC20" i="16"/>
  <c r="AC36" i="16"/>
  <c r="AC60" i="16"/>
  <c r="AP48" i="6"/>
  <c r="AQ48" i="6" s="1"/>
  <c r="AA44" i="16"/>
  <c r="AP39" i="6"/>
  <c r="AQ39" i="6" s="1"/>
  <c r="AP36" i="6"/>
  <c r="AQ36" i="6" s="1"/>
  <c r="AC59" i="16"/>
  <c r="AC43" i="16"/>
  <c r="AC35" i="16"/>
  <c r="AC27" i="16"/>
  <c r="AP47" i="6"/>
  <c r="AQ47" i="6" s="1"/>
  <c r="AP38" i="6"/>
  <c r="AQ38" i="6" s="1"/>
  <c r="AP8" i="6"/>
  <c r="AQ8" i="6" s="1"/>
  <c r="AP21" i="6"/>
  <c r="AQ21" i="6" s="1"/>
  <c r="AO11" i="6"/>
  <c r="AO6" i="6"/>
  <c r="AO10" i="6"/>
  <c r="AO15" i="6"/>
  <c r="AQ9" i="6"/>
  <c r="AO9" i="6"/>
  <c r="AQ49" i="6"/>
  <c r="AQ17" i="6"/>
  <c r="AO14" i="6"/>
  <c r="AO27" i="6"/>
  <c r="AQ16" i="6"/>
  <c r="AO16" i="6"/>
  <c r="AQ41" i="6"/>
  <c r="AO35" i="6"/>
  <c r="AO19" i="6"/>
  <c r="AO13" i="6"/>
  <c r="AQ33" i="6"/>
  <c r="AO33" i="6"/>
  <c r="AO34" i="6"/>
  <c r="AO28" i="6"/>
  <c r="AO18" i="6"/>
  <c r="AQ12" i="6"/>
  <c r="AO12" i="6"/>
  <c r="AO7" i="6"/>
  <c r="AQ34" i="6"/>
  <c r="AQ30" i="6"/>
  <c r="AQ27" i="6"/>
  <c r="AQ18" i="6"/>
  <c r="AQ10" i="6"/>
  <c r="AQ43" i="6"/>
  <c r="AQ50" i="6"/>
  <c r="AQ14" i="6"/>
  <c r="AQ35" i="6"/>
  <c r="AQ26" i="6"/>
  <c r="AQ32" i="6"/>
  <c r="AQ28" i="6"/>
  <c r="AQ24" i="6"/>
  <c r="AQ51" i="6"/>
  <c r="AQ44" i="6"/>
  <c r="AQ40" i="6"/>
  <c r="AQ19" i="6"/>
  <c r="AQ11" i="6"/>
  <c r="AQ46" i="6"/>
  <c r="AQ42" i="6"/>
  <c r="AQ20" i="6"/>
  <c r="AQ45" i="6"/>
  <c r="AQ37" i="6"/>
  <c r="AQ29" i="6"/>
  <c r="AQ13" i="6"/>
  <c r="AQ31" i="6"/>
  <c r="AQ23" i="6"/>
  <c r="AQ15" i="6"/>
  <c r="AQ7" i="6"/>
  <c r="AQ6" i="6"/>
  <c r="AS6" i="6"/>
  <c r="AG9" i="6"/>
  <c r="AS9" i="6" s="1"/>
  <c r="AG12" i="6"/>
  <c r="AS12" i="6" s="1"/>
  <c r="AG18" i="6"/>
  <c r="AS18" i="6" s="1"/>
  <c r="AH16" i="6"/>
  <c r="AI16" i="6" s="1"/>
  <c r="AJ15" i="6"/>
  <c r="AK15" i="6" s="1"/>
  <c r="AG32" i="6"/>
  <c r="AS32" i="6" s="1"/>
  <c r="AG23" i="6"/>
  <c r="AS23" i="6" s="1"/>
  <c r="AG15" i="6"/>
  <c r="AS15" i="6" s="1"/>
  <c r="AJ6" i="6"/>
  <c r="AK6" i="6" s="1"/>
  <c r="AI11" i="6"/>
  <c r="AI14" i="6"/>
  <c r="AG22" i="6"/>
  <c r="AS22" i="6" s="1"/>
  <c r="AH6" i="6"/>
  <c r="AI6" i="6" s="1"/>
  <c r="AL35" i="6"/>
  <c r="AM35" i="6" s="1"/>
  <c r="AL19" i="6"/>
  <c r="AM19" i="6" s="1"/>
  <c r="AL11" i="6"/>
  <c r="AM11" i="6" s="1"/>
  <c r="AI7" i="6"/>
  <c r="AI15" i="6"/>
  <c r="AG21" i="6"/>
  <c r="AS21" i="6" s="1"/>
  <c r="AG13" i="6"/>
  <c r="AS13" i="6" s="1"/>
  <c r="AH12" i="6"/>
  <c r="AI12" i="6" s="1"/>
  <c r="AL41" i="6"/>
  <c r="AM41" i="6" s="1"/>
  <c r="AL34" i="6"/>
  <c r="AM34" i="6" s="1"/>
  <c r="AL18" i="6"/>
  <c r="AM18" i="6" s="1"/>
  <c r="AH19" i="6"/>
  <c r="AI19" i="6" s="1"/>
  <c r="AI9" i="6"/>
  <c r="AI17" i="6"/>
  <c r="AG35" i="6"/>
  <c r="AS35" i="6" s="1"/>
  <c r="AG27" i="6"/>
  <c r="AS27" i="6" s="1"/>
  <c r="AG11" i="6"/>
  <c r="AS11" i="6" s="1"/>
  <c r="AH34" i="6"/>
  <c r="AI34" i="6" s="1"/>
  <c r="AH18" i="6"/>
  <c r="AI18" i="6" s="1"/>
  <c r="AH10" i="6"/>
  <c r="AI10" i="6" s="1"/>
  <c r="AJ17" i="6"/>
  <c r="AK17" i="6" s="1"/>
  <c r="AL16" i="6"/>
  <c r="AM16" i="6" s="1"/>
  <c r="AL8" i="6"/>
  <c r="AM8" i="6" s="1"/>
  <c r="AI13" i="6"/>
  <c r="AB46" i="16"/>
  <c r="AH41" i="6" s="1"/>
  <c r="AI41" i="6" s="1"/>
  <c r="AB33" i="16"/>
  <c r="Y33" i="16" s="1"/>
  <c r="AB25" i="16"/>
  <c r="Y25" i="16" s="1"/>
  <c r="X25" i="16" s="1"/>
  <c r="Q25" i="16"/>
  <c r="R25" i="16" s="1"/>
  <c r="P25" i="16" s="1"/>
  <c r="O25" i="16" s="1"/>
  <c r="N25" i="16" s="1"/>
  <c r="M25" i="16" s="1"/>
  <c r="L25" i="16" s="1"/>
  <c r="K25" i="16" s="1"/>
  <c r="J25" i="16" s="1"/>
  <c r="I25" i="16" s="1"/>
  <c r="AB60" i="16"/>
  <c r="Z60" i="16" s="1"/>
  <c r="Q60" i="16"/>
  <c r="R60" i="16" s="1"/>
  <c r="P60" i="16" s="1"/>
  <c r="O60" i="16" s="1"/>
  <c r="N60" i="16" s="1"/>
  <c r="M60" i="16" s="1"/>
  <c r="L60" i="16" s="1"/>
  <c r="K60" i="16" s="1"/>
  <c r="J60" i="16" s="1"/>
  <c r="I60" i="16" s="1"/>
  <c r="AB32" i="16"/>
  <c r="AB16" i="16"/>
  <c r="Y16" i="16" s="1"/>
  <c r="X16" i="16" s="1"/>
  <c r="W16" i="16" s="1"/>
  <c r="V16" i="16" s="1"/>
  <c r="Q16" i="16"/>
  <c r="R16" i="16" s="1"/>
  <c r="P16" i="16" s="1"/>
  <c r="O16" i="16" s="1"/>
  <c r="N16" i="16" s="1"/>
  <c r="M16" i="16" s="1"/>
  <c r="L16" i="16" s="1"/>
  <c r="K16" i="16" s="1"/>
  <c r="J16" i="16" s="1"/>
  <c r="I16" i="16" s="1"/>
  <c r="Q50" i="16"/>
  <c r="R50" i="16" s="1"/>
  <c r="P50" i="16" s="1"/>
  <c r="O50" i="16" s="1"/>
  <c r="N50" i="16" s="1"/>
  <c r="M50" i="16" s="1"/>
  <c r="L50" i="16" s="1"/>
  <c r="K50" i="16" s="1"/>
  <c r="J50" i="16" s="1"/>
  <c r="I50" i="16" s="1"/>
  <c r="Q42" i="16"/>
  <c r="R42" i="16" s="1"/>
  <c r="P42" i="16" s="1"/>
  <c r="O42" i="16" s="1"/>
  <c r="N42" i="16" s="1"/>
  <c r="M42" i="16" s="1"/>
  <c r="L42" i="16" s="1"/>
  <c r="K42" i="16" s="1"/>
  <c r="J42" i="16" s="1"/>
  <c r="I42" i="16" s="1"/>
  <c r="Q31" i="16"/>
  <c r="R31" i="16" s="1"/>
  <c r="P31" i="16" s="1"/>
  <c r="O31" i="16" s="1"/>
  <c r="N31" i="16" s="1"/>
  <c r="M31" i="16" s="1"/>
  <c r="L31" i="16" s="1"/>
  <c r="K31" i="16" s="1"/>
  <c r="J31" i="16" s="1"/>
  <c r="I31" i="16" s="1"/>
  <c r="AB38" i="16"/>
  <c r="AH28" i="6" s="1"/>
  <c r="AI28" i="6" s="1"/>
  <c r="Q14" i="16"/>
  <c r="R14" i="16" s="1"/>
  <c r="P14" i="16" s="1"/>
  <c r="O14" i="16" s="1"/>
  <c r="N14" i="16" s="1"/>
  <c r="M14" i="16" s="1"/>
  <c r="L14" i="16" s="1"/>
  <c r="K14" i="16" s="1"/>
  <c r="J14" i="16" s="1"/>
  <c r="I14" i="16" s="1"/>
  <c r="AB14" i="16"/>
  <c r="AA14" i="16" s="1"/>
  <c r="Z14" i="16" s="1"/>
  <c r="Q6" i="16"/>
  <c r="R6" i="16" s="1"/>
  <c r="P6" i="16" s="1"/>
  <c r="O6" i="16" s="1"/>
  <c r="N6" i="16" s="1"/>
  <c r="M6" i="16" s="1"/>
  <c r="L6" i="16" s="1"/>
  <c r="K6" i="16" s="1"/>
  <c r="J6" i="16" s="1"/>
  <c r="I6" i="16" s="1"/>
  <c r="AB6" i="16"/>
  <c r="AA6" i="16" s="1"/>
  <c r="Z6" i="16" s="1"/>
  <c r="AB48" i="16"/>
  <c r="AL43" i="6" s="1"/>
  <c r="AM43" i="6" s="1"/>
  <c r="Q48" i="16"/>
  <c r="R48" i="16" s="1"/>
  <c r="P48" i="16" s="1"/>
  <c r="O48" i="16" s="1"/>
  <c r="N48" i="16" s="1"/>
  <c r="M48" i="16" s="1"/>
  <c r="L48" i="16" s="1"/>
  <c r="K48" i="16" s="1"/>
  <c r="J48" i="16" s="1"/>
  <c r="I48" i="16" s="1"/>
  <c r="AB40" i="16"/>
  <c r="Q40" i="16"/>
  <c r="R40" i="16" s="1"/>
  <c r="P40" i="16" s="1"/>
  <c r="O40" i="16" s="1"/>
  <c r="N40" i="16" s="1"/>
  <c r="M40" i="16" s="1"/>
  <c r="L40" i="16" s="1"/>
  <c r="K40" i="16" s="1"/>
  <c r="J40" i="16" s="1"/>
  <c r="I40" i="16" s="1"/>
  <c r="AB13" i="16"/>
  <c r="Y13" i="16" s="1"/>
  <c r="X13" i="16" s="1"/>
  <c r="AB58" i="16"/>
  <c r="Q59" i="16"/>
  <c r="R59" i="16" s="1"/>
  <c r="P59" i="16" s="1"/>
  <c r="O59" i="16" s="1"/>
  <c r="N59" i="16" s="1"/>
  <c r="M59" i="16" s="1"/>
  <c r="L59" i="16" s="1"/>
  <c r="K59" i="16" s="1"/>
  <c r="J59" i="16" s="1"/>
  <c r="I59" i="16" s="1"/>
  <c r="AB59" i="16"/>
  <c r="AL36" i="6" s="1"/>
  <c r="AM36" i="6" s="1"/>
  <c r="Q57" i="16"/>
  <c r="R57" i="16" s="1"/>
  <c r="P57" i="16" s="1"/>
  <c r="O57" i="16" s="1"/>
  <c r="N57" i="16" s="1"/>
  <c r="M57" i="16" s="1"/>
  <c r="L57" i="16" s="1"/>
  <c r="K57" i="16" s="1"/>
  <c r="J57" i="16" s="1"/>
  <c r="I57" i="16" s="1"/>
  <c r="AB57" i="16"/>
  <c r="Q56" i="16"/>
  <c r="R56" i="16" s="1"/>
  <c r="P56" i="16" s="1"/>
  <c r="O56" i="16" s="1"/>
  <c r="N56" i="16" s="1"/>
  <c r="M56" i="16" s="1"/>
  <c r="L56" i="16" s="1"/>
  <c r="K56" i="16" s="1"/>
  <c r="J56" i="16" s="1"/>
  <c r="I56" i="16" s="1"/>
  <c r="AB56" i="16"/>
  <c r="AL46" i="6" s="1"/>
  <c r="AM46" i="6" s="1"/>
  <c r="Q55" i="16"/>
  <c r="R55" i="16" s="1"/>
  <c r="P55" i="16" s="1"/>
  <c r="O55" i="16" s="1"/>
  <c r="N55" i="16" s="1"/>
  <c r="M55" i="16" s="1"/>
  <c r="L55" i="16" s="1"/>
  <c r="K55" i="16" s="1"/>
  <c r="J55" i="16" s="1"/>
  <c r="I55" i="16" s="1"/>
  <c r="AB55" i="16"/>
  <c r="AL51" i="6" s="1"/>
  <c r="AM51" i="6" s="1"/>
  <c r="Q54" i="16"/>
  <c r="R54" i="16" s="1"/>
  <c r="P54" i="16" s="1"/>
  <c r="O54" i="16" s="1"/>
  <c r="N54" i="16" s="1"/>
  <c r="M54" i="16" s="1"/>
  <c r="L54" i="16" s="1"/>
  <c r="K54" i="16" s="1"/>
  <c r="J54" i="16" s="1"/>
  <c r="I54" i="16" s="1"/>
  <c r="AB54" i="16"/>
  <c r="AL50" i="6" s="1"/>
  <c r="AM50" i="6" s="1"/>
  <c r="Q53" i="16"/>
  <c r="R53" i="16" s="1"/>
  <c r="P53" i="16" s="1"/>
  <c r="O53" i="16" s="1"/>
  <c r="N53" i="16" s="1"/>
  <c r="M53" i="16" s="1"/>
  <c r="L53" i="16" s="1"/>
  <c r="K53" i="16" s="1"/>
  <c r="J53" i="16" s="1"/>
  <c r="I53" i="16" s="1"/>
  <c r="AB53" i="16"/>
  <c r="AL49" i="6" s="1"/>
  <c r="AM49" i="6" s="1"/>
  <c r="AB49" i="16"/>
  <c r="AL44" i="6" s="1"/>
  <c r="AM44" i="6" s="1"/>
  <c r="Q49" i="16"/>
  <c r="R49" i="16" s="1"/>
  <c r="P49" i="16" s="1"/>
  <c r="O49" i="16" s="1"/>
  <c r="N49" i="16" s="1"/>
  <c r="M49" i="16" s="1"/>
  <c r="L49" i="16" s="1"/>
  <c r="K49" i="16" s="1"/>
  <c r="J49" i="16" s="1"/>
  <c r="I49" i="16" s="1"/>
  <c r="Q45" i="16"/>
  <c r="R45" i="16" s="1"/>
  <c r="P45" i="16" s="1"/>
  <c r="O45" i="16" s="1"/>
  <c r="N45" i="16" s="1"/>
  <c r="M45" i="16" s="1"/>
  <c r="L45" i="16" s="1"/>
  <c r="K45" i="16" s="1"/>
  <c r="J45" i="16" s="1"/>
  <c r="I45" i="16" s="1"/>
  <c r="AB45" i="16"/>
  <c r="AL40" i="6" s="1"/>
  <c r="AM40" i="6" s="1"/>
  <c r="Q44" i="16"/>
  <c r="R44" i="16" s="1"/>
  <c r="P44" i="16" s="1"/>
  <c r="O44" i="16" s="1"/>
  <c r="N44" i="16" s="1"/>
  <c r="M44" i="16" s="1"/>
  <c r="L44" i="16" s="1"/>
  <c r="K44" i="16" s="1"/>
  <c r="J44" i="16" s="1"/>
  <c r="I44" i="16" s="1"/>
  <c r="AB44" i="16"/>
  <c r="AL39" i="6" s="1"/>
  <c r="AM39" i="6" s="1"/>
  <c r="Q39" i="16"/>
  <c r="R39" i="16" s="1"/>
  <c r="P39" i="16" s="1"/>
  <c r="O39" i="16" s="1"/>
  <c r="N39" i="16" s="1"/>
  <c r="M39" i="16" s="1"/>
  <c r="L39" i="16" s="1"/>
  <c r="K39" i="16" s="1"/>
  <c r="J39" i="16" s="1"/>
  <c r="I39" i="16" s="1"/>
  <c r="AB39" i="16"/>
  <c r="AL29" i="6" s="1"/>
  <c r="AM29" i="6" s="1"/>
  <c r="Q43" i="16"/>
  <c r="R43" i="16" s="1"/>
  <c r="P43" i="16" s="1"/>
  <c r="O43" i="16" s="1"/>
  <c r="N43" i="16" s="1"/>
  <c r="M43" i="16" s="1"/>
  <c r="L43" i="16" s="1"/>
  <c r="K43" i="16" s="1"/>
  <c r="J43" i="16" s="1"/>
  <c r="I43" i="16" s="1"/>
  <c r="AB43" i="16"/>
  <c r="AL38" i="6" s="1"/>
  <c r="AM38" i="6" s="1"/>
  <c r="Q52" i="16"/>
  <c r="R52" i="16" s="1"/>
  <c r="P52" i="16" s="1"/>
  <c r="O52" i="16" s="1"/>
  <c r="N52" i="16" s="1"/>
  <c r="M52" i="16" s="1"/>
  <c r="L52" i="16" s="1"/>
  <c r="K52" i="16" s="1"/>
  <c r="J52" i="16" s="1"/>
  <c r="I52" i="16" s="1"/>
  <c r="AB52" i="16"/>
  <c r="AL48" i="6" s="1"/>
  <c r="AM48" i="6" s="1"/>
  <c r="Y38" i="16"/>
  <c r="X38" i="16" s="1"/>
  <c r="Q51" i="16"/>
  <c r="R51" i="16" s="1"/>
  <c r="P51" i="16" s="1"/>
  <c r="O51" i="16" s="1"/>
  <c r="N51" i="16" s="1"/>
  <c r="M51" i="16" s="1"/>
  <c r="L51" i="16" s="1"/>
  <c r="K51" i="16" s="1"/>
  <c r="J51" i="16" s="1"/>
  <c r="I51" i="16" s="1"/>
  <c r="AB51" i="16"/>
  <c r="AL47" i="6" s="1"/>
  <c r="AM47" i="6" s="1"/>
  <c r="Q47" i="16"/>
  <c r="R47" i="16" s="1"/>
  <c r="P47" i="16" s="1"/>
  <c r="O47" i="16" s="1"/>
  <c r="N47" i="16" s="1"/>
  <c r="M47" i="16" s="1"/>
  <c r="L47" i="16" s="1"/>
  <c r="K47" i="16" s="1"/>
  <c r="J47" i="16" s="1"/>
  <c r="I47" i="16" s="1"/>
  <c r="AB47" i="16"/>
  <c r="AL42" i="6" s="1"/>
  <c r="AM42" i="6" s="1"/>
  <c r="AB41" i="16"/>
  <c r="AL33" i="6" s="1"/>
  <c r="AM33" i="6" s="1"/>
  <c r="Q41" i="16"/>
  <c r="R41" i="16" s="1"/>
  <c r="P41" i="16" s="1"/>
  <c r="O41" i="16" s="1"/>
  <c r="N41" i="16" s="1"/>
  <c r="M41" i="16" s="1"/>
  <c r="L41" i="16" s="1"/>
  <c r="K41" i="16" s="1"/>
  <c r="J41" i="16" s="1"/>
  <c r="I41" i="16" s="1"/>
  <c r="Q37" i="16"/>
  <c r="R37" i="16" s="1"/>
  <c r="P37" i="16" s="1"/>
  <c r="O37" i="16" s="1"/>
  <c r="N37" i="16" s="1"/>
  <c r="M37" i="16" s="1"/>
  <c r="L37" i="16" s="1"/>
  <c r="K37" i="16" s="1"/>
  <c r="J37" i="16" s="1"/>
  <c r="I37" i="16" s="1"/>
  <c r="AB37" i="16"/>
  <c r="AL26" i="6" s="1"/>
  <c r="AM26" i="6" s="1"/>
  <c r="Q36" i="16"/>
  <c r="R36" i="16" s="1"/>
  <c r="P36" i="16" s="1"/>
  <c r="O36" i="16" s="1"/>
  <c r="N36" i="16" s="1"/>
  <c r="M36" i="16" s="1"/>
  <c r="L36" i="16" s="1"/>
  <c r="K36" i="16" s="1"/>
  <c r="J36" i="16" s="1"/>
  <c r="I36" i="16" s="1"/>
  <c r="AB36" i="16"/>
  <c r="AL25" i="6" s="1"/>
  <c r="AM25" i="6" s="1"/>
  <c r="Y46" i="16"/>
  <c r="X46" i="16" s="1"/>
  <c r="Y40" i="16"/>
  <c r="X40" i="16" s="1"/>
  <c r="Q35" i="16"/>
  <c r="R35" i="16" s="1"/>
  <c r="P35" i="16" s="1"/>
  <c r="O35" i="16" s="1"/>
  <c r="N35" i="16" s="1"/>
  <c r="M35" i="16" s="1"/>
  <c r="L35" i="16" s="1"/>
  <c r="K35" i="16" s="1"/>
  <c r="J35" i="16" s="1"/>
  <c r="I35" i="16" s="1"/>
  <c r="AB35" i="16"/>
  <c r="Q46" i="16"/>
  <c r="R46" i="16" s="1"/>
  <c r="P46" i="16" s="1"/>
  <c r="O46" i="16" s="1"/>
  <c r="N46" i="16" s="1"/>
  <c r="M46" i="16" s="1"/>
  <c r="L46" i="16" s="1"/>
  <c r="K46" i="16" s="1"/>
  <c r="J46" i="16" s="1"/>
  <c r="I46" i="16" s="1"/>
  <c r="Q38" i="16"/>
  <c r="R38" i="16" s="1"/>
  <c r="P38" i="16" s="1"/>
  <c r="O38" i="16" s="1"/>
  <c r="N38" i="16" s="1"/>
  <c r="M38" i="16" s="1"/>
  <c r="L38" i="16" s="1"/>
  <c r="K38" i="16" s="1"/>
  <c r="J38" i="16" s="1"/>
  <c r="I38" i="16" s="1"/>
  <c r="AB50" i="16"/>
  <c r="AL45" i="6" s="1"/>
  <c r="AM45" i="6" s="1"/>
  <c r="AB42" i="16"/>
  <c r="AL37" i="6" s="1"/>
  <c r="AM37" i="6" s="1"/>
  <c r="W13" i="16"/>
  <c r="V13" i="16" s="1"/>
  <c r="Q15" i="16"/>
  <c r="R15" i="16" s="1"/>
  <c r="P15" i="16" s="1"/>
  <c r="O15" i="16" s="1"/>
  <c r="N15" i="16" s="1"/>
  <c r="M15" i="16" s="1"/>
  <c r="L15" i="16" s="1"/>
  <c r="K15" i="16" s="1"/>
  <c r="J15" i="16" s="1"/>
  <c r="I15" i="16" s="1"/>
  <c r="AB15" i="16"/>
  <c r="Y21" i="16"/>
  <c r="X21" i="16" s="1"/>
  <c r="W21" i="16" s="1"/>
  <c r="V21" i="16" s="1"/>
  <c r="Z21" i="16"/>
  <c r="Q8" i="16"/>
  <c r="R8" i="16" s="1"/>
  <c r="P8" i="16" s="1"/>
  <c r="O8" i="16" s="1"/>
  <c r="N8" i="16" s="1"/>
  <c r="M8" i="16" s="1"/>
  <c r="L8" i="16" s="1"/>
  <c r="K8" i="16" s="1"/>
  <c r="J8" i="16" s="1"/>
  <c r="I8" i="16" s="1"/>
  <c r="AH23" i="6"/>
  <c r="AI23" i="6" s="1"/>
  <c r="Y6" i="16"/>
  <c r="X6" i="16" s="1"/>
  <c r="W6" i="16" s="1"/>
  <c r="V6" i="16" s="1"/>
  <c r="Q33" i="16"/>
  <c r="R33" i="16" s="1"/>
  <c r="P33" i="16" s="1"/>
  <c r="O33" i="16" s="1"/>
  <c r="N33" i="16" s="1"/>
  <c r="M33" i="16" s="1"/>
  <c r="L33" i="16" s="1"/>
  <c r="K33" i="16" s="1"/>
  <c r="J33" i="16" s="1"/>
  <c r="I33" i="16" s="1"/>
  <c r="Y8" i="16"/>
  <c r="X8" i="16" s="1"/>
  <c r="W8" i="16" s="1"/>
  <c r="V8" i="16" s="1"/>
  <c r="AA8" i="16"/>
  <c r="Z8" i="16" s="1"/>
  <c r="AA5" i="16"/>
  <c r="Y5" i="16"/>
  <c r="X5" i="16" s="1"/>
  <c r="Q27" i="16"/>
  <c r="R27" i="16" s="1"/>
  <c r="P27" i="16" s="1"/>
  <c r="O27" i="16" s="1"/>
  <c r="N27" i="16" s="1"/>
  <c r="M27" i="16" s="1"/>
  <c r="L27" i="16" s="1"/>
  <c r="K27" i="16" s="1"/>
  <c r="J27" i="16" s="1"/>
  <c r="I27" i="16" s="1"/>
  <c r="AB27" i="16"/>
  <c r="AL21" i="6" s="1"/>
  <c r="AM21" i="6" s="1"/>
  <c r="Q19" i="16"/>
  <c r="R19" i="16" s="1"/>
  <c r="P19" i="16" s="1"/>
  <c r="O19" i="16" s="1"/>
  <c r="N19" i="16" s="1"/>
  <c r="M19" i="16" s="1"/>
  <c r="L19" i="16" s="1"/>
  <c r="K19" i="16" s="1"/>
  <c r="J19" i="16" s="1"/>
  <c r="I19" i="16" s="1"/>
  <c r="AB19" i="16"/>
  <c r="AL12" i="6" s="1"/>
  <c r="AM12" i="6" s="1"/>
  <c r="Q11" i="16"/>
  <c r="R11" i="16" s="1"/>
  <c r="P11" i="16" s="1"/>
  <c r="O11" i="16" s="1"/>
  <c r="N11" i="16" s="1"/>
  <c r="M11" i="16" s="1"/>
  <c r="L11" i="16" s="1"/>
  <c r="K11" i="16" s="1"/>
  <c r="J11" i="16" s="1"/>
  <c r="I11" i="16" s="1"/>
  <c r="AB11" i="16"/>
  <c r="AL10" i="6" s="1"/>
  <c r="AM10" i="6" s="1"/>
  <c r="Q7" i="16"/>
  <c r="R7" i="16" s="1"/>
  <c r="P7" i="16" s="1"/>
  <c r="O7" i="16" s="1"/>
  <c r="N7" i="16" s="1"/>
  <c r="M7" i="16" s="1"/>
  <c r="L7" i="16" s="1"/>
  <c r="K7" i="16" s="1"/>
  <c r="J7" i="16" s="1"/>
  <c r="I7" i="16" s="1"/>
  <c r="AB7" i="16"/>
  <c r="Q12" i="16"/>
  <c r="R12" i="16" s="1"/>
  <c r="P12" i="16" s="1"/>
  <c r="O12" i="16" s="1"/>
  <c r="N12" i="16" s="1"/>
  <c r="M12" i="16" s="1"/>
  <c r="L12" i="16" s="1"/>
  <c r="K12" i="16" s="1"/>
  <c r="J12" i="16" s="1"/>
  <c r="I12" i="16" s="1"/>
  <c r="AB12" i="16"/>
  <c r="AB34" i="16"/>
  <c r="AL24" i="6" s="1"/>
  <c r="AM24" i="6" s="1"/>
  <c r="Q34" i="16"/>
  <c r="R34" i="16" s="1"/>
  <c r="P34" i="16" s="1"/>
  <c r="O34" i="16" s="1"/>
  <c r="N34" i="16" s="1"/>
  <c r="M34" i="16" s="1"/>
  <c r="L34" i="16" s="1"/>
  <c r="K34" i="16" s="1"/>
  <c r="J34" i="16" s="1"/>
  <c r="I34" i="16" s="1"/>
  <c r="AB26" i="16"/>
  <c r="AL20" i="6" s="1"/>
  <c r="AM20" i="6" s="1"/>
  <c r="Q26" i="16"/>
  <c r="R26" i="16" s="1"/>
  <c r="P26" i="16" s="1"/>
  <c r="O26" i="16" s="1"/>
  <c r="N26" i="16" s="1"/>
  <c r="M26" i="16" s="1"/>
  <c r="L26" i="16" s="1"/>
  <c r="K26" i="16" s="1"/>
  <c r="J26" i="16" s="1"/>
  <c r="I26" i="16" s="1"/>
  <c r="AB18" i="16"/>
  <c r="Q18" i="16"/>
  <c r="R18" i="16" s="1"/>
  <c r="P18" i="16" s="1"/>
  <c r="O18" i="16" s="1"/>
  <c r="N18" i="16" s="1"/>
  <c r="M18" i="16" s="1"/>
  <c r="L18" i="16" s="1"/>
  <c r="K18" i="16" s="1"/>
  <c r="J18" i="16" s="1"/>
  <c r="I18" i="16" s="1"/>
  <c r="AB10" i="16"/>
  <c r="AL9" i="6" s="1"/>
  <c r="AM9" i="6" s="1"/>
  <c r="Q10" i="16"/>
  <c r="R10" i="16" s="1"/>
  <c r="P10" i="16" s="1"/>
  <c r="O10" i="16" s="1"/>
  <c r="N10" i="16" s="1"/>
  <c r="M10" i="16" s="1"/>
  <c r="L10" i="16" s="1"/>
  <c r="K10" i="16" s="1"/>
  <c r="J10" i="16" s="1"/>
  <c r="I10" i="16" s="1"/>
  <c r="AH27" i="6"/>
  <c r="AI27" i="6" s="1"/>
  <c r="Q24" i="16"/>
  <c r="R24" i="16" s="1"/>
  <c r="P24" i="16" s="1"/>
  <c r="O24" i="16" s="1"/>
  <c r="N24" i="16" s="1"/>
  <c r="M24" i="16" s="1"/>
  <c r="L24" i="16" s="1"/>
  <c r="K24" i="16" s="1"/>
  <c r="J24" i="16" s="1"/>
  <c r="I24" i="16" s="1"/>
  <c r="Q28" i="16"/>
  <c r="R28" i="16" s="1"/>
  <c r="P28" i="16" s="1"/>
  <c r="O28" i="16" s="1"/>
  <c r="N28" i="16" s="1"/>
  <c r="M28" i="16" s="1"/>
  <c r="L28" i="16" s="1"/>
  <c r="K28" i="16" s="1"/>
  <c r="J28" i="16" s="1"/>
  <c r="I28" i="16" s="1"/>
  <c r="AB28" i="16"/>
  <c r="AL22" i="6" s="1"/>
  <c r="AM22" i="6" s="1"/>
  <c r="Q20" i="16"/>
  <c r="R20" i="16" s="1"/>
  <c r="P20" i="16" s="1"/>
  <c r="O20" i="16" s="1"/>
  <c r="N20" i="16" s="1"/>
  <c r="M20" i="16" s="1"/>
  <c r="L20" i="16" s="1"/>
  <c r="K20" i="16" s="1"/>
  <c r="J20" i="16" s="1"/>
  <c r="I20" i="16" s="1"/>
  <c r="AB20" i="16"/>
  <c r="Y32" i="16"/>
  <c r="X32" i="16" s="1"/>
  <c r="AA13" i="16"/>
  <c r="Q32" i="16"/>
  <c r="R32" i="16" s="1"/>
  <c r="P32" i="16" s="1"/>
  <c r="O32" i="16" s="1"/>
  <c r="N32" i="16" s="1"/>
  <c r="M32" i="16" s="1"/>
  <c r="L32" i="16" s="1"/>
  <c r="K32" i="16" s="1"/>
  <c r="J32" i="16" s="1"/>
  <c r="I32" i="16" s="1"/>
  <c r="Y17" i="16"/>
  <c r="X17" i="16" s="1"/>
  <c r="AA17" i="16"/>
  <c r="Y9" i="16"/>
  <c r="X9" i="16" s="1"/>
  <c r="W9" i="16" s="1"/>
  <c r="V9" i="16" s="1"/>
  <c r="AA9" i="16"/>
  <c r="Z9" i="16" s="1"/>
  <c r="AI35" i="6"/>
  <c r="Y24" i="16"/>
  <c r="X24" i="16" s="1"/>
  <c r="AB30" i="16"/>
  <c r="AL32" i="6" s="1"/>
  <c r="AM32" i="6" s="1"/>
  <c r="Q17" i="16"/>
  <c r="R17" i="16" s="1"/>
  <c r="P17" i="16" s="1"/>
  <c r="O17" i="16" s="1"/>
  <c r="N17" i="16" s="1"/>
  <c r="M17" i="16" s="1"/>
  <c r="L17" i="16" s="1"/>
  <c r="K17" i="16" s="1"/>
  <c r="J17" i="16" s="1"/>
  <c r="I17" i="16" s="1"/>
  <c r="Y29" i="16"/>
  <c r="X29" i="16" s="1"/>
  <c r="AB22" i="16"/>
  <c r="AL13" i="6" s="1"/>
  <c r="AM13" i="6" s="1"/>
  <c r="Q9" i="16"/>
  <c r="R9" i="16" s="1"/>
  <c r="P9" i="16" s="1"/>
  <c r="O9" i="16" s="1"/>
  <c r="N9" i="16" s="1"/>
  <c r="M9" i="16" s="1"/>
  <c r="L9" i="16" s="1"/>
  <c r="K9" i="16" s="1"/>
  <c r="J9" i="16" s="1"/>
  <c r="I9" i="16" s="1"/>
  <c r="AB31" i="16"/>
  <c r="AL31" i="6" s="1"/>
  <c r="AM31" i="6" s="1"/>
  <c r="AB23" i="16"/>
  <c r="AL14" i="6" s="1"/>
  <c r="AM14" i="6" s="1"/>
  <c r="Q5" i="16"/>
  <c r="R5" i="16" s="1"/>
  <c r="P5" i="16" s="1"/>
  <c r="O5" i="16" s="1"/>
  <c r="N5" i="16" s="1"/>
  <c r="M5" i="16" s="1"/>
  <c r="L5" i="16" s="1"/>
  <c r="K5" i="16" s="1"/>
  <c r="J5" i="16" s="1"/>
  <c r="I5" i="16" s="1"/>
  <c r="AA16" i="16" l="1"/>
  <c r="Z16" i="16" s="1"/>
  <c r="AO8" i="6"/>
  <c r="AL23" i="6"/>
  <c r="AM23" i="6" s="1"/>
  <c r="Y48" i="16"/>
  <c r="X48" i="16" s="1"/>
  <c r="AL27" i="6"/>
  <c r="AM27" i="6" s="1"/>
  <c r="AL28" i="6"/>
  <c r="AM28" i="6" s="1"/>
  <c r="T21" i="16"/>
  <c r="U21" i="16" s="1"/>
  <c r="AH30" i="6"/>
  <c r="AI30" i="6" s="1"/>
  <c r="X33" i="16"/>
  <c r="W33" i="16" s="1"/>
  <c r="V33" i="16" s="1"/>
  <c r="AO23" i="6"/>
  <c r="T8" i="16"/>
  <c r="U8" i="16" s="1"/>
  <c r="AC8" i="16"/>
  <c r="AO20" i="6"/>
  <c r="AO32" i="6"/>
  <c r="AO30" i="6"/>
  <c r="T13" i="16"/>
  <c r="U13" i="16" s="1"/>
  <c r="AC13" i="16"/>
  <c r="AL30" i="6"/>
  <c r="AM30" i="6" s="1"/>
  <c r="AO22" i="6"/>
  <c r="T16" i="16"/>
  <c r="U16" i="16" s="1"/>
  <c r="AC16" i="16"/>
  <c r="AO31" i="6"/>
  <c r="T9" i="16"/>
  <c r="U9" i="16" s="1"/>
  <c r="AC9" i="16"/>
  <c r="AH43" i="6"/>
  <c r="AI43" i="6" s="1"/>
  <c r="Y14" i="16"/>
  <c r="X14" i="16" s="1"/>
  <c r="W14" i="16" s="1"/>
  <c r="V14" i="16" s="1"/>
  <c r="T6" i="16"/>
  <c r="U6" i="16" s="1"/>
  <c r="AC6" i="16"/>
  <c r="AO41" i="6"/>
  <c r="AO21" i="6"/>
  <c r="Y60" i="16"/>
  <c r="X60" i="16" s="1"/>
  <c r="W60" i="16" s="1"/>
  <c r="V60" i="16" s="1"/>
  <c r="Z58" i="16"/>
  <c r="Y58" i="16"/>
  <c r="X58" i="16" s="1"/>
  <c r="W58" i="16" s="1"/>
  <c r="V58" i="16" s="1"/>
  <c r="Y55" i="16"/>
  <c r="Y56" i="16"/>
  <c r="Y57" i="16"/>
  <c r="X57" i="16" s="1"/>
  <c r="W57" i="16" s="1"/>
  <c r="V57" i="16" s="1"/>
  <c r="Z57" i="16"/>
  <c r="Y59" i="16"/>
  <c r="Y53" i="16"/>
  <c r="Y54" i="16"/>
  <c r="Y50" i="16"/>
  <c r="AO45" i="6" s="1"/>
  <c r="W40" i="16"/>
  <c r="V40" i="16" s="1"/>
  <c r="W48" i="16"/>
  <c r="V48" i="16" s="1"/>
  <c r="Y39" i="16"/>
  <c r="AO29" i="6" s="1"/>
  <c r="W46" i="16"/>
  <c r="V46" i="16" s="1"/>
  <c r="Y41" i="16"/>
  <c r="AH33" i="6"/>
  <c r="AI33" i="6" s="1"/>
  <c r="W38" i="16"/>
  <c r="V38" i="16" s="1"/>
  <c r="Y47" i="16"/>
  <c r="AO42" i="6" s="1"/>
  <c r="Y44" i="16"/>
  <c r="AO39" i="6" s="1"/>
  <c r="Z46" i="16"/>
  <c r="Z38" i="16"/>
  <c r="AH8" i="6"/>
  <c r="AI8" i="6" s="1"/>
  <c r="Y35" i="16"/>
  <c r="X35" i="16" s="1"/>
  <c r="Y36" i="16"/>
  <c r="AO25" i="6" s="1"/>
  <c r="Y51" i="16"/>
  <c r="Y52" i="16"/>
  <c r="Y45" i="16"/>
  <c r="AO40" i="6" s="1"/>
  <c r="Y37" i="16"/>
  <c r="AO26" i="6" s="1"/>
  <c r="Y43" i="16"/>
  <c r="AO38" i="6" s="1"/>
  <c r="Y42" i="16"/>
  <c r="AO37" i="6" s="1"/>
  <c r="Z40" i="16"/>
  <c r="Z48" i="16"/>
  <c r="Y49" i="16"/>
  <c r="AO44" i="6" s="1"/>
  <c r="W24" i="16"/>
  <c r="V24" i="16" s="1"/>
  <c r="W17" i="16"/>
  <c r="V17" i="16" s="1"/>
  <c r="Z5" i="16"/>
  <c r="Z32" i="16"/>
  <c r="W29" i="16"/>
  <c r="V29" i="16" s="1"/>
  <c r="Z24" i="16"/>
  <c r="Y20" i="16"/>
  <c r="X20" i="16" s="1"/>
  <c r="W25" i="16"/>
  <c r="V25" i="16" s="1"/>
  <c r="Y34" i="16"/>
  <c r="AO24" i="6" s="1"/>
  <c r="Y23" i="16"/>
  <c r="X23" i="16" s="1"/>
  <c r="X12" i="16"/>
  <c r="AA12" i="16"/>
  <c r="Y27" i="16"/>
  <c r="Y19" i="16"/>
  <c r="X19" i="16" s="1"/>
  <c r="AA19" i="16"/>
  <c r="Y31" i="16"/>
  <c r="Y28" i="16"/>
  <c r="Y10" i="16"/>
  <c r="X10" i="16" s="1"/>
  <c r="AA10" i="16"/>
  <c r="AA15" i="16"/>
  <c r="Z15" i="16" s="1"/>
  <c r="Y15" i="16"/>
  <c r="X15" i="16" s="1"/>
  <c r="W15" i="16" s="1"/>
  <c r="V15" i="16" s="1"/>
  <c r="Y26" i="16"/>
  <c r="Z29" i="16"/>
  <c r="Z13" i="16"/>
  <c r="AA7" i="16"/>
  <c r="Z7" i="16" s="1"/>
  <c r="Y7" i="16"/>
  <c r="X7" i="16" s="1"/>
  <c r="W7" i="16" s="1"/>
  <c r="V7" i="16" s="1"/>
  <c r="Z33" i="16"/>
  <c r="Z17" i="16"/>
  <c r="Y18" i="16"/>
  <c r="X18" i="16" s="1"/>
  <c r="AA18" i="16"/>
  <c r="Y22" i="16"/>
  <c r="X22" i="16" s="1"/>
  <c r="Y30" i="16"/>
  <c r="W32" i="16"/>
  <c r="V32" i="16" s="1"/>
  <c r="Z25" i="16"/>
  <c r="Y11" i="16"/>
  <c r="X11" i="16" s="1"/>
  <c r="AA11" i="16"/>
  <c r="W5" i="16"/>
  <c r="V5" i="16" s="1"/>
  <c r="AO43" i="6" l="1"/>
  <c r="T33" i="16"/>
  <c r="U33" i="16" s="1"/>
  <c r="AJ23" i="6"/>
  <c r="AK23" i="6" s="1"/>
  <c r="T5" i="16"/>
  <c r="U5" i="16" s="1"/>
  <c r="AC5" i="16"/>
  <c r="AH32" i="6"/>
  <c r="AI32" i="6" s="1"/>
  <c r="AH24" i="6"/>
  <c r="AI24" i="6" s="1"/>
  <c r="T29" i="16"/>
  <c r="U29" i="16" s="1"/>
  <c r="T57" i="16"/>
  <c r="U57" i="16" s="1"/>
  <c r="AH26" i="6"/>
  <c r="AI26" i="6" s="1"/>
  <c r="T38" i="16"/>
  <c r="U38" i="16" s="1"/>
  <c r="AJ28" i="6"/>
  <c r="AK28" i="6" s="1"/>
  <c r="T48" i="16"/>
  <c r="U48" i="16" s="1"/>
  <c r="AJ43" i="6"/>
  <c r="AK43" i="6" s="1"/>
  <c r="AH46" i="6"/>
  <c r="AI46" i="6" s="1"/>
  <c r="T60" i="16"/>
  <c r="U60" i="16" s="1"/>
  <c r="AH31" i="6"/>
  <c r="AI31" i="6" s="1"/>
  <c r="T25" i="16"/>
  <c r="U25" i="16" s="1"/>
  <c r="AJ27" i="6"/>
  <c r="AK27" i="6" s="1"/>
  <c r="AH47" i="6"/>
  <c r="AI47" i="6" s="1"/>
  <c r="T40" i="16"/>
  <c r="U40" i="16" s="1"/>
  <c r="AJ30" i="6"/>
  <c r="AK30" i="6" s="1"/>
  <c r="AH49" i="6"/>
  <c r="AI49" i="6" s="1"/>
  <c r="AO50" i="6"/>
  <c r="AO47" i="6"/>
  <c r="AO48" i="6"/>
  <c r="AO51" i="6"/>
  <c r="AO49" i="6"/>
  <c r="AO46" i="6"/>
  <c r="AH38" i="6"/>
  <c r="AI38" i="6" s="1"/>
  <c r="AH51" i="6"/>
  <c r="AI51" i="6" s="1"/>
  <c r="AH21" i="6"/>
  <c r="AI21" i="6" s="1"/>
  <c r="T14" i="16"/>
  <c r="U14" i="16" s="1"/>
  <c r="AC14" i="16"/>
  <c r="T7" i="16"/>
  <c r="U7" i="16" s="1"/>
  <c r="AC7" i="16"/>
  <c r="T15" i="16"/>
  <c r="U15" i="16" s="1"/>
  <c r="AC15" i="16"/>
  <c r="T17" i="16"/>
  <c r="U17" i="16" s="1"/>
  <c r="AC17" i="16"/>
  <c r="AH37" i="6"/>
  <c r="AI37" i="6" s="1"/>
  <c r="AH40" i="6"/>
  <c r="AI40" i="6" s="1"/>
  <c r="AH25" i="6"/>
  <c r="AI25" i="6" s="1"/>
  <c r="AH39" i="6"/>
  <c r="AI39" i="6" s="1"/>
  <c r="X41" i="16"/>
  <c r="AO36" i="6"/>
  <c r="AH45" i="6"/>
  <c r="AI45" i="6" s="1"/>
  <c r="AH36" i="6"/>
  <c r="AI36" i="6" s="1"/>
  <c r="T32" i="16"/>
  <c r="U32" i="16" s="1"/>
  <c r="AJ7" i="6"/>
  <c r="AK7" i="6" s="1"/>
  <c r="T24" i="16"/>
  <c r="U24" i="16" s="1"/>
  <c r="AJ35" i="6"/>
  <c r="AK35" i="6" s="1"/>
  <c r="T46" i="16"/>
  <c r="U46" i="16" s="1"/>
  <c r="AJ41" i="6"/>
  <c r="AK41" i="6" s="1"/>
  <c r="AH20" i="6"/>
  <c r="AI20" i="6" s="1"/>
  <c r="AH22" i="6"/>
  <c r="AI22" i="6" s="1"/>
  <c r="AH44" i="6"/>
  <c r="AI44" i="6" s="1"/>
  <c r="AH48" i="6"/>
  <c r="AI48" i="6" s="1"/>
  <c r="AH42" i="6"/>
  <c r="AI42" i="6" s="1"/>
  <c r="AH29" i="6"/>
  <c r="AI29" i="6" s="1"/>
  <c r="AH50" i="6"/>
  <c r="AI50" i="6" s="1"/>
  <c r="T58" i="16"/>
  <c r="U58" i="16" s="1"/>
  <c r="X44" i="16"/>
  <c r="W44" i="16" s="1"/>
  <c r="V44" i="16" s="1"/>
  <c r="X39" i="16"/>
  <c r="W39" i="16" s="1"/>
  <c r="V39" i="16" s="1"/>
  <c r="X28" i="16"/>
  <c r="W28" i="16" s="1"/>
  <c r="V28" i="16" s="1"/>
  <c r="X49" i="16"/>
  <c r="W49" i="16" s="1"/>
  <c r="V49" i="16" s="1"/>
  <c r="X47" i="16"/>
  <c r="W47" i="16" s="1"/>
  <c r="V47" i="16" s="1"/>
  <c r="X36" i="16"/>
  <c r="W36" i="16" s="1"/>
  <c r="V36" i="16" s="1"/>
  <c r="X59" i="16"/>
  <c r="W59" i="16" s="1"/>
  <c r="V59" i="16" s="1"/>
  <c r="X31" i="16"/>
  <c r="W31" i="16" s="1"/>
  <c r="V31" i="16" s="1"/>
  <c r="X26" i="16"/>
  <c r="W26" i="16" s="1"/>
  <c r="V26" i="16" s="1"/>
  <c r="X45" i="16"/>
  <c r="W45" i="16" s="1"/>
  <c r="V45" i="16" s="1"/>
  <c r="X50" i="16"/>
  <c r="W50" i="16" s="1"/>
  <c r="V50" i="16" s="1"/>
  <c r="X37" i="16"/>
  <c r="W37" i="16" s="1"/>
  <c r="V37" i="16" s="1"/>
  <c r="X42" i="16"/>
  <c r="W42" i="16" s="1"/>
  <c r="V42" i="16" s="1"/>
  <c r="X52" i="16"/>
  <c r="W52" i="16" s="1"/>
  <c r="V52" i="16" s="1"/>
  <c r="X54" i="16"/>
  <c r="W54" i="16" s="1"/>
  <c r="V54" i="16" s="1"/>
  <c r="X56" i="16"/>
  <c r="W56" i="16" s="1"/>
  <c r="V56" i="16" s="1"/>
  <c r="X27" i="16"/>
  <c r="W27" i="16" s="1"/>
  <c r="V27" i="16" s="1"/>
  <c r="X30" i="16"/>
  <c r="W30" i="16" s="1"/>
  <c r="V30" i="16" s="1"/>
  <c r="X34" i="16"/>
  <c r="W34" i="16" s="1"/>
  <c r="V34" i="16" s="1"/>
  <c r="X43" i="16"/>
  <c r="W43" i="16" s="1"/>
  <c r="V43" i="16" s="1"/>
  <c r="X51" i="16"/>
  <c r="W51" i="16" s="1"/>
  <c r="V51" i="16" s="1"/>
  <c r="X53" i="16"/>
  <c r="W53" i="16" s="1"/>
  <c r="V53" i="16" s="1"/>
  <c r="X55" i="16"/>
  <c r="W55" i="16" s="1"/>
  <c r="V55" i="16" s="1"/>
  <c r="Z56" i="16"/>
  <c r="Z59" i="16"/>
  <c r="Z55" i="16"/>
  <c r="Z53" i="16"/>
  <c r="Z54" i="16"/>
  <c r="Z52" i="16"/>
  <c r="Z51" i="16"/>
  <c r="Z50" i="16"/>
  <c r="Z37" i="16"/>
  <c r="Z36" i="16"/>
  <c r="Z39" i="16"/>
  <c r="Z49" i="16"/>
  <c r="Z42" i="16"/>
  <c r="Z43" i="16"/>
  <c r="Z45" i="16"/>
  <c r="Z44" i="16"/>
  <c r="Z41" i="16"/>
  <c r="W35" i="16"/>
  <c r="V35" i="16" s="1"/>
  <c r="W41" i="16"/>
  <c r="V41" i="16" s="1"/>
  <c r="Z35" i="16"/>
  <c r="Z47" i="16"/>
  <c r="Z28" i="16"/>
  <c r="Z19" i="16"/>
  <c r="Z23" i="16"/>
  <c r="Z20" i="16"/>
  <c r="W11" i="16"/>
  <c r="V11" i="16" s="1"/>
  <c r="Z30" i="16"/>
  <c r="W18" i="16"/>
  <c r="V18" i="16" s="1"/>
  <c r="W19" i="16"/>
  <c r="V19" i="16" s="1"/>
  <c r="Z12" i="16"/>
  <c r="Z34" i="16"/>
  <c r="W20" i="16"/>
  <c r="V20" i="16" s="1"/>
  <c r="W12" i="16"/>
  <c r="V12" i="16" s="1"/>
  <c r="W22" i="16"/>
  <c r="V22" i="16" s="1"/>
  <c r="Z10" i="16"/>
  <c r="Z11" i="16"/>
  <c r="Z18" i="16"/>
  <c r="Z22" i="16"/>
  <c r="Z26" i="16"/>
  <c r="W10" i="16"/>
  <c r="V10" i="16" s="1"/>
  <c r="Z27" i="16"/>
  <c r="W23" i="16"/>
  <c r="V23" i="16" s="1"/>
  <c r="Z31" i="16"/>
  <c r="T27" i="16" l="1"/>
  <c r="U27" i="16" s="1"/>
  <c r="AJ21" i="6"/>
  <c r="AK21" i="6" s="1"/>
  <c r="T39" i="16"/>
  <c r="U39" i="16" s="1"/>
  <c r="AJ29" i="6"/>
  <c r="AK29" i="6" s="1"/>
  <c r="T50" i="16"/>
  <c r="U50" i="16" s="1"/>
  <c r="AJ45" i="6"/>
  <c r="AK45" i="6" s="1"/>
  <c r="T28" i="16"/>
  <c r="U28" i="16" s="1"/>
  <c r="AJ22" i="6"/>
  <c r="AK22" i="6" s="1"/>
  <c r="T59" i="16"/>
  <c r="U59" i="16" s="1"/>
  <c r="AJ36" i="6"/>
  <c r="AK36" i="6" s="1"/>
  <c r="T10" i="16"/>
  <c r="U10" i="16" s="1"/>
  <c r="AC10" i="16"/>
  <c r="AJ9" i="6" s="1"/>
  <c r="AK9" i="6" s="1"/>
  <c r="T43" i="16"/>
  <c r="U43" i="16" s="1"/>
  <c r="AJ38" i="6"/>
  <c r="AK38" i="6" s="1"/>
  <c r="T19" i="16"/>
  <c r="U19" i="16" s="1"/>
  <c r="AC19" i="16"/>
  <c r="AJ12" i="6" s="1"/>
  <c r="AK12" i="6" s="1"/>
  <c r="T44" i="16"/>
  <c r="U44" i="16" s="1"/>
  <c r="AJ39" i="6"/>
  <c r="AK39" i="6" s="1"/>
  <c r="T54" i="16"/>
  <c r="U54" i="16" s="1"/>
  <c r="AJ50" i="6"/>
  <c r="AK50" i="6" s="1"/>
  <c r="T42" i="16"/>
  <c r="U42" i="16" s="1"/>
  <c r="AJ37" i="6"/>
  <c r="AK37" i="6" s="1"/>
  <c r="T22" i="16"/>
  <c r="U22" i="16" s="1"/>
  <c r="AJ13" i="6"/>
  <c r="AK13" i="6" s="1"/>
  <c r="T35" i="16"/>
  <c r="U35" i="16" s="1"/>
  <c r="T30" i="16"/>
  <c r="U30" i="16" s="1"/>
  <c r="AJ32" i="6"/>
  <c r="AK32" i="6" s="1"/>
  <c r="T37" i="16"/>
  <c r="U37" i="16" s="1"/>
  <c r="AJ26" i="6"/>
  <c r="AK26" i="6" s="1"/>
  <c r="T36" i="16"/>
  <c r="U36" i="16" s="1"/>
  <c r="AJ25" i="6"/>
  <c r="AK25" i="6" s="1"/>
  <c r="T41" i="16"/>
  <c r="U41" i="16" s="1"/>
  <c r="AJ33" i="6"/>
  <c r="AK33" i="6" s="1"/>
  <c r="T52" i="16"/>
  <c r="U52" i="16" s="1"/>
  <c r="AJ48" i="6"/>
  <c r="AK48" i="6" s="1"/>
  <c r="T12" i="16"/>
  <c r="U12" i="16" s="1"/>
  <c r="AC12" i="16"/>
  <c r="T23" i="16"/>
  <c r="U23" i="16" s="1"/>
  <c r="AJ14" i="6"/>
  <c r="AK14" i="6" s="1"/>
  <c r="T20" i="16"/>
  <c r="U20" i="16" s="1"/>
  <c r="T53" i="16"/>
  <c r="U53" i="16" s="1"/>
  <c r="AJ49" i="6"/>
  <c r="AK49" i="6" s="1"/>
  <c r="T56" i="16"/>
  <c r="U56" i="16" s="1"/>
  <c r="AJ46" i="6"/>
  <c r="AK46" i="6" s="1"/>
  <c r="T49" i="16"/>
  <c r="U49" i="16" s="1"/>
  <c r="AJ44" i="6"/>
  <c r="AK44" i="6" s="1"/>
  <c r="T55" i="16"/>
  <c r="U55" i="16" s="1"/>
  <c r="AJ51" i="6"/>
  <c r="AK51" i="6" s="1"/>
  <c r="T31" i="16"/>
  <c r="U31" i="16" s="1"/>
  <c r="AJ31" i="6"/>
  <c r="AK31" i="6" s="1"/>
  <c r="T34" i="16"/>
  <c r="U34" i="16" s="1"/>
  <c r="AJ24" i="6"/>
  <c r="AK24" i="6" s="1"/>
  <c r="T18" i="16"/>
  <c r="U18" i="16" s="1"/>
  <c r="AC18" i="16"/>
  <c r="AJ11" i="6" s="1"/>
  <c r="AK11" i="6" s="1"/>
  <c r="T45" i="16"/>
  <c r="U45" i="16" s="1"/>
  <c r="AJ40" i="6"/>
  <c r="AK40" i="6" s="1"/>
  <c r="T47" i="16"/>
  <c r="U47" i="16" s="1"/>
  <c r="AJ42" i="6"/>
  <c r="AK42" i="6" s="1"/>
  <c r="T11" i="16"/>
  <c r="U11" i="16" s="1"/>
  <c r="AC11" i="16"/>
  <c r="AJ10" i="6" s="1"/>
  <c r="AK10" i="6" s="1"/>
  <c r="T51" i="16"/>
  <c r="U51" i="16" s="1"/>
  <c r="AJ47" i="6"/>
  <c r="AK47" i="6" s="1"/>
  <c r="T26" i="16"/>
  <c r="U26" i="16" s="1"/>
  <c r="AJ20" i="6"/>
  <c r="AK20" i="6" s="1"/>
  <c r="B8" i="3"/>
  <c r="B6" i="3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" i="2"/>
  <c r="B71" i="3"/>
  <c r="B70" i="3"/>
  <c r="B69" i="3"/>
  <c r="A265" i="13"/>
  <c r="I265" i="13" s="1"/>
  <c r="B265" i="13"/>
  <c r="C265" i="13"/>
  <c r="A266" i="13"/>
  <c r="L266" i="13" s="1"/>
  <c r="B266" i="13"/>
  <c r="C266" i="13"/>
  <c r="A267" i="13"/>
  <c r="K267" i="13" s="1"/>
  <c r="B267" i="13"/>
  <c r="C267" i="13"/>
  <c r="A268" i="13"/>
  <c r="I268" i="13" s="1"/>
  <c r="B268" i="13"/>
  <c r="C268" i="13"/>
  <c r="A269" i="13"/>
  <c r="L269" i="13" s="1"/>
  <c r="B269" i="13"/>
  <c r="C269" i="13"/>
  <c r="A270" i="13"/>
  <c r="G270" i="13" s="1"/>
  <c r="B270" i="13"/>
  <c r="C270" i="13"/>
  <c r="A271" i="13"/>
  <c r="I271" i="13" s="1"/>
  <c r="B271" i="13"/>
  <c r="C271" i="13"/>
  <c r="A272" i="13"/>
  <c r="B272" i="13"/>
  <c r="C272" i="13"/>
  <c r="A273" i="13"/>
  <c r="G273" i="13" s="1"/>
  <c r="B273" i="13"/>
  <c r="C273" i="13"/>
  <c r="A274" i="13"/>
  <c r="I274" i="13" s="1"/>
  <c r="B274" i="13"/>
  <c r="C274" i="13"/>
  <c r="A275" i="13"/>
  <c r="B275" i="13"/>
  <c r="C275" i="13"/>
  <c r="A276" i="13"/>
  <c r="B276" i="13"/>
  <c r="C276" i="13"/>
  <c r="A277" i="13"/>
  <c r="I277" i="13" s="1"/>
  <c r="B277" i="13"/>
  <c r="C277" i="13"/>
  <c r="A278" i="13"/>
  <c r="L278" i="13" s="1"/>
  <c r="B278" i="13"/>
  <c r="C278" i="13"/>
  <c r="A279" i="13"/>
  <c r="K279" i="13" s="1"/>
  <c r="B279" i="13"/>
  <c r="C279" i="13"/>
  <c r="A280" i="13"/>
  <c r="B280" i="13"/>
  <c r="C280" i="13"/>
  <c r="A281" i="13"/>
  <c r="L281" i="13" s="1"/>
  <c r="B281" i="13"/>
  <c r="C281" i="13"/>
  <c r="A282" i="13"/>
  <c r="B282" i="13"/>
  <c r="C282" i="13"/>
  <c r="A283" i="13"/>
  <c r="B283" i="13"/>
  <c r="C283" i="13"/>
  <c r="A284" i="13"/>
  <c r="L284" i="13" s="1"/>
  <c r="B284" i="13"/>
  <c r="C284" i="13"/>
  <c r="A285" i="13"/>
  <c r="I285" i="13" s="1"/>
  <c r="B285" i="13"/>
  <c r="C285" i="13"/>
  <c r="A286" i="13"/>
  <c r="I286" i="13" s="1"/>
  <c r="B286" i="13"/>
  <c r="C286" i="13"/>
  <c r="A287" i="13"/>
  <c r="L287" i="13" s="1"/>
  <c r="B287" i="13"/>
  <c r="C287" i="13"/>
  <c r="A288" i="13"/>
  <c r="B288" i="13"/>
  <c r="C288" i="13"/>
  <c r="A289" i="13"/>
  <c r="N289" i="13" s="1"/>
  <c r="B289" i="13"/>
  <c r="C289" i="13"/>
  <c r="A290" i="13"/>
  <c r="L290" i="13" s="1"/>
  <c r="H290" i="13" s="1"/>
  <c r="B290" i="13"/>
  <c r="C290" i="13"/>
  <c r="A291" i="13"/>
  <c r="G291" i="13" s="1"/>
  <c r="B291" i="13"/>
  <c r="C291" i="13"/>
  <c r="A292" i="13"/>
  <c r="K292" i="13" s="1"/>
  <c r="B292" i="13"/>
  <c r="C292" i="13"/>
  <c r="A293" i="13"/>
  <c r="L293" i="13" s="1"/>
  <c r="H293" i="13" s="1"/>
  <c r="B293" i="13"/>
  <c r="C293" i="13"/>
  <c r="A294" i="13"/>
  <c r="G294" i="13" s="1"/>
  <c r="B294" i="13"/>
  <c r="C294" i="13"/>
  <c r="A295" i="13"/>
  <c r="N295" i="13" s="1"/>
  <c r="B295" i="13"/>
  <c r="C295" i="13"/>
  <c r="A296" i="13"/>
  <c r="L296" i="13" s="1"/>
  <c r="H296" i="13" s="1"/>
  <c r="B296" i="13"/>
  <c r="C296" i="13"/>
  <c r="A297" i="13"/>
  <c r="G297" i="13" s="1"/>
  <c r="B297" i="13"/>
  <c r="C297" i="13"/>
  <c r="A298" i="13"/>
  <c r="I298" i="13" s="1"/>
  <c r="B298" i="13"/>
  <c r="C298" i="13"/>
  <c r="A299" i="13"/>
  <c r="L299" i="13" s="1"/>
  <c r="H299" i="13" s="1"/>
  <c r="B299" i="13"/>
  <c r="C299" i="13"/>
  <c r="A300" i="13"/>
  <c r="G300" i="13" s="1"/>
  <c r="B300" i="13"/>
  <c r="C300" i="13"/>
  <c r="A301" i="13"/>
  <c r="K301" i="13" s="1"/>
  <c r="B301" i="13"/>
  <c r="C301" i="13"/>
  <c r="A302" i="13"/>
  <c r="L302" i="13" s="1"/>
  <c r="H302" i="13" s="1"/>
  <c r="B302" i="13"/>
  <c r="C302" i="13"/>
  <c r="A303" i="13"/>
  <c r="B303" i="13"/>
  <c r="C303" i="13"/>
  <c r="A304" i="13"/>
  <c r="I304" i="13" s="1"/>
  <c r="B304" i="13"/>
  <c r="C304" i="13"/>
  <c r="A305" i="13"/>
  <c r="B305" i="13"/>
  <c r="C305" i="13"/>
  <c r="A306" i="13"/>
  <c r="G306" i="13" s="1"/>
  <c r="B306" i="13"/>
  <c r="C306" i="13"/>
  <c r="A307" i="13"/>
  <c r="K307" i="13" s="1"/>
  <c r="B307" i="13"/>
  <c r="C307" i="13"/>
  <c r="A308" i="13"/>
  <c r="L308" i="13" s="1"/>
  <c r="B308" i="13"/>
  <c r="C308" i="13"/>
  <c r="A309" i="13"/>
  <c r="G309" i="13" s="1"/>
  <c r="B309" i="13"/>
  <c r="C309" i="13"/>
  <c r="A310" i="13"/>
  <c r="K310" i="13" s="1"/>
  <c r="B310" i="13"/>
  <c r="C310" i="13"/>
  <c r="A311" i="13"/>
  <c r="L311" i="13" s="1"/>
  <c r="H311" i="13" s="1"/>
  <c r="B311" i="13"/>
  <c r="C311" i="13"/>
  <c r="A312" i="13"/>
  <c r="G312" i="13" s="1"/>
  <c r="B312" i="13"/>
  <c r="C312" i="13"/>
  <c r="A313" i="13"/>
  <c r="N313" i="13" s="1"/>
  <c r="B313" i="13"/>
  <c r="C313" i="13"/>
  <c r="A314" i="13"/>
  <c r="L314" i="13" s="1"/>
  <c r="B314" i="13"/>
  <c r="C314" i="13"/>
  <c r="A315" i="13"/>
  <c r="G315" i="13" s="1"/>
  <c r="B315" i="13"/>
  <c r="C315" i="13"/>
  <c r="A316" i="13"/>
  <c r="B316" i="13"/>
  <c r="C316" i="13"/>
  <c r="A317" i="13"/>
  <c r="L317" i="13" s="1"/>
  <c r="B317" i="13"/>
  <c r="C317" i="13"/>
  <c r="A318" i="13"/>
  <c r="G318" i="13" s="1"/>
  <c r="B318" i="13"/>
  <c r="C318" i="13"/>
  <c r="A319" i="13"/>
  <c r="L319" i="13" s="1"/>
  <c r="J319" i="13" s="1"/>
  <c r="B319" i="13"/>
  <c r="C319" i="13"/>
  <c r="A320" i="13"/>
  <c r="B320" i="13"/>
  <c r="C320" i="13"/>
  <c r="A321" i="13"/>
  <c r="K321" i="13" s="1"/>
  <c r="B321" i="13"/>
  <c r="C321" i="13"/>
  <c r="A322" i="13"/>
  <c r="L322" i="13" s="1"/>
  <c r="B322" i="13"/>
  <c r="C322" i="13"/>
  <c r="A323" i="13"/>
  <c r="L323" i="13" s="1"/>
  <c r="B323" i="13"/>
  <c r="C323" i="13"/>
  <c r="A324" i="13"/>
  <c r="I324" i="13" s="1"/>
  <c r="B324" i="13"/>
  <c r="C324" i="13"/>
  <c r="A325" i="13"/>
  <c r="I325" i="13" s="1"/>
  <c r="B325" i="13"/>
  <c r="C325" i="13"/>
  <c r="A326" i="13"/>
  <c r="L326" i="13" s="1"/>
  <c r="B326" i="13"/>
  <c r="C326" i="13"/>
  <c r="A327" i="13"/>
  <c r="L327" i="13" s="1"/>
  <c r="B327" i="13"/>
  <c r="C327" i="13"/>
  <c r="A328" i="13"/>
  <c r="B328" i="13"/>
  <c r="C328" i="13"/>
  <c r="A329" i="13"/>
  <c r="B329" i="13"/>
  <c r="C329" i="13"/>
  <c r="A330" i="13"/>
  <c r="N330" i="13" s="1"/>
  <c r="B330" i="13"/>
  <c r="C330" i="13"/>
  <c r="A331" i="13"/>
  <c r="B331" i="13"/>
  <c r="C331" i="13"/>
  <c r="A332" i="13"/>
  <c r="B332" i="13"/>
  <c r="C332" i="13"/>
  <c r="A333" i="13"/>
  <c r="I333" i="13" s="1"/>
  <c r="B333" i="13"/>
  <c r="C333" i="13"/>
  <c r="A334" i="13"/>
  <c r="B334" i="13"/>
  <c r="C334" i="13"/>
  <c r="A335" i="13"/>
  <c r="G335" i="13" s="1"/>
  <c r="B335" i="13"/>
  <c r="C335" i="13"/>
  <c r="A336" i="13"/>
  <c r="B336" i="13"/>
  <c r="C336" i="13"/>
  <c r="A337" i="13"/>
  <c r="L337" i="13" s="1"/>
  <c r="B337" i="13"/>
  <c r="C337" i="13"/>
  <c r="A338" i="13"/>
  <c r="B338" i="13"/>
  <c r="C338" i="13"/>
  <c r="A339" i="13"/>
  <c r="L339" i="13" s="1"/>
  <c r="B339" i="13"/>
  <c r="C339" i="13"/>
  <c r="A340" i="13"/>
  <c r="K340" i="13" s="1"/>
  <c r="B340" i="13"/>
  <c r="C340" i="13"/>
  <c r="A341" i="13"/>
  <c r="B341" i="13"/>
  <c r="C341" i="13"/>
  <c r="A342" i="13"/>
  <c r="B342" i="13"/>
  <c r="C342" i="13"/>
  <c r="A343" i="13"/>
  <c r="B343" i="13"/>
  <c r="C343" i="13"/>
  <c r="A344" i="13"/>
  <c r="B344" i="13"/>
  <c r="C344" i="13"/>
  <c r="A345" i="13"/>
  <c r="B345" i="13"/>
  <c r="C345" i="13"/>
  <c r="A346" i="13"/>
  <c r="K346" i="13" s="1"/>
  <c r="B346" i="13"/>
  <c r="C346" i="13"/>
  <c r="A347" i="13"/>
  <c r="K347" i="13" s="1"/>
  <c r="B347" i="13"/>
  <c r="C347" i="13"/>
  <c r="A348" i="13"/>
  <c r="B348" i="13"/>
  <c r="C348" i="13"/>
  <c r="F348" i="13"/>
  <c r="D348" i="13" s="1"/>
  <c r="A349" i="13"/>
  <c r="K349" i="13" s="1"/>
  <c r="B349" i="13"/>
  <c r="C349" i="13"/>
  <c r="F349" i="13"/>
  <c r="D349" i="13" s="1"/>
  <c r="A350" i="13"/>
  <c r="K350" i="13" s="1"/>
  <c r="B350" i="13"/>
  <c r="C350" i="13"/>
  <c r="F350" i="13"/>
  <c r="D350" i="13" s="1"/>
  <c r="A351" i="13"/>
  <c r="B351" i="13"/>
  <c r="C351" i="13"/>
  <c r="F351" i="13"/>
  <c r="D351" i="13" s="1"/>
  <c r="A352" i="13"/>
  <c r="B352" i="13"/>
  <c r="C352" i="13"/>
  <c r="F352" i="13"/>
  <c r="D352" i="13" s="1"/>
  <c r="A353" i="13"/>
  <c r="B353" i="13"/>
  <c r="C353" i="13"/>
  <c r="F353" i="13"/>
  <c r="D353" i="13" s="1"/>
  <c r="A354" i="13"/>
  <c r="I354" i="13" s="1"/>
  <c r="B354" i="13"/>
  <c r="C354" i="13"/>
  <c r="F354" i="13"/>
  <c r="A355" i="13"/>
  <c r="K355" i="13" s="1"/>
  <c r="B355" i="13"/>
  <c r="C355" i="13"/>
  <c r="F355" i="13"/>
  <c r="A356" i="13"/>
  <c r="N356" i="13" s="1"/>
  <c r="B356" i="13"/>
  <c r="C356" i="13"/>
  <c r="F356" i="13"/>
  <c r="D356" i="13" s="1"/>
  <c r="A357" i="13"/>
  <c r="I357" i="13" s="1"/>
  <c r="B357" i="13"/>
  <c r="C357" i="13"/>
  <c r="F357" i="13"/>
  <c r="D357" i="13" s="1"/>
  <c r="A358" i="13"/>
  <c r="B358" i="13"/>
  <c r="C358" i="13"/>
  <c r="F358" i="13"/>
  <c r="D358" i="13" s="1"/>
  <c r="A359" i="13"/>
  <c r="K359" i="13" s="1"/>
  <c r="B359" i="13"/>
  <c r="C359" i="13"/>
  <c r="F359" i="13"/>
  <c r="D359" i="13" s="1"/>
  <c r="A360" i="13"/>
  <c r="B360" i="13"/>
  <c r="C360" i="13"/>
  <c r="F360" i="13"/>
  <c r="D360" i="13" s="1"/>
  <c r="A361" i="13"/>
  <c r="B361" i="13"/>
  <c r="C361" i="13"/>
  <c r="F361" i="13"/>
  <c r="D361" i="13" s="1"/>
  <c r="A362" i="13"/>
  <c r="B362" i="13"/>
  <c r="C362" i="13"/>
  <c r="F362" i="13"/>
  <c r="D362" i="13" s="1"/>
  <c r="A363" i="13"/>
  <c r="B363" i="13"/>
  <c r="C363" i="13"/>
  <c r="A364" i="13"/>
  <c r="K364" i="13" s="1"/>
  <c r="B364" i="13"/>
  <c r="C364" i="13"/>
  <c r="A365" i="13"/>
  <c r="B365" i="13"/>
  <c r="C365" i="13"/>
  <c r="A366" i="13"/>
  <c r="L366" i="13" s="1"/>
  <c r="B366" i="13"/>
  <c r="C366" i="13"/>
  <c r="A367" i="13"/>
  <c r="K367" i="13" s="1"/>
  <c r="B367" i="13"/>
  <c r="C367" i="13"/>
  <c r="A368" i="13"/>
  <c r="B368" i="13"/>
  <c r="C368" i="13"/>
  <c r="A369" i="13"/>
  <c r="B369" i="13"/>
  <c r="C369" i="13"/>
  <c r="A370" i="13"/>
  <c r="B370" i="13"/>
  <c r="C370" i="13"/>
  <c r="A371" i="13"/>
  <c r="B371" i="13"/>
  <c r="C371" i="13"/>
  <c r="A372" i="13"/>
  <c r="I372" i="13" s="1"/>
  <c r="B372" i="13"/>
  <c r="C372" i="13"/>
  <c r="A373" i="13"/>
  <c r="K373" i="13" s="1"/>
  <c r="B373" i="13"/>
  <c r="C373" i="13"/>
  <c r="A374" i="13"/>
  <c r="N374" i="13" s="1"/>
  <c r="B374" i="13"/>
  <c r="C374" i="13"/>
  <c r="A375" i="13"/>
  <c r="B375" i="13"/>
  <c r="C375" i="13"/>
  <c r="A376" i="13"/>
  <c r="B376" i="13"/>
  <c r="C376" i="13"/>
  <c r="A377" i="13"/>
  <c r="G377" i="13" s="1"/>
  <c r="B377" i="13"/>
  <c r="C377" i="13"/>
  <c r="A378" i="13"/>
  <c r="B378" i="13"/>
  <c r="C378" i="13"/>
  <c r="A379" i="13"/>
  <c r="I379" i="13" s="1"/>
  <c r="B379" i="13"/>
  <c r="C379" i="13"/>
  <c r="A380" i="13"/>
  <c r="B380" i="13"/>
  <c r="C380" i="13"/>
  <c r="A381" i="13"/>
  <c r="B381" i="13"/>
  <c r="C381" i="13"/>
  <c r="A382" i="13"/>
  <c r="B382" i="13"/>
  <c r="C382" i="13"/>
  <c r="A383" i="13"/>
  <c r="K383" i="13" s="1"/>
  <c r="B383" i="13"/>
  <c r="C383" i="13"/>
  <c r="A384" i="13"/>
  <c r="I384" i="13" s="1"/>
  <c r="B384" i="13"/>
  <c r="C384" i="13"/>
  <c r="A385" i="13"/>
  <c r="L385" i="13" s="1"/>
  <c r="B385" i="13"/>
  <c r="C385" i="13"/>
  <c r="A386" i="13"/>
  <c r="B386" i="13"/>
  <c r="C386" i="13"/>
  <c r="A387" i="13"/>
  <c r="I387" i="13" s="1"/>
  <c r="B387" i="13"/>
  <c r="C387" i="13"/>
  <c r="A388" i="13"/>
  <c r="B388" i="13"/>
  <c r="C388" i="13"/>
  <c r="A389" i="13"/>
  <c r="K389" i="13" s="1"/>
  <c r="B389" i="13"/>
  <c r="C389" i="13"/>
  <c r="A390" i="13"/>
  <c r="I390" i="13" s="1"/>
  <c r="B390" i="13"/>
  <c r="C390" i="13"/>
  <c r="A391" i="13"/>
  <c r="B391" i="13"/>
  <c r="C391" i="13"/>
  <c r="A392" i="13"/>
  <c r="G392" i="13" s="1"/>
  <c r="B392" i="13"/>
  <c r="C392" i="13"/>
  <c r="A393" i="13"/>
  <c r="B393" i="13"/>
  <c r="C393" i="13"/>
  <c r="A394" i="13"/>
  <c r="B394" i="13"/>
  <c r="C394" i="13"/>
  <c r="A395" i="13"/>
  <c r="I395" i="13" s="1"/>
  <c r="B395" i="13"/>
  <c r="C395" i="13"/>
  <c r="A396" i="13"/>
  <c r="B396" i="13"/>
  <c r="C396" i="13"/>
  <c r="A397" i="13"/>
  <c r="L397" i="13" s="1"/>
  <c r="J397" i="13" s="1"/>
  <c r="B397" i="13"/>
  <c r="C397" i="13"/>
  <c r="A398" i="13"/>
  <c r="B398" i="13"/>
  <c r="C398" i="13"/>
  <c r="A399" i="13"/>
  <c r="L399" i="13" s="1"/>
  <c r="H399" i="13" s="1"/>
  <c r="B399" i="13"/>
  <c r="C399" i="13"/>
  <c r="A400" i="13"/>
  <c r="L400" i="13" s="1"/>
  <c r="B400" i="13"/>
  <c r="C400" i="13"/>
  <c r="A401" i="13"/>
  <c r="L401" i="13" s="1"/>
  <c r="B401" i="13"/>
  <c r="C401" i="13"/>
  <c r="A402" i="13"/>
  <c r="K402" i="13" s="1"/>
  <c r="B402" i="13"/>
  <c r="C402" i="13"/>
  <c r="A403" i="13"/>
  <c r="K403" i="13" s="1"/>
  <c r="B403" i="13"/>
  <c r="C403" i="13"/>
  <c r="A404" i="13"/>
  <c r="B404" i="13"/>
  <c r="C404" i="13"/>
  <c r="A405" i="13"/>
  <c r="B405" i="13"/>
  <c r="C405" i="13"/>
  <c r="A406" i="13"/>
  <c r="I406" i="13" s="1"/>
  <c r="B406" i="13"/>
  <c r="C406" i="13"/>
  <c r="A407" i="13"/>
  <c r="I407" i="13" s="1"/>
  <c r="B407" i="13"/>
  <c r="C407" i="13"/>
  <c r="A408" i="13"/>
  <c r="G408" i="13" s="1"/>
  <c r="B408" i="13"/>
  <c r="C408" i="13"/>
  <c r="A409" i="13"/>
  <c r="G409" i="13" s="1"/>
  <c r="B409" i="13"/>
  <c r="C409" i="13"/>
  <c r="A410" i="13"/>
  <c r="N410" i="13" s="1"/>
  <c r="B410" i="13"/>
  <c r="C410" i="13"/>
  <c r="A411" i="13"/>
  <c r="L411" i="13" s="1"/>
  <c r="J411" i="13" s="1"/>
  <c r="B411" i="13"/>
  <c r="C411" i="13"/>
  <c r="A412" i="13"/>
  <c r="L412" i="13" s="1"/>
  <c r="B412" i="13"/>
  <c r="C412" i="13"/>
  <c r="A413" i="13"/>
  <c r="K413" i="13" s="1"/>
  <c r="B413" i="13"/>
  <c r="C413" i="13"/>
  <c r="A414" i="13"/>
  <c r="L414" i="13" s="1"/>
  <c r="B414" i="13"/>
  <c r="C414" i="13"/>
  <c r="A415" i="13"/>
  <c r="L415" i="13" s="1"/>
  <c r="H415" i="13" s="1"/>
  <c r="B415" i="13"/>
  <c r="C415" i="13"/>
  <c r="A416" i="13"/>
  <c r="B416" i="13"/>
  <c r="C416" i="13"/>
  <c r="A417" i="13"/>
  <c r="G417" i="13" s="1"/>
  <c r="B417" i="13"/>
  <c r="C417" i="13"/>
  <c r="A418" i="13"/>
  <c r="L418" i="13" s="1"/>
  <c r="H418" i="13" s="1"/>
  <c r="B418" i="13"/>
  <c r="C418" i="13"/>
  <c r="A419" i="13"/>
  <c r="K419" i="13" s="1"/>
  <c r="B419" i="13"/>
  <c r="C419" i="13"/>
  <c r="A420" i="13"/>
  <c r="K420" i="13" s="1"/>
  <c r="B420" i="13"/>
  <c r="C420" i="13"/>
  <c r="A421" i="13"/>
  <c r="B421" i="13"/>
  <c r="C421" i="13"/>
  <c r="A422" i="13"/>
  <c r="I422" i="13" s="1"/>
  <c r="B422" i="13"/>
  <c r="C422" i="13"/>
  <c r="A423" i="13"/>
  <c r="L423" i="13" s="1"/>
  <c r="J423" i="13" s="1"/>
  <c r="B423" i="13"/>
  <c r="C423" i="13"/>
  <c r="A424" i="13"/>
  <c r="L424" i="13" s="1"/>
  <c r="B424" i="13"/>
  <c r="C424" i="13"/>
  <c r="A425" i="13"/>
  <c r="G425" i="13" s="1"/>
  <c r="B425" i="13"/>
  <c r="C425" i="13"/>
  <c r="A426" i="13"/>
  <c r="G426" i="13" s="1"/>
  <c r="B426" i="13"/>
  <c r="C426" i="13"/>
  <c r="A427" i="13"/>
  <c r="L427" i="13" s="1"/>
  <c r="B427" i="13"/>
  <c r="C427" i="13"/>
  <c r="A428" i="13"/>
  <c r="B428" i="13"/>
  <c r="C428" i="13"/>
  <c r="A429" i="13"/>
  <c r="N429" i="13" s="1"/>
  <c r="B429" i="13"/>
  <c r="C429" i="13"/>
  <c r="A430" i="13"/>
  <c r="L430" i="13" s="1"/>
  <c r="J430" i="13" s="1"/>
  <c r="B430" i="13"/>
  <c r="C430" i="13"/>
  <c r="A431" i="13"/>
  <c r="K431" i="13" s="1"/>
  <c r="B431" i="13"/>
  <c r="C431" i="13"/>
  <c r="A432" i="13"/>
  <c r="L432" i="13" s="1"/>
  <c r="J432" i="13" s="1"/>
  <c r="B432" i="13"/>
  <c r="C432" i="13"/>
  <c r="A433" i="13"/>
  <c r="L433" i="13" s="1"/>
  <c r="J433" i="13" s="1"/>
  <c r="B433" i="13"/>
  <c r="C433" i="13"/>
  <c r="A434" i="13"/>
  <c r="I434" i="13" s="1"/>
  <c r="B434" i="13"/>
  <c r="C434" i="13"/>
  <c r="A435" i="13"/>
  <c r="B435" i="13"/>
  <c r="C435" i="13"/>
  <c r="A436" i="13"/>
  <c r="B436" i="13"/>
  <c r="C436" i="13"/>
  <c r="A437" i="13"/>
  <c r="L437" i="13" s="1"/>
  <c r="B437" i="13"/>
  <c r="C437" i="13"/>
  <c r="A438" i="13"/>
  <c r="B438" i="13"/>
  <c r="C438" i="13"/>
  <c r="A439" i="13"/>
  <c r="B439" i="13"/>
  <c r="C439" i="13"/>
  <c r="A440" i="13"/>
  <c r="B440" i="13"/>
  <c r="C440" i="13"/>
  <c r="A441" i="13"/>
  <c r="B441" i="13"/>
  <c r="C441" i="13"/>
  <c r="A442" i="13"/>
  <c r="I442" i="13" s="1"/>
  <c r="B442" i="13"/>
  <c r="C442" i="13"/>
  <c r="A443" i="13"/>
  <c r="B443" i="13"/>
  <c r="C443" i="13"/>
  <c r="A444" i="13"/>
  <c r="L444" i="13" s="1"/>
  <c r="J444" i="13" s="1"/>
  <c r="B444" i="13"/>
  <c r="C444" i="13"/>
  <c r="A445" i="13"/>
  <c r="I445" i="13" s="1"/>
  <c r="B445" i="13"/>
  <c r="C445" i="13"/>
  <c r="A446" i="13"/>
  <c r="B446" i="13"/>
  <c r="C446" i="13"/>
  <c r="A447" i="13"/>
  <c r="L447" i="13" s="1"/>
  <c r="B447" i="13"/>
  <c r="C447" i="13"/>
  <c r="A448" i="13"/>
  <c r="B448" i="13"/>
  <c r="C448" i="13"/>
  <c r="A449" i="13"/>
  <c r="B449" i="13"/>
  <c r="C449" i="13"/>
  <c r="A450" i="13"/>
  <c r="L450" i="13" s="1"/>
  <c r="B450" i="13"/>
  <c r="C450" i="13"/>
  <c r="A451" i="13"/>
  <c r="I451" i="13" s="1"/>
  <c r="B451" i="13"/>
  <c r="C451" i="13"/>
  <c r="A452" i="13"/>
  <c r="B452" i="13"/>
  <c r="C452" i="13"/>
  <c r="A453" i="13"/>
  <c r="L453" i="13" s="1"/>
  <c r="J453" i="13" s="1"/>
  <c r="B453" i="13"/>
  <c r="C453" i="13"/>
  <c r="A454" i="13"/>
  <c r="I454" i="13" s="1"/>
  <c r="B454" i="13"/>
  <c r="C454" i="13"/>
  <c r="A455" i="13"/>
  <c r="B455" i="13"/>
  <c r="C455" i="13"/>
  <c r="A456" i="13"/>
  <c r="B456" i="13"/>
  <c r="C456" i="13"/>
  <c r="A457" i="13"/>
  <c r="B457" i="13"/>
  <c r="C457" i="13"/>
  <c r="A458" i="13"/>
  <c r="B458" i="13"/>
  <c r="C458" i="13"/>
  <c r="A459" i="13"/>
  <c r="L459" i="13" s="1"/>
  <c r="B459" i="13"/>
  <c r="C459" i="13"/>
  <c r="A460" i="13"/>
  <c r="I460" i="13" s="1"/>
  <c r="B460" i="13"/>
  <c r="C460" i="13"/>
  <c r="A461" i="13"/>
  <c r="B461" i="13"/>
  <c r="C461" i="13"/>
  <c r="A462" i="13"/>
  <c r="B462" i="13"/>
  <c r="C462" i="13"/>
  <c r="A463" i="13"/>
  <c r="I463" i="13" s="1"/>
  <c r="B463" i="13"/>
  <c r="C463" i="13"/>
  <c r="A464" i="13"/>
  <c r="B464" i="13"/>
  <c r="C464" i="13"/>
  <c r="A465" i="13"/>
  <c r="L465" i="13" s="1"/>
  <c r="J465" i="13" s="1"/>
  <c r="B465" i="13"/>
  <c r="C465" i="13"/>
  <c r="A466" i="13"/>
  <c r="B466" i="13"/>
  <c r="C466" i="13"/>
  <c r="A467" i="13"/>
  <c r="B467" i="13"/>
  <c r="C467" i="13"/>
  <c r="A468" i="13"/>
  <c r="L468" i="13" s="1"/>
  <c r="B468" i="13"/>
  <c r="C468" i="13"/>
  <c r="A469" i="13"/>
  <c r="I469" i="13" s="1"/>
  <c r="B469" i="13"/>
  <c r="C469" i="13"/>
  <c r="A470" i="13"/>
  <c r="B470" i="13"/>
  <c r="C470" i="13"/>
  <c r="A471" i="13"/>
  <c r="L471" i="13" s="1"/>
  <c r="B471" i="13"/>
  <c r="C471" i="13"/>
  <c r="A472" i="13"/>
  <c r="I472" i="13" s="1"/>
  <c r="B472" i="13"/>
  <c r="C472" i="13"/>
  <c r="A473" i="13"/>
  <c r="B473" i="13"/>
  <c r="C473" i="13"/>
  <c r="A474" i="13"/>
  <c r="B474" i="13"/>
  <c r="C474" i="13"/>
  <c r="A475" i="13"/>
  <c r="B475" i="13"/>
  <c r="C475" i="13"/>
  <c r="A476" i="13"/>
  <c r="B476" i="13"/>
  <c r="C476" i="13"/>
  <c r="A477" i="13"/>
  <c r="L477" i="13" s="1"/>
  <c r="B477" i="13"/>
  <c r="C477" i="13"/>
  <c r="A478" i="13"/>
  <c r="I478" i="13" s="1"/>
  <c r="B478" i="13"/>
  <c r="C478" i="13"/>
  <c r="A479" i="13"/>
  <c r="B479" i="13"/>
  <c r="C479" i="13"/>
  <c r="A480" i="13"/>
  <c r="B480" i="13"/>
  <c r="C480" i="13"/>
  <c r="A481" i="13"/>
  <c r="I481" i="13" s="1"/>
  <c r="B481" i="13"/>
  <c r="C481" i="13"/>
  <c r="A482" i="13"/>
  <c r="B482" i="13"/>
  <c r="C482" i="13"/>
  <c r="A483" i="13"/>
  <c r="L483" i="13" s="1"/>
  <c r="J483" i="13" s="1"/>
  <c r="B483" i="13"/>
  <c r="C483" i="13"/>
  <c r="A484" i="13"/>
  <c r="B484" i="13"/>
  <c r="C484" i="13"/>
  <c r="A485" i="13"/>
  <c r="B485" i="13"/>
  <c r="C485" i="13"/>
  <c r="A486" i="13"/>
  <c r="L486" i="13" s="1"/>
  <c r="B486" i="13"/>
  <c r="C486" i="13"/>
  <c r="A487" i="13"/>
  <c r="I487" i="13" s="1"/>
  <c r="B487" i="13"/>
  <c r="C487" i="13"/>
  <c r="A488" i="13"/>
  <c r="N488" i="13" s="1"/>
  <c r="B488" i="13"/>
  <c r="C488" i="13"/>
  <c r="A489" i="13"/>
  <c r="K489" i="13" s="1"/>
  <c r="B489" i="13"/>
  <c r="C489" i="13"/>
  <c r="A490" i="13"/>
  <c r="G490" i="13" s="1"/>
  <c r="B490" i="13"/>
  <c r="C490" i="13"/>
  <c r="A491" i="13"/>
  <c r="N491" i="13" s="1"/>
  <c r="B491" i="13"/>
  <c r="C491" i="13"/>
  <c r="A492" i="13"/>
  <c r="B492" i="13"/>
  <c r="C492" i="13"/>
  <c r="A493" i="13"/>
  <c r="G493" i="13" s="1"/>
  <c r="B493" i="13"/>
  <c r="C493" i="13"/>
  <c r="A494" i="13"/>
  <c r="N494" i="13" s="1"/>
  <c r="B494" i="13"/>
  <c r="C494" i="13"/>
  <c r="A495" i="13"/>
  <c r="K495" i="13" s="1"/>
  <c r="B495" i="13"/>
  <c r="C495" i="13"/>
  <c r="A496" i="13"/>
  <c r="I496" i="13" s="1"/>
  <c r="B496" i="13"/>
  <c r="C496" i="13"/>
  <c r="A497" i="13"/>
  <c r="N497" i="13" s="1"/>
  <c r="B497" i="13"/>
  <c r="C497" i="13"/>
  <c r="A498" i="13"/>
  <c r="B498" i="13"/>
  <c r="C498" i="13"/>
  <c r="A499" i="13"/>
  <c r="K499" i="13" s="1"/>
  <c r="B499" i="13"/>
  <c r="C499" i="13"/>
  <c r="A500" i="13"/>
  <c r="G500" i="13" s="1"/>
  <c r="B500" i="13"/>
  <c r="C500" i="13"/>
  <c r="A501" i="13"/>
  <c r="B501" i="13"/>
  <c r="C501" i="13"/>
  <c r="A502" i="13"/>
  <c r="G502" i="13" s="1"/>
  <c r="B502" i="13"/>
  <c r="C502" i="13"/>
  <c r="A503" i="13"/>
  <c r="N503" i="13" s="1"/>
  <c r="B503" i="13"/>
  <c r="C503" i="13"/>
  <c r="A504" i="13"/>
  <c r="I504" i="13" s="1"/>
  <c r="B504" i="13"/>
  <c r="C504" i="13"/>
  <c r="A505" i="13"/>
  <c r="K505" i="13" s="1"/>
  <c r="B505" i="13"/>
  <c r="C505" i="13"/>
  <c r="A506" i="13"/>
  <c r="N506" i="13" s="1"/>
  <c r="B506" i="13"/>
  <c r="C506" i="13"/>
  <c r="A507" i="13"/>
  <c r="N507" i="13" s="1"/>
  <c r="B507" i="13"/>
  <c r="C507" i="13"/>
  <c r="A508" i="13"/>
  <c r="G508" i="13" s="1"/>
  <c r="B508" i="13"/>
  <c r="C508" i="13"/>
  <c r="A509" i="13"/>
  <c r="B509" i="13"/>
  <c r="C509" i="13"/>
  <c r="A510" i="13"/>
  <c r="I510" i="13" s="1"/>
  <c r="B510" i="13"/>
  <c r="C510" i="13"/>
  <c r="A511" i="13"/>
  <c r="K511" i="13" s="1"/>
  <c r="B511" i="13"/>
  <c r="C511" i="13"/>
  <c r="A512" i="13"/>
  <c r="B512" i="13"/>
  <c r="C512" i="13"/>
  <c r="A513" i="13"/>
  <c r="N513" i="13" s="1"/>
  <c r="B513" i="13"/>
  <c r="C513" i="13"/>
  <c r="A514" i="13"/>
  <c r="I514" i="13" s="1"/>
  <c r="B514" i="13"/>
  <c r="C514" i="13"/>
  <c r="A515" i="13"/>
  <c r="N515" i="13" s="1"/>
  <c r="B515" i="13"/>
  <c r="C515" i="13"/>
  <c r="A516" i="13"/>
  <c r="I516" i="13" s="1"/>
  <c r="B516" i="13"/>
  <c r="C516" i="13"/>
  <c r="A517" i="13"/>
  <c r="N517" i="13" s="1"/>
  <c r="B517" i="13"/>
  <c r="C517" i="13"/>
  <c r="A518" i="13"/>
  <c r="B518" i="13"/>
  <c r="C518" i="13"/>
  <c r="A519" i="13"/>
  <c r="G519" i="13" s="1"/>
  <c r="B519" i="13"/>
  <c r="C519" i="13"/>
  <c r="A520" i="13"/>
  <c r="B520" i="13"/>
  <c r="C520" i="13"/>
  <c r="A521" i="13"/>
  <c r="G521" i="13" s="1"/>
  <c r="B521" i="13"/>
  <c r="C521" i="13"/>
  <c r="A522" i="13"/>
  <c r="B522" i="13"/>
  <c r="C522" i="13"/>
  <c r="A523" i="13"/>
  <c r="I523" i="13" s="1"/>
  <c r="B523" i="13"/>
  <c r="C523" i="13"/>
  <c r="A524" i="13"/>
  <c r="K524" i="13" s="1"/>
  <c r="B524" i="13"/>
  <c r="C524" i="13"/>
  <c r="A525" i="13"/>
  <c r="B525" i="13"/>
  <c r="C525" i="13"/>
  <c r="A526" i="13"/>
  <c r="L526" i="13" s="1"/>
  <c r="B526" i="13"/>
  <c r="C526" i="13"/>
  <c r="A527" i="13"/>
  <c r="N527" i="13" s="1"/>
  <c r="B527" i="13"/>
  <c r="C527" i="13"/>
  <c r="A528" i="13"/>
  <c r="G528" i="13" s="1"/>
  <c r="B528" i="13"/>
  <c r="C528" i="13"/>
  <c r="A529" i="13"/>
  <c r="K529" i="13" s="1"/>
  <c r="B529" i="13"/>
  <c r="C529" i="13"/>
  <c r="A530" i="13"/>
  <c r="N530" i="13" s="1"/>
  <c r="B530" i="13"/>
  <c r="C530" i="13"/>
  <c r="A531" i="13"/>
  <c r="G531" i="13" s="1"/>
  <c r="B531" i="13"/>
  <c r="C531" i="13"/>
  <c r="A532" i="13"/>
  <c r="I532" i="13" s="1"/>
  <c r="B532" i="13"/>
  <c r="C532" i="13"/>
  <c r="A533" i="13"/>
  <c r="G533" i="13" s="1"/>
  <c r="B533" i="13"/>
  <c r="C533" i="13"/>
  <c r="A534" i="13"/>
  <c r="B534" i="13"/>
  <c r="C534" i="13"/>
  <c r="A535" i="13"/>
  <c r="I535" i="13" s="1"/>
  <c r="B535" i="13"/>
  <c r="C535" i="13"/>
  <c r="A536" i="13"/>
  <c r="B536" i="13"/>
  <c r="C536" i="13"/>
  <c r="A537" i="13"/>
  <c r="I537" i="13" s="1"/>
  <c r="B537" i="13"/>
  <c r="C537" i="13"/>
  <c r="A538" i="13"/>
  <c r="I538" i="13" s="1"/>
  <c r="B538" i="13"/>
  <c r="C538" i="13"/>
  <c r="A539" i="13"/>
  <c r="G539" i="13" s="1"/>
  <c r="B539" i="13"/>
  <c r="C539" i="13"/>
  <c r="A540" i="13"/>
  <c r="L540" i="13" s="1"/>
  <c r="H540" i="13" s="1"/>
  <c r="B540" i="13"/>
  <c r="C540" i="13"/>
  <c r="A541" i="13"/>
  <c r="N541" i="13" s="1"/>
  <c r="B541" i="13"/>
  <c r="C541" i="13"/>
  <c r="A542" i="13"/>
  <c r="K542" i="13" s="1"/>
  <c r="B542" i="13"/>
  <c r="C542" i="13"/>
  <c r="A543" i="13"/>
  <c r="K543" i="13" s="1"/>
  <c r="B543" i="13"/>
  <c r="C543" i="13"/>
  <c r="A544" i="13"/>
  <c r="L544" i="13" s="1"/>
  <c r="J544" i="13" s="1"/>
  <c r="B544" i="13"/>
  <c r="C544" i="13"/>
  <c r="A545" i="13"/>
  <c r="I545" i="13" s="1"/>
  <c r="B545" i="13"/>
  <c r="C545" i="13"/>
  <c r="A546" i="13"/>
  <c r="N546" i="13" s="1"/>
  <c r="B546" i="13"/>
  <c r="C546" i="13"/>
  <c r="A547" i="13"/>
  <c r="N547" i="13" s="1"/>
  <c r="B547" i="13"/>
  <c r="C547" i="13"/>
  <c r="A548" i="13"/>
  <c r="L548" i="13" s="1"/>
  <c r="J548" i="13" s="1"/>
  <c r="B548" i="13"/>
  <c r="C548" i="13"/>
  <c r="A549" i="13"/>
  <c r="N549" i="13" s="1"/>
  <c r="B549" i="13"/>
  <c r="C549" i="13"/>
  <c r="A550" i="13"/>
  <c r="N550" i="13" s="1"/>
  <c r="B550" i="13"/>
  <c r="C550" i="13"/>
  <c r="A551" i="13"/>
  <c r="K551" i="13" s="1"/>
  <c r="B551" i="13"/>
  <c r="C551" i="13"/>
  <c r="A552" i="13"/>
  <c r="G552" i="13" s="1"/>
  <c r="B552" i="13"/>
  <c r="C552" i="13"/>
  <c r="A553" i="13"/>
  <c r="G553" i="13" s="1"/>
  <c r="B553" i="13"/>
  <c r="C553" i="13"/>
  <c r="A554" i="13"/>
  <c r="N554" i="13" s="1"/>
  <c r="B554" i="13"/>
  <c r="C554" i="13"/>
  <c r="A555" i="13"/>
  <c r="N555" i="13" s="1"/>
  <c r="B555" i="13"/>
  <c r="C555" i="13"/>
  <c r="A556" i="13"/>
  <c r="K556" i="13" s="1"/>
  <c r="B556" i="13"/>
  <c r="C556" i="13"/>
  <c r="A557" i="13"/>
  <c r="B557" i="13"/>
  <c r="C557" i="13"/>
  <c r="A558" i="13"/>
  <c r="N558" i="13" s="1"/>
  <c r="B558" i="13"/>
  <c r="C558" i="13"/>
  <c r="A559" i="13"/>
  <c r="G559" i="13" s="1"/>
  <c r="B559" i="13"/>
  <c r="C559" i="13"/>
  <c r="A560" i="13"/>
  <c r="G560" i="13" s="1"/>
  <c r="B560" i="13"/>
  <c r="C560" i="13"/>
  <c r="A561" i="13"/>
  <c r="N561" i="13" s="1"/>
  <c r="B561" i="13"/>
  <c r="C561" i="13"/>
  <c r="A562" i="13"/>
  <c r="G562" i="13" s="1"/>
  <c r="B562" i="13"/>
  <c r="C562" i="13"/>
  <c r="A563" i="13"/>
  <c r="B563" i="13"/>
  <c r="C563" i="13"/>
  <c r="A564" i="13"/>
  <c r="N564" i="13" s="1"/>
  <c r="B564" i="13"/>
  <c r="C564" i="13"/>
  <c r="A565" i="13"/>
  <c r="I565" i="13" s="1"/>
  <c r="B565" i="13"/>
  <c r="C565" i="13"/>
  <c r="A566" i="13"/>
  <c r="G566" i="13" s="1"/>
  <c r="B566" i="13"/>
  <c r="C566" i="13"/>
  <c r="A567" i="13"/>
  <c r="N567" i="13" s="1"/>
  <c r="B567" i="13"/>
  <c r="C567" i="13"/>
  <c r="A568" i="13"/>
  <c r="N568" i="13" s="1"/>
  <c r="B568" i="13"/>
  <c r="C568" i="13"/>
  <c r="A569" i="13"/>
  <c r="N569" i="13" s="1"/>
  <c r="B569" i="13"/>
  <c r="C569" i="13"/>
  <c r="A570" i="13"/>
  <c r="N570" i="13" s="1"/>
  <c r="B570" i="13"/>
  <c r="C570" i="13"/>
  <c r="A571" i="13"/>
  <c r="B571" i="13"/>
  <c r="C571" i="13"/>
  <c r="A572" i="13"/>
  <c r="B572" i="13"/>
  <c r="C572" i="13"/>
  <c r="A573" i="13"/>
  <c r="N573" i="13" s="1"/>
  <c r="B573" i="13"/>
  <c r="C573" i="13"/>
  <c r="A574" i="13"/>
  <c r="G574" i="13" s="1"/>
  <c r="B574" i="13"/>
  <c r="C574" i="13"/>
  <c r="A575" i="13"/>
  <c r="I575" i="13" s="1"/>
  <c r="B575" i="13"/>
  <c r="C575" i="13"/>
  <c r="A576" i="13"/>
  <c r="N576" i="13" s="1"/>
  <c r="B576" i="13"/>
  <c r="C576" i="13"/>
  <c r="A577" i="13"/>
  <c r="G577" i="13" s="1"/>
  <c r="B577" i="13"/>
  <c r="C577" i="13"/>
  <c r="A578" i="13"/>
  <c r="I578" i="13" s="1"/>
  <c r="B578" i="13"/>
  <c r="C578" i="13"/>
  <c r="A579" i="13"/>
  <c r="N579" i="13" s="1"/>
  <c r="B579" i="13"/>
  <c r="C579" i="13"/>
  <c r="A580" i="13"/>
  <c r="G580" i="13" s="1"/>
  <c r="B580" i="13"/>
  <c r="C580" i="13"/>
  <c r="A581" i="13"/>
  <c r="I581" i="13" s="1"/>
  <c r="B581" i="13"/>
  <c r="C581" i="13"/>
  <c r="A582" i="13"/>
  <c r="N582" i="13" s="1"/>
  <c r="B582" i="13"/>
  <c r="C582" i="13"/>
  <c r="A583" i="13"/>
  <c r="G583" i="13" s="1"/>
  <c r="B583" i="13"/>
  <c r="C583" i="13"/>
  <c r="A584" i="13"/>
  <c r="I584" i="13" s="1"/>
  <c r="B584" i="13"/>
  <c r="C584" i="13"/>
  <c r="A585" i="13"/>
  <c r="B585" i="13"/>
  <c r="C585" i="13"/>
  <c r="A586" i="13"/>
  <c r="L586" i="13" s="1"/>
  <c r="J586" i="13" s="1"/>
  <c r="B586" i="13"/>
  <c r="C586" i="13"/>
  <c r="A587" i="13"/>
  <c r="I587" i="13" s="1"/>
  <c r="B587" i="13"/>
  <c r="C587" i="13"/>
  <c r="A588" i="13"/>
  <c r="B588" i="13"/>
  <c r="C588" i="13"/>
  <c r="A589" i="13"/>
  <c r="G589" i="13" s="1"/>
  <c r="B589" i="13"/>
  <c r="C589" i="13"/>
  <c r="A590" i="13"/>
  <c r="K590" i="13" s="1"/>
  <c r="B590" i="13"/>
  <c r="C590" i="13"/>
  <c r="A591" i="13"/>
  <c r="L591" i="13" s="1"/>
  <c r="H591" i="13" s="1"/>
  <c r="B591" i="13"/>
  <c r="C591" i="13"/>
  <c r="A592" i="13"/>
  <c r="I592" i="13" s="1"/>
  <c r="B592" i="13"/>
  <c r="C592" i="13"/>
  <c r="A593" i="13"/>
  <c r="K593" i="13" s="1"/>
  <c r="B593" i="13"/>
  <c r="C593" i="13"/>
  <c r="A594" i="13"/>
  <c r="N594" i="13" s="1"/>
  <c r="B594" i="13"/>
  <c r="C594" i="13"/>
  <c r="A595" i="13"/>
  <c r="B595" i="13"/>
  <c r="C595" i="13"/>
  <c r="A596" i="13"/>
  <c r="B596" i="13"/>
  <c r="C596" i="13"/>
  <c r="A597" i="13"/>
  <c r="K597" i="13" s="1"/>
  <c r="B597" i="13"/>
  <c r="C597" i="13"/>
  <c r="A598" i="13"/>
  <c r="G598" i="13" s="1"/>
  <c r="B598" i="13"/>
  <c r="C598" i="13"/>
  <c r="A599" i="13"/>
  <c r="K599" i="13" s="1"/>
  <c r="B599" i="13"/>
  <c r="C599" i="13"/>
  <c r="A600" i="13"/>
  <c r="K600" i="13" s="1"/>
  <c r="B600" i="13"/>
  <c r="C600" i="13"/>
  <c r="A601" i="13"/>
  <c r="G601" i="13" s="1"/>
  <c r="B601" i="13"/>
  <c r="C601" i="13"/>
  <c r="A602" i="13"/>
  <c r="G602" i="13" s="1"/>
  <c r="B602" i="13"/>
  <c r="C602" i="13"/>
  <c r="A603" i="13"/>
  <c r="G603" i="13" s="1"/>
  <c r="B603" i="13"/>
  <c r="C603" i="13"/>
  <c r="A604" i="13"/>
  <c r="G604" i="13" s="1"/>
  <c r="B604" i="13"/>
  <c r="C604" i="13"/>
  <c r="A605" i="13"/>
  <c r="B605" i="13"/>
  <c r="C605" i="13"/>
  <c r="A606" i="13"/>
  <c r="K606" i="13" s="1"/>
  <c r="B606" i="13"/>
  <c r="C606" i="13"/>
  <c r="A607" i="13"/>
  <c r="G607" i="13" s="1"/>
  <c r="B607" i="13"/>
  <c r="C607" i="13"/>
  <c r="A608" i="13"/>
  <c r="K608" i="13" s="1"/>
  <c r="B608" i="13"/>
  <c r="C608" i="13"/>
  <c r="A609" i="13"/>
  <c r="L609" i="13" s="1"/>
  <c r="H609" i="13" s="1"/>
  <c r="B609" i="13"/>
  <c r="C609" i="13"/>
  <c r="A610" i="13"/>
  <c r="B610" i="13"/>
  <c r="C610" i="13"/>
  <c r="A611" i="13"/>
  <c r="I611" i="13" s="1"/>
  <c r="B611" i="13"/>
  <c r="C611" i="13"/>
  <c r="A612" i="13"/>
  <c r="B612" i="13"/>
  <c r="C612" i="13"/>
  <c r="A613" i="13"/>
  <c r="G613" i="13" s="1"/>
  <c r="B613" i="13"/>
  <c r="C613" i="13"/>
  <c r="A614" i="13"/>
  <c r="B614" i="13"/>
  <c r="C614" i="13"/>
  <c r="A615" i="13"/>
  <c r="K615" i="13" s="1"/>
  <c r="B615" i="13"/>
  <c r="C615" i="13"/>
  <c r="A616" i="13"/>
  <c r="K616" i="13" s="1"/>
  <c r="B616" i="13"/>
  <c r="C616" i="13"/>
  <c r="A617" i="13"/>
  <c r="B617" i="13"/>
  <c r="C617" i="13"/>
  <c r="A618" i="13"/>
  <c r="K618" i="13" s="1"/>
  <c r="B618" i="13"/>
  <c r="C618" i="13"/>
  <c r="A619" i="13"/>
  <c r="N619" i="13" s="1"/>
  <c r="B619" i="13"/>
  <c r="C619" i="13"/>
  <c r="A620" i="13"/>
  <c r="B620" i="13"/>
  <c r="C620" i="13"/>
  <c r="A621" i="13"/>
  <c r="K621" i="13" s="1"/>
  <c r="B621" i="13"/>
  <c r="C621" i="13"/>
  <c r="A622" i="13"/>
  <c r="N622" i="13" s="1"/>
  <c r="B622" i="13"/>
  <c r="C622" i="13"/>
  <c r="A623" i="13"/>
  <c r="B623" i="13"/>
  <c r="C623" i="13"/>
  <c r="A624" i="13"/>
  <c r="K624" i="13" s="1"/>
  <c r="B624" i="13"/>
  <c r="C624" i="13"/>
  <c r="A625" i="13"/>
  <c r="G625" i="13" s="1"/>
  <c r="B625" i="13"/>
  <c r="C625" i="13"/>
  <c r="A626" i="13"/>
  <c r="B626" i="13"/>
  <c r="C626" i="13"/>
  <c r="A627" i="13"/>
  <c r="K627" i="13" s="1"/>
  <c r="B627" i="13"/>
  <c r="C627" i="13"/>
  <c r="A628" i="13"/>
  <c r="N628" i="13" s="1"/>
  <c r="B628" i="13"/>
  <c r="C628" i="13"/>
  <c r="A629" i="13"/>
  <c r="B629" i="13"/>
  <c r="C629" i="13"/>
  <c r="A630" i="13"/>
  <c r="K630" i="13" s="1"/>
  <c r="B630" i="13"/>
  <c r="C630" i="13"/>
  <c r="A631" i="13"/>
  <c r="B631" i="13"/>
  <c r="C631" i="13"/>
  <c r="A632" i="13"/>
  <c r="B632" i="13"/>
  <c r="C632" i="13"/>
  <c r="A633" i="13"/>
  <c r="K633" i="13" s="1"/>
  <c r="B633" i="13"/>
  <c r="C633" i="13"/>
  <c r="A634" i="13"/>
  <c r="G634" i="13" s="1"/>
  <c r="B634" i="13"/>
  <c r="C634" i="13"/>
  <c r="A635" i="13"/>
  <c r="B635" i="13"/>
  <c r="C635" i="13"/>
  <c r="A636" i="13"/>
  <c r="K636" i="13" s="1"/>
  <c r="B636" i="13"/>
  <c r="C636" i="13"/>
  <c r="A637" i="13"/>
  <c r="B637" i="13"/>
  <c r="C637" i="13"/>
  <c r="A638" i="13"/>
  <c r="B638" i="13"/>
  <c r="C638" i="13"/>
  <c r="A639" i="13"/>
  <c r="B639" i="13"/>
  <c r="C639" i="13"/>
  <c r="A640" i="13"/>
  <c r="G640" i="13" s="1"/>
  <c r="B640" i="13"/>
  <c r="C640" i="13"/>
  <c r="A641" i="13"/>
  <c r="B641" i="13"/>
  <c r="C641" i="13"/>
  <c r="A642" i="13"/>
  <c r="K642" i="13" s="1"/>
  <c r="B642" i="13"/>
  <c r="C642" i="13"/>
  <c r="A643" i="13"/>
  <c r="G643" i="13" s="1"/>
  <c r="B643" i="13"/>
  <c r="C643" i="13"/>
  <c r="A644" i="13"/>
  <c r="B644" i="13"/>
  <c r="C644" i="13"/>
  <c r="A645" i="13"/>
  <c r="B645" i="13"/>
  <c r="C645" i="13"/>
  <c r="A646" i="13"/>
  <c r="L646" i="13" s="1"/>
  <c r="B646" i="13"/>
  <c r="C646" i="13"/>
  <c r="A647" i="13"/>
  <c r="B647" i="13"/>
  <c r="C647" i="13"/>
  <c r="A648" i="13"/>
  <c r="K648" i="13" s="1"/>
  <c r="B648" i="13"/>
  <c r="C648" i="13"/>
  <c r="A649" i="13"/>
  <c r="G649" i="13" s="1"/>
  <c r="B649" i="13"/>
  <c r="C649" i="13"/>
  <c r="A650" i="13"/>
  <c r="B650" i="13"/>
  <c r="C650" i="13"/>
  <c r="A651" i="13"/>
  <c r="K651" i="13" s="1"/>
  <c r="B651" i="13"/>
  <c r="C651" i="13"/>
  <c r="A652" i="13"/>
  <c r="G652" i="13" s="1"/>
  <c r="B652" i="13"/>
  <c r="C652" i="13"/>
  <c r="A653" i="13"/>
  <c r="B653" i="13"/>
  <c r="C653" i="13"/>
  <c r="A654" i="13"/>
  <c r="G654" i="13" s="1"/>
  <c r="B654" i="13"/>
  <c r="C654" i="13"/>
  <c r="A655" i="13"/>
  <c r="I655" i="13" s="1"/>
  <c r="B655" i="13"/>
  <c r="C655" i="13"/>
  <c r="A656" i="13"/>
  <c r="B656" i="13"/>
  <c r="C656" i="13"/>
  <c r="A657" i="13"/>
  <c r="K657" i="13" s="1"/>
  <c r="B657" i="13"/>
  <c r="C657" i="13"/>
  <c r="A658" i="13"/>
  <c r="G658" i="13" s="1"/>
  <c r="B658" i="13"/>
  <c r="C658" i="13"/>
  <c r="A659" i="13"/>
  <c r="B659" i="13"/>
  <c r="C659" i="13"/>
  <c r="A660" i="13"/>
  <c r="N660" i="13" s="1"/>
  <c r="B660" i="13"/>
  <c r="C660" i="13"/>
  <c r="A661" i="13"/>
  <c r="K661" i="13" s="1"/>
  <c r="B661" i="13"/>
  <c r="C661" i="13"/>
  <c r="A662" i="13"/>
  <c r="B662" i="13"/>
  <c r="C662" i="13"/>
  <c r="A663" i="13"/>
  <c r="G663" i="13" s="1"/>
  <c r="B663" i="13"/>
  <c r="C663" i="13"/>
  <c r="A664" i="13"/>
  <c r="G664" i="13" s="1"/>
  <c r="B664" i="13"/>
  <c r="C664" i="13"/>
  <c r="A665" i="13"/>
  <c r="B665" i="13"/>
  <c r="C665" i="13"/>
  <c r="A666" i="13"/>
  <c r="K666" i="13" s="1"/>
  <c r="B666" i="13"/>
  <c r="C666" i="13"/>
  <c r="A667" i="13"/>
  <c r="G667" i="13" s="1"/>
  <c r="B667" i="13"/>
  <c r="C667" i="13"/>
  <c r="A668" i="13"/>
  <c r="B668" i="13"/>
  <c r="C668" i="13"/>
  <c r="A669" i="13"/>
  <c r="N669" i="13" s="1"/>
  <c r="B669" i="13"/>
  <c r="C669" i="13"/>
  <c r="A670" i="13"/>
  <c r="N670" i="13" s="1"/>
  <c r="B670" i="13"/>
  <c r="C670" i="13"/>
  <c r="A671" i="13"/>
  <c r="B671" i="13"/>
  <c r="C671" i="13"/>
  <c r="A672" i="13"/>
  <c r="K672" i="13" s="1"/>
  <c r="B672" i="13"/>
  <c r="C672" i="13"/>
  <c r="A673" i="13"/>
  <c r="G673" i="13" s="1"/>
  <c r="B673" i="13"/>
  <c r="C673" i="13"/>
  <c r="A674" i="13"/>
  <c r="B674" i="13"/>
  <c r="C674" i="13"/>
  <c r="A675" i="13"/>
  <c r="K675" i="13" s="1"/>
  <c r="B675" i="13"/>
  <c r="C675" i="13"/>
  <c r="A676" i="13"/>
  <c r="G676" i="13" s="1"/>
  <c r="B676" i="13"/>
  <c r="C676" i="13"/>
  <c r="A677" i="13"/>
  <c r="B677" i="13"/>
  <c r="C677" i="13"/>
  <c r="A678" i="13"/>
  <c r="G678" i="13" s="1"/>
  <c r="B678" i="13"/>
  <c r="C678" i="13"/>
  <c r="A679" i="13"/>
  <c r="B679" i="13"/>
  <c r="C679" i="13"/>
  <c r="A680" i="13"/>
  <c r="B680" i="13"/>
  <c r="C680" i="13"/>
  <c r="A681" i="13"/>
  <c r="K681" i="13" s="1"/>
  <c r="B681" i="13"/>
  <c r="C681" i="13"/>
  <c r="A682" i="13"/>
  <c r="G682" i="13" s="1"/>
  <c r="B682" i="13"/>
  <c r="C682" i="13"/>
  <c r="A683" i="13"/>
  <c r="B683" i="13"/>
  <c r="C683" i="13"/>
  <c r="A684" i="13"/>
  <c r="B684" i="13"/>
  <c r="C684" i="13"/>
  <c r="A685" i="13"/>
  <c r="K685" i="13" s="1"/>
  <c r="B685" i="13"/>
  <c r="C685" i="13"/>
  <c r="O685" i="13" s="1"/>
  <c r="A686" i="13"/>
  <c r="B686" i="13"/>
  <c r="C686" i="13"/>
  <c r="A687" i="13"/>
  <c r="K687" i="13" s="1"/>
  <c r="B687" i="13"/>
  <c r="C687" i="13"/>
  <c r="A688" i="13"/>
  <c r="G688" i="13" s="1"/>
  <c r="B688" i="13"/>
  <c r="C688" i="13"/>
  <c r="A689" i="13"/>
  <c r="B689" i="13"/>
  <c r="C689" i="13"/>
  <c r="A690" i="13"/>
  <c r="K690" i="13" s="1"/>
  <c r="B690" i="13"/>
  <c r="C690" i="13"/>
  <c r="A691" i="13"/>
  <c r="G691" i="13" s="1"/>
  <c r="B691" i="13"/>
  <c r="C691" i="13"/>
  <c r="A692" i="13"/>
  <c r="B692" i="13"/>
  <c r="C692" i="13"/>
  <c r="A693" i="13"/>
  <c r="K693" i="13" s="1"/>
  <c r="B693" i="13"/>
  <c r="C693" i="13"/>
  <c r="A694" i="13"/>
  <c r="G694" i="13" s="1"/>
  <c r="B694" i="13"/>
  <c r="C694" i="13"/>
  <c r="A695" i="13"/>
  <c r="B695" i="13"/>
  <c r="C695" i="13"/>
  <c r="A696" i="13"/>
  <c r="K696" i="13" s="1"/>
  <c r="B696" i="13"/>
  <c r="C696" i="13"/>
  <c r="A697" i="13"/>
  <c r="G697" i="13" s="1"/>
  <c r="B697" i="13"/>
  <c r="C697" i="13"/>
  <c r="A698" i="13"/>
  <c r="B698" i="13"/>
  <c r="C698" i="13"/>
  <c r="A699" i="13"/>
  <c r="K699" i="13" s="1"/>
  <c r="B699" i="13"/>
  <c r="C699" i="13"/>
  <c r="A700" i="13"/>
  <c r="N700" i="13" s="1"/>
  <c r="B700" i="13"/>
  <c r="C700" i="13"/>
  <c r="A701" i="13"/>
  <c r="B701" i="13"/>
  <c r="C701" i="13"/>
  <c r="A702" i="13"/>
  <c r="K702" i="13" s="1"/>
  <c r="B702" i="13"/>
  <c r="C702" i="13"/>
  <c r="A703" i="13"/>
  <c r="G703" i="13" s="1"/>
  <c r="B703" i="13"/>
  <c r="C703" i="13"/>
  <c r="A704" i="13"/>
  <c r="B704" i="13"/>
  <c r="C704" i="13"/>
  <c r="A705" i="13"/>
  <c r="K705" i="13" s="1"/>
  <c r="B705" i="13"/>
  <c r="C705" i="13"/>
  <c r="A706" i="13"/>
  <c r="G706" i="13" s="1"/>
  <c r="B706" i="13"/>
  <c r="C706" i="13"/>
  <c r="A707" i="13"/>
  <c r="B707" i="13"/>
  <c r="C707" i="13"/>
  <c r="A708" i="13"/>
  <c r="B708" i="13"/>
  <c r="C708" i="13"/>
  <c r="A709" i="13"/>
  <c r="G709" i="13" s="1"/>
  <c r="B709" i="13"/>
  <c r="C709" i="13"/>
  <c r="A710" i="13"/>
  <c r="B710" i="13"/>
  <c r="C710" i="13"/>
  <c r="A711" i="13"/>
  <c r="K711" i="13" s="1"/>
  <c r="B711" i="13"/>
  <c r="C711" i="13"/>
  <c r="A712" i="13"/>
  <c r="G712" i="13" s="1"/>
  <c r="B712" i="13"/>
  <c r="C712" i="13"/>
  <c r="A713" i="13"/>
  <c r="B713" i="13"/>
  <c r="C713" i="13"/>
  <c r="A714" i="13"/>
  <c r="K714" i="13" s="1"/>
  <c r="B714" i="13"/>
  <c r="C714" i="13"/>
  <c r="A715" i="13"/>
  <c r="G715" i="13" s="1"/>
  <c r="B715" i="13"/>
  <c r="C715" i="13"/>
  <c r="A716" i="13"/>
  <c r="B716" i="13"/>
  <c r="C716" i="13"/>
  <c r="A717" i="13"/>
  <c r="K717" i="13" s="1"/>
  <c r="B717" i="13"/>
  <c r="C717" i="13"/>
  <c r="A718" i="13"/>
  <c r="G718" i="13" s="1"/>
  <c r="B718" i="13"/>
  <c r="C718" i="13"/>
  <c r="A719" i="13"/>
  <c r="B719" i="13"/>
  <c r="C719" i="13"/>
  <c r="A720" i="13"/>
  <c r="K720" i="13" s="1"/>
  <c r="B720" i="13"/>
  <c r="C720" i="13"/>
  <c r="A721" i="13"/>
  <c r="G721" i="13" s="1"/>
  <c r="B721" i="13"/>
  <c r="C721" i="13"/>
  <c r="A722" i="13"/>
  <c r="K722" i="13" s="1"/>
  <c r="B722" i="13"/>
  <c r="C722" i="13"/>
  <c r="A723" i="13"/>
  <c r="B723" i="13"/>
  <c r="C723" i="13"/>
  <c r="A724" i="13"/>
  <c r="G724" i="13" s="1"/>
  <c r="B724" i="13"/>
  <c r="C724" i="13"/>
  <c r="A725" i="13"/>
  <c r="K725" i="13" s="1"/>
  <c r="B725" i="13"/>
  <c r="C725" i="13"/>
  <c r="A726" i="13"/>
  <c r="N726" i="13" s="1"/>
  <c r="B726" i="13"/>
  <c r="C726" i="13"/>
  <c r="A727" i="13"/>
  <c r="N727" i="13" s="1"/>
  <c r="B727" i="13"/>
  <c r="C727" i="13"/>
  <c r="A728" i="13"/>
  <c r="B728" i="13"/>
  <c r="C728" i="13"/>
  <c r="A729" i="13"/>
  <c r="L729" i="13" s="1"/>
  <c r="J729" i="13" s="1"/>
  <c r="B729" i="13"/>
  <c r="C729" i="13"/>
  <c r="A730" i="13"/>
  <c r="N730" i="13" s="1"/>
  <c r="B730" i="13"/>
  <c r="C730" i="13"/>
  <c r="A731" i="13"/>
  <c r="G731" i="13" s="1"/>
  <c r="B731" i="13"/>
  <c r="C731" i="13"/>
  <c r="A732" i="13"/>
  <c r="L732" i="13" s="1"/>
  <c r="J732" i="13" s="1"/>
  <c r="B732" i="13"/>
  <c r="C732" i="13"/>
  <c r="A733" i="13"/>
  <c r="K733" i="13" s="1"/>
  <c r="B733" i="13"/>
  <c r="C733" i="13"/>
  <c r="A734" i="13"/>
  <c r="B734" i="13"/>
  <c r="C734" i="13"/>
  <c r="A735" i="13"/>
  <c r="L735" i="13" s="1"/>
  <c r="J735" i="13" s="1"/>
  <c r="B735" i="13"/>
  <c r="C735" i="13"/>
  <c r="A736" i="13"/>
  <c r="B736" i="13"/>
  <c r="C736" i="13"/>
  <c r="A737" i="13"/>
  <c r="K737" i="13" s="1"/>
  <c r="B737" i="13"/>
  <c r="C737" i="13"/>
  <c r="A738" i="13"/>
  <c r="L738" i="13" s="1"/>
  <c r="J738" i="13" s="1"/>
  <c r="B738" i="13"/>
  <c r="C738" i="13"/>
  <c r="A739" i="13"/>
  <c r="N739" i="13" s="1"/>
  <c r="B739" i="13"/>
  <c r="C739" i="13"/>
  <c r="A740" i="13"/>
  <c r="G740" i="13" s="1"/>
  <c r="B740" i="13"/>
  <c r="C740" i="13"/>
  <c r="A741" i="13"/>
  <c r="N741" i="13" s="1"/>
  <c r="B741" i="13"/>
  <c r="C741" i="13"/>
  <c r="A742" i="13"/>
  <c r="B742" i="13"/>
  <c r="C742" i="13"/>
  <c r="A743" i="13"/>
  <c r="G743" i="13" s="1"/>
  <c r="B743" i="13"/>
  <c r="C743" i="13"/>
  <c r="A744" i="13"/>
  <c r="B744" i="13"/>
  <c r="C744" i="13"/>
  <c r="A745" i="13"/>
  <c r="K745" i="13" s="1"/>
  <c r="B745" i="13"/>
  <c r="C745" i="13"/>
  <c r="A746" i="13"/>
  <c r="G746" i="13" s="1"/>
  <c r="B746" i="13"/>
  <c r="C746" i="13"/>
  <c r="A747" i="13"/>
  <c r="L747" i="13" s="1"/>
  <c r="J747" i="13" s="1"/>
  <c r="B747" i="13"/>
  <c r="C747" i="13"/>
  <c r="A748" i="13"/>
  <c r="N748" i="13" s="1"/>
  <c r="B748" i="13"/>
  <c r="C748" i="13"/>
  <c r="A749" i="13"/>
  <c r="I749" i="13" s="1"/>
  <c r="B749" i="13"/>
  <c r="C749" i="13"/>
  <c r="A260" i="13"/>
  <c r="G260" i="13" s="1"/>
  <c r="B260" i="13"/>
  <c r="C260" i="13"/>
  <c r="A261" i="13"/>
  <c r="B261" i="13"/>
  <c r="C261" i="13"/>
  <c r="A262" i="13"/>
  <c r="I262" i="13" s="1"/>
  <c r="B262" i="13"/>
  <c r="C262" i="13"/>
  <c r="A263" i="13"/>
  <c r="I263" i="13" s="1"/>
  <c r="B263" i="13"/>
  <c r="C263" i="13"/>
  <c r="A264" i="13"/>
  <c r="K264" i="13" s="1"/>
  <c r="B264" i="13"/>
  <c r="C264" i="13"/>
  <c r="B67" i="3"/>
  <c r="B66" i="3"/>
  <c r="B65" i="3"/>
  <c r="B64" i="3"/>
  <c r="B63" i="3"/>
  <c r="B62" i="3"/>
  <c r="B61" i="3"/>
  <c r="B60" i="3"/>
  <c r="B59" i="3"/>
  <c r="S127" i="12"/>
  <c r="R127" i="12"/>
  <c r="G127" i="12"/>
  <c r="F127" i="12"/>
  <c r="E127" i="12"/>
  <c r="D127" i="12"/>
  <c r="C127" i="12"/>
  <c r="B127" i="12"/>
  <c r="S126" i="12"/>
  <c r="R126" i="12"/>
  <c r="G126" i="12"/>
  <c r="F126" i="12"/>
  <c r="E126" i="12"/>
  <c r="D126" i="12"/>
  <c r="C126" i="12"/>
  <c r="B126" i="12"/>
  <c r="S125" i="12"/>
  <c r="R125" i="12"/>
  <c r="G125" i="12"/>
  <c r="F125" i="12"/>
  <c r="E125" i="12"/>
  <c r="D125" i="12"/>
  <c r="C125" i="12"/>
  <c r="B125" i="12"/>
  <c r="S124" i="12"/>
  <c r="R124" i="12"/>
  <c r="G124" i="12"/>
  <c r="F124" i="12"/>
  <c r="E124" i="12"/>
  <c r="D124" i="12"/>
  <c r="C124" i="12"/>
  <c r="B124" i="12"/>
  <c r="S123" i="12"/>
  <c r="R123" i="12"/>
  <c r="G123" i="12"/>
  <c r="F123" i="12"/>
  <c r="E123" i="12"/>
  <c r="D123" i="12"/>
  <c r="C123" i="12"/>
  <c r="B123" i="12"/>
  <c r="S122" i="12"/>
  <c r="R122" i="12"/>
  <c r="G122" i="12"/>
  <c r="F122" i="12"/>
  <c r="E122" i="12"/>
  <c r="D122" i="12"/>
  <c r="C122" i="12"/>
  <c r="B122" i="12"/>
  <c r="S121" i="12"/>
  <c r="R121" i="12"/>
  <c r="C67" i="2" s="1"/>
  <c r="G121" i="12"/>
  <c r="J71" i="3" s="1"/>
  <c r="F121" i="12"/>
  <c r="C71" i="3" s="1"/>
  <c r="I71" i="3" s="1"/>
  <c r="E121" i="12"/>
  <c r="D121" i="12"/>
  <c r="C121" i="12"/>
  <c r="B121" i="12"/>
  <c r="I67" i="2" s="1"/>
  <c r="S120" i="12"/>
  <c r="R120" i="12"/>
  <c r="C66" i="2" s="1"/>
  <c r="G120" i="12"/>
  <c r="J70" i="3" s="1"/>
  <c r="F120" i="12"/>
  <c r="C70" i="3" s="1"/>
  <c r="I70" i="3" s="1"/>
  <c r="E120" i="12"/>
  <c r="D120" i="12"/>
  <c r="C120" i="12"/>
  <c r="B120" i="12"/>
  <c r="I66" i="2" s="1"/>
  <c r="S119" i="12"/>
  <c r="R119" i="12"/>
  <c r="C65" i="2" s="1"/>
  <c r="G119" i="12"/>
  <c r="J69" i="3" s="1"/>
  <c r="F119" i="12"/>
  <c r="C69" i="3" s="1"/>
  <c r="I69" i="3" s="1"/>
  <c r="E119" i="12"/>
  <c r="D119" i="12"/>
  <c r="C119" i="12"/>
  <c r="B119" i="12"/>
  <c r="I65" i="2" s="1"/>
  <c r="S118" i="12"/>
  <c r="R118" i="12"/>
  <c r="C64" i="2" s="1"/>
  <c r="G118" i="12"/>
  <c r="F118" i="12"/>
  <c r="E118" i="12"/>
  <c r="D118" i="12"/>
  <c r="C118" i="12"/>
  <c r="B118" i="12"/>
  <c r="S117" i="12"/>
  <c r="R117" i="12"/>
  <c r="G117" i="12"/>
  <c r="J67" i="3" s="1"/>
  <c r="F117" i="12"/>
  <c r="C67" i="3" s="1"/>
  <c r="I67" i="3" s="1"/>
  <c r="E117" i="12"/>
  <c r="D117" i="12"/>
  <c r="C117" i="12"/>
  <c r="B117" i="12"/>
  <c r="S116" i="12"/>
  <c r="R116" i="12"/>
  <c r="C62" i="2" s="1"/>
  <c r="G116" i="12"/>
  <c r="J62" i="2" s="1"/>
  <c r="F116" i="12"/>
  <c r="C66" i="3" s="1"/>
  <c r="D66" i="3" s="1"/>
  <c r="E116" i="12"/>
  <c r="D116" i="12"/>
  <c r="C116" i="12"/>
  <c r="B116" i="12"/>
  <c r="I62" i="2" s="1"/>
  <c r="S115" i="12"/>
  <c r="R115" i="12"/>
  <c r="C61" i="2" s="1"/>
  <c r="G115" i="12"/>
  <c r="J61" i="2" s="1"/>
  <c r="F115" i="12"/>
  <c r="C65" i="3" s="1"/>
  <c r="I65" i="3" s="1"/>
  <c r="E115" i="12"/>
  <c r="D115" i="12"/>
  <c r="C115" i="12"/>
  <c r="B115" i="12"/>
  <c r="I61" i="2" s="1"/>
  <c r="S114" i="12"/>
  <c r="R114" i="12"/>
  <c r="C60" i="2" s="1"/>
  <c r="G114" i="12"/>
  <c r="J64" i="3" s="1"/>
  <c r="F114" i="12"/>
  <c r="C64" i="3" s="1"/>
  <c r="I64" i="3" s="1"/>
  <c r="E114" i="12"/>
  <c r="D114" i="12"/>
  <c r="C114" i="12"/>
  <c r="B114" i="12"/>
  <c r="S113" i="12"/>
  <c r="R113" i="12"/>
  <c r="C59" i="2" s="1"/>
  <c r="G113" i="12"/>
  <c r="J59" i="2" s="1"/>
  <c r="F113" i="12"/>
  <c r="C63" i="3" s="1"/>
  <c r="I63" i="3" s="1"/>
  <c r="E113" i="12"/>
  <c r="D113" i="12"/>
  <c r="C113" i="12"/>
  <c r="B113" i="12"/>
  <c r="S112" i="12"/>
  <c r="R112" i="12"/>
  <c r="C58" i="2" s="1"/>
  <c r="G112" i="12"/>
  <c r="J62" i="3" s="1"/>
  <c r="F112" i="12"/>
  <c r="C62" i="3" s="1"/>
  <c r="E112" i="12"/>
  <c r="D112" i="12"/>
  <c r="C112" i="12"/>
  <c r="B112" i="12"/>
  <c r="S111" i="12"/>
  <c r="R111" i="12"/>
  <c r="C57" i="2" s="1"/>
  <c r="G111" i="12"/>
  <c r="J57" i="2" s="1"/>
  <c r="F111" i="12"/>
  <c r="C61" i="3" s="1"/>
  <c r="I61" i="3" s="1"/>
  <c r="E111" i="12"/>
  <c r="D111" i="12"/>
  <c r="C111" i="12"/>
  <c r="B111" i="12"/>
  <c r="S110" i="12"/>
  <c r="R110" i="12"/>
  <c r="G110" i="12"/>
  <c r="J56" i="2" s="1"/>
  <c r="F110" i="12"/>
  <c r="C60" i="3" s="1"/>
  <c r="I60" i="3" s="1"/>
  <c r="E110" i="12"/>
  <c r="D110" i="12"/>
  <c r="C110" i="12"/>
  <c r="B110" i="12"/>
  <c r="Q118" i="11"/>
  <c r="P118" i="11"/>
  <c r="I118" i="11"/>
  <c r="J118" i="11" s="1"/>
  <c r="K118" i="11" s="1"/>
  <c r="L118" i="11" s="1"/>
  <c r="M118" i="11" s="1"/>
  <c r="N118" i="11" s="1"/>
  <c r="O118" i="11" s="1"/>
  <c r="H118" i="11"/>
  <c r="Q117" i="11"/>
  <c r="I46" i="6" s="1"/>
  <c r="P117" i="11"/>
  <c r="I117" i="11"/>
  <c r="J117" i="11" s="1"/>
  <c r="K117" i="11" s="1"/>
  <c r="L117" i="11" s="1"/>
  <c r="M117" i="11" s="1"/>
  <c r="N117" i="11" s="1"/>
  <c r="O117" i="11" s="1"/>
  <c r="H117" i="11"/>
  <c r="Q116" i="11"/>
  <c r="P116" i="11"/>
  <c r="H116" i="11"/>
  <c r="Q115" i="11"/>
  <c r="P115" i="11"/>
  <c r="H115" i="11"/>
  <c r="Q114" i="11"/>
  <c r="I43" i="6" s="1"/>
  <c r="P114" i="11"/>
  <c r="H114" i="11"/>
  <c r="Q113" i="11"/>
  <c r="I42" i="6" s="1"/>
  <c r="P113" i="11"/>
  <c r="H113" i="11"/>
  <c r="Q112" i="11"/>
  <c r="I41" i="6" s="1"/>
  <c r="P112" i="11"/>
  <c r="H112" i="11"/>
  <c r="Q111" i="11"/>
  <c r="I40" i="6" s="1"/>
  <c r="P111" i="11"/>
  <c r="H111" i="11"/>
  <c r="Q110" i="11"/>
  <c r="P110" i="11"/>
  <c r="H110" i="11"/>
  <c r="B58" i="3"/>
  <c r="B57" i="3"/>
  <c r="B56" i="3"/>
  <c r="B55" i="3"/>
  <c r="S136" i="12"/>
  <c r="R136" i="12"/>
  <c r="G136" i="12"/>
  <c r="F136" i="12"/>
  <c r="E136" i="12"/>
  <c r="D136" i="12"/>
  <c r="C136" i="12"/>
  <c r="B136" i="12"/>
  <c r="S135" i="12"/>
  <c r="R135" i="12"/>
  <c r="G135" i="12"/>
  <c r="F135" i="12"/>
  <c r="E135" i="12"/>
  <c r="D135" i="12"/>
  <c r="C135" i="12"/>
  <c r="B135" i="12"/>
  <c r="S134" i="12"/>
  <c r="R134" i="12"/>
  <c r="G134" i="12"/>
  <c r="F134" i="12"/>
  <c r="E134" i="12"/>
  <c r="D134" i="12"/>
  <c r="C134" i="12"/>
  <c r="B134" i="12"/>
  <c r="S133" i="12"/>
  <c r="R133" i="12"/>
  <c r="G133" i="12"/>
  <c r="F133" i="12"/>
  <c r="E133" i="12"/>
  <c r="D133" i="12"/>
  <c r="C133" i="12"/>
  <c r="B133" i="12"/>
  <c r="S132" i="12"/>
  <c r="R132" i="12"/>
  <c r="G132" i="12"/>
  <c r="F132" i="12"/>
  <c r="E132" i="12"/>
  <c r="D132" i="12"/>
  <c r="C132" i="12"/>
  <c r="B132" i="12"/>
  <c r="S131" i="12"/>
  <c r="R131" i="12"/>
  <c r="G131" i="12"/>
  <c r="F131" i="12"/>
  <c r="E131" i="12"/>
  <c r="D131" i="12"/>
  <c r="C131" i="12"/>
  <c r="B131" i="12"/>
  <c r="S130" i="12"/>
  <c r="R130" i="12"/>
  <c r="G130" i="12"/>
  <c r="F130" i="12"/>
  <c r="E130" i="12"/>
  <c r="D130" i="12"/>
  <c r="C130" i="12"/>
  <c r="B130" i="12"/>
  <c r="S129" i="12"/>
  <c r="R129" i="12"/>
  <c r="G129" i="12"/>
  <c r="F129" i="12"/>
  <c r="E129" i="12"/>
  <c r="D129" i="12"/>
  <c r="C129" i="12"/>
  <c r="B129" i="12"/>
  <c r="S128" i="12"/>
  <c r="R128" i="12"/>
  <c r="G128" i="12"/>
  <c r="F128" i="12"/>
  <c r="E128" i="12"/>
  <c r="D128" i="12"/>
  <c r="C128" i="12"/>
  <c r="B128" i="12"/>
  <c r="S109" i="12"/>
  <c r="R109" i="12"/>
  <c r="G109" i="12"/>
  <c r="J59" i="3" s="1"/>
  <c r="F109" i="12"/>
  <c r="C59" i="3" s="1"/>
  <c r="I59" i="3" s="1"/>
  <c r="E109" i="12"/>
  <c r="D109" i="12"/>
  <c r="C109" i="12"/>
  <c r="B109" i="12"/>
  <c r="S108" i="12"/>
  <c r="R108" i="12"/>
  <c r="C54" i="2" s="1"/>
  <c r="G108" i="12"/>
  <c r="J58" i="3" s="1"/>
  <c r="F108" i="12"/>
  <c r="C58" i="3" s="1"/>
  <c r="I58" i="3" s="1"/>
  <c r="E108" i="12"/>
  <c r="D108" i="12"/>
  <c r="C108" i="12"/>
  <c r="B108" i="12"/>
  <c r="Q121" i="11"/>
  <c r="P121" i="11"/>
  <c r="H121" i="11"/>
  <c r="I121" i="11" s="1"/>
  <c r="S121" i="11" s="1"/>
  <c r="AF121" i="11" s="1"/>
  <c r="Q120" i="11"/>
  <c r="P120" i="11"/>
  <c r="H120" i="11"/>
  <c r="I120" i="11" s="1"/>
  <c r="J120" i="11" s="1"/>
  <c r="K120" i="11" s="1"/>
  <c r="L120" i="11" s="1"/>
  <c r="M120" i="11" s="1"/>
  <c r="N120" i="11" s="1"/>
  <c r="O120" i="11" s="1"/>
  <c r="Q119" i="11"/>
  <c r="P119" i="11"/>
  <c r="H119" i="11"/>
  <c r="I119" i="11" s="1"/>
  <c r="S119" i="11" s="1"/>
  <c r="AF119" i="11" s="1"/>
  <c r="Q109" i="11"/>
  <c r="P109" i="11"/>
  <c r="H109" i="11"/>
  <c r="Q108" i="11"/>
  <c r="P108" i="11"/>
  <c r="H108" i="11"/>
  <c r="Q107" i="11"/>
  <c r="P107" i="11"/>
  <c r="I107" i="11"/>
  <c r="J107" i="11" s="1"/>
  <c r="K107" i="11" s="1"/>
  <c r="L107" i="11" s="1"/>
  <c r="M107" i="11" s="1"/>
  <c r="N107" i="11" s="1"/>
  <c r="O107" i="11" s="1"/>
  <c r="H107" i="11"/>
  <c r="Q106" i="11"/>
  <c r="P106" i="11"/>
  <c r="H106" i="11"/>
  <c r="B54" i="3"/>
  <c r="B53" i="3"/>
  <c r="B52" i="3"/>
  <c r="B49" i="3"/>
  <c r="B50" i="3"/>
  <c r="B51" i="3"/>
  <c r="B68" i="3"/>
  <c r="J60" i="2" l="1"/>
  <c r="I589" i="13"/>
  <c r="K517" i="13"/>
  <c r="G504" i="13"/>
  <c r="G459" i="13"/>
  <c r="N709" i="13"/>
  <c r="O709" i="13" s="1"/>
  <c r="N688" i="13"/>
  <c r="O688" i="13" s="1"/>
  <c r="N279" i="13"/>
  <c r="O279" i="13" s="1"/>
  <c r="I660" i="13"/>
  <c r="N675" i="13"/>
  <c r="O675" i="13" s="1"/>
  <c r="L670" i="13"/>
  <c r="J670" i="13" s="1"/>
  <c r="G636" i="13"/>
  <c r="I326" i="13"/>
  <c r="I411" i="13"/>
  <c r="I705" i="13"/>
  <c r="N682" i="13"/>
  <c r="O682" i="13" s="1"/>
  <c r="G51" i="6"/>
  <c r="I39" i="6"/>
  <c r="I37" i="6"/>
  <c r="I45" i="6"/>
  <c r="I47" i="6"/>
  <c r="I737" i="13"/>
  <c r="I711" i="13"/>
  <c r="I709" i="13"/>
  <c r="N318" i="13"/>
  <c r="O318" i="13" s="1"/>
  <c r="G737" i="13"/>
  <c r="I318" i="13"/>
  <c r="N407" i="13"/>
  <c r="O407" i="13" s="1"/>
  <c r="I38" i="6"/>
  <c r="G50" i="6"/>
  <c r="N383" i="13"/>
  <c r="O383" i="13" s="1"/>
  <c r="I36" i="6"/>
  <c r="L628" i="13"/>
  <c r="J628" i="13" s="1"/>
  <c r="N648" i="13"/>
  <c r="O648" i="13" s="1"/>
  <c r="L643" i="13"/>
  <c r="H643" i="13" s="1"/>
  <c r="N539" i="13"/>
  <c r="O539" i="13" s="1"/>
  <c r="O530" i="13"/>
  <c r="O748" i="13"/>
  <c r="L697" i="13"/>
  <c r="H697" i="13" s="1"/>
  <c r="I657" i="13"/>
  <c r="N655" i="13"/>
  <c r="O655" i="13" s="1"/>
  <c r="K539" i="13"/>
  <c r="I297" i="13"/>
  <c r="L718" i="13"/>
  <c r="H718" i="13" s="1"/>
  <c r="G699" i="13"/>
  <c r="I697" i="13"/>
  <c r="G657" i="13"/>
  <c r="I559" i="13"/>
  <c r="D65" i="2"/>
  <c r="D66" i="2"/>
  <c r="D67" i="2"/>
  <c r="G720" i="13"/>
  <c r="N661" i="13"/>
  <c r="O661" i="13" s="1"/>
  <c r="L543" i="13"/>
  <c r="H543" i="13" s="1"/>
  <c r="N489" i="13"/>
  <c r="O489" i="13" s="1"/>
  <c r="G434" i="13"/>
  <c r="N322" i="13"/>
  <c r="O322" i="13" s="1"/>
  <c r="L737" i="13"/>
  <c r="H737" i="13" s="1"/>
  <c r="L715" i="13"/>
  <c r="H715" i="13" s="1"/>
  <c r="O622" i="13"/>
  <c r="L600" i="13"/>
  <c r="H600" i="13" s="1"/>
  <c r="G582" i="13"/>
  <c r="N347" i="13"/>
  <c r="O347" i="13" s="1"/>
  <c r="N326" i="13"/>
  <c r="O326" i="13" s="1"/>
  <c r="L324" i="13"/>
  <c r="H324" i="13" s="1"/>
  <c r="N740" i="13"/>
  <c r="O740" i="13" s="1"/>
  <c r="L724" i="13"/>
  <c r="J724" i="13" s="1"/>
  <c r="G672" i="13"/>
  <c r="I543" i="13"/>
  <c r="I383" i="13"/>
  <c r="G324" i="13"/>
  <c r="G262" i="13"/>
  <c r="I724" i="13"/>
  <c r="G717" i="13"/>
  <c r="N681" i="13"/>
  <c r="O681" i="13" s="1"/>
  <c r="K676" i="13"/>
  <c r="L658" i="13"/>
  <c r="J658" i="13" s="1"/>
  <c r="N609" i="13"/>
  <c r="O609" i="13" s="1"/>
  <c r="K550" i="13"/>
  <c r="G543" i="13"/>
  <c r="L425" i="13"/>
  <c r="H425" i="13" s="1"/>
  <c r="K400" i="13"/>
  <c r="L395" i="13"/>
  <c r="H395" i="13" s="1"/>
  <c r="L390" i="13"/>
  <c r="H390" i="13" s="1"/>
  <c r="G383" i="13"/>
  <c r="L354" i="13"/>
  <c r="H354" i="13" s="1"/>
  <c r="K299" i="13"/>
  <c r="I609" i="13"/>
  <c r="K513" i="13"/>
  <c r="K508" i="13"/>
  <c r="L749" i="13"/>
  <c r="H749" i="13" s="1"/>
  <c r="N737" i="13"/>
  <c r="O737" i="13" s="1"/>
  <c r="N664" i="13"/>
  <c r="O664" i="13" s="1"/>
  <c r="I649" i="13"/>
  <c r="N642" i="13"/>
  <c r="O642" i="13" s="1"/>
  <c r="L673" i="13"/>
  <c r="H673" i="13" s="1"/>
  <c r="N666" i="13"/>
  <c r="O666" i="13" s="1"/>
  <c r="I664" i="13"/>
  <c r="G651" i="13"/>
  <c r="N538" i="13"/>
  <c r="O538" i="13" s="1"/>
  <c r="N533" i="13"/>
  <c r="O533" i="13" s="1"/>
  <c r="I409" i="13"/>
  <c r="G308" i="13"/>
  <c r="N657" i="13"/>
  <c r="O657" i="13" s="1"/>
  <c r="L601" i="13"/>
  <c r="J601" i="13" s="1"/>
  <c r="N618" i="13"/>
  <c r="O618" i="13" s="1"/>
  <c r="K583" i="13"/>
  <c r="G431" i="13"/>
  <c r="L389" i="13"/>
  <c r="H389" i="13" s="1"/>
  <c r="K270" i="13"/>
  <c r="K565" i="13"/>
  <c r="I529" i="13"/>
  <c r="K507" i="13"/>
  <c r="K490" i="13"/>
  <c r="I433" i="13"/>
  <c r="I389" i="13"/>
  <c r="L285" i="13"/>
  <c r="H285" i="13" s="1"/>
  <c r="N521" i="13"/>
  <c r="O521" i="13" s="1"/>
  <c r="I507" i="13"/>
  <c r="L340" i="13"/>
  <c r="H340" i="13" s="1"/>
  <c r="G327" i="13"/>
  <c r="N321" i="13"/>
  <c r="O321" i="13" s="1"/>
  <c r="I309" i="13"/>
  <c r="I307" i="13"/>
  <c r="G600" i="13"/>
  <c r="L516" i="13"/>
  <c r="H516" i="13" s="1"/>
  <c r="I502" i="13"/>
  <c r="G321" i="13"/>
  <c r="N297" i="13"/>
  <c r="O297" i="13" s="1"/>
  <c r="I115" i="11"/>
  <c r="J115" i="11" s="1"/>
  <c r="K115" i="11" s="1"/>
  <c r="L115" i="11" s="1"/>
  <c r="M115" i="11" s="1"/>
  <c r="N115" i="11" s="1"/>
  <c r="O115" i="11" s="1"/>
  <c r="D48" i="6"/>
  <c r="I106" i="11"/>
  <c r="J106" i="11" s="1"/>
  <c r="K106" i="11" s="1"/>
  <c r="L106" i="11" s="1"/>
  <c r="M106" i="11" s="1"/>
  <c r="N106" i="11" s="1"/>
  <c r="O106" i="11" s="1"/>
  <c r="I113" i="11"/>
  <c r="J113" i="11" s="1"/>
  <c r="K113" i="11" s="1"/>
  <c r="L113" i="11" s="1"/>
  <c r="M113" i="11" s="1"/>
  <c r="N113" i="11" s="1"/>
  <c r="O113" i="11" s="1"/>
  <c r="G46" i="6" s="1"/>
  <c r="D46" i="6"/>
  <c r="E46" i="6"/>
  <c r="E51" i="6"/>
  <c r="D51" i="6"/>
  <c r="K262" i="13"/>
  <c r="N718" i="13"/>
  <c r="O718" i="13" s="1"/>
  <c r="K709" i="13"/>
  <c r="O700" i="13"/>
  <c r="N673" i="13"/>
  <c r="O673" i="13" s="1"/>
  <c r="K664" i="13"/>
  <c r="N658" i="13"/>
  <c r="O658" i="13" s="1"/>
  <c r="I643" i="13"/>
  <c r="N636" i="13"/>
  <c r="O636" i="13" s="1"/>
  <c r="G593" i="13"/>
  <c r="L589" i="13"/>
  <c r="J589" i="13" s="1"/>
  <c r="I567" i="13"/>
  <c r="G507" i="13"/>
  <c r="L490" i="13"/>
  <c r="H490" i="13" s="1"/>
  <c r="N434" i="13"/>
  <c r="O434" i="13" s="1"/>
  <c r="N395" i="13"/>
  <c r="O395" i="13" s="1"/>
  <c r="G389" i="13"/>
  <c r="L384" i="13"/>
  <c r="H384" i="13" s="1"/>
  <c r="N354" i="13"/>
  <c r="O354" i="13" s="1"/>
  <c r="L349" i="13"/>
  <c r="H349" i="13" s="1"/>
  <c r="I116" i="11"/>
  <c r="S116" i="11" s="1"/>
  <c r="AF116" i="11" s="1"/>
  <c r="D49" i="6"/>
  <c r="N263" i="13"/>
  <c r="O263" i="13" s="1"/>
  <c r="N743" i="13"/>
  <c r="O743" i="13" s="1"/>
  <c r="N731" i="13"/>
  <c r="O731" i="13" s="1"/>
  <c r="K718" i="13"/>
  <c r="N712" i="13"/>
  <c r="O712" i="13" s="1"/>
  <c r="I681" i="13"/>
  <c r="K673" i="13"/>
  <c r="N667" i="13"/>
  <c r="O667" i="13" s="1"/>
  <c r="L652" i="13"/>
  <c r="H652" i="13" s="1"/>
  <c r="N603" i="13"/>
  <c r="O603" i="13" s="1"/>
  <c r="L590" i="13"/>
  <c r="J590" i="13" s="1"/>
  <c r="N559" i="13"/>
  <c r="O559" i="13" s="1"/>
  <c r="N412" i="13"/>
  <c r="O412" i="13" s="1"/>
  <c r="I347" i="13"/>
  <c r="N268" i="13"/>
  <c r="O268" i="13" s="1"/>
  <c r="D42" i="6"/>
  <c r="E42" i="6"/>
  <c r="E40" i="6"/>
  <c r="D40" i="6"/>
  <c r="I114" i="11"/>
  <c r="J114" i="11" s="1"/>
  <c r="K114" i="11" s="1"/>
  <c r="L114" i="11" s="1"/>
  <c r="M114" i="11" s="1"/>
  <c r="N114" i="11" s="1"/>
  <c r="O114" i="11" s="1"/>
  <c r="G47" i="6" s="1"/>
  <c r="D47" i="6"/>
  <c r="E47" i="6"/>
  <c r="K263" i="13"/>
  <c r="N749" i="13"/>
  <c r="O749" i="13" s="1"/>
  <c r="L743" i="13"/>
  <c r="H743" i="13" s="1"/>
  <c r="K731" i="13"/>
  <c r="I718" i="13"/>
  <c r="N714" i="13"/>
  <c r="O714" i="13" s="1"/>
  <c r="K712" i="13"/>
  <c r="N706" i="13"/>
  <c r="O706" i="13" s="1"/>
  <c r="G681" i="13"/>
  <c r="I673" i="13"/>
  <c r="I667" i="13"/>
  <c r="I652" i="13"/>
  <c r="G599" i="13"/>
  <c r="K586" i="13"/>
  <c r="K559" i="13"/>
  <c r="N419" i="13"/>
  <c r="O419" i="13" s="1"/>
  <c r="G412" i="13"/>
  <c r="I410" i="13"/>
  <c r="I399" i="13"/>
  <c r="G359" i="13"/>
  <c r="P359" i="13" s="1"/>
  <c r="G347" i="13"/>
  <c r="K323" i="13"/>
  <c r="K317" i="13"/>
  <c r="K743" i="13"/>
  <c r="N284" i="13"/>
  <c r="O284" i="13" s="1"/>
  <c r="D50" i="6"/>
  <c r="E50" i="6"/>
  <c r="I112" i="11"/>
  <c r="S112" i="11" s="1"/>
  <c r="AF112" i="11" s="1"/>
  <c r="D45" i="6"/>
  <c r="E45" i="6"/>
  <c r="G749" i="13"/>
  <c r="I743" i="13"/>
  <c r="K682" i="13"/>
  <c r="I676" i="13"/>
  <c r="I663" i="13"/>
  <c r="G648" i="13"/>
  <c r="N643" i="13"/>
  <c r="O643" i="13" s="1"/>
  <c r="G642" i="13"/>
  <c r="N516" i="13"/>
  <c r="O516" i="13" s="1"/>
  <c r="L507" i="13"/>
  <c r="H507" i="13" s="1"/>
  <c r="O429" i="13"/>
  <c r="N389" i="13"/>
  <c r="O389" i="13" s="1"/>
  <c r="L383" i="13"/>
  <c r="H383" i="13" s="1"/>
  <c r="I339" i="13"/>
  <c r="G302" i="13"/>
  <c r="K300" i="13"/>
  <c r="G296" i="13"/>
  <c r="N291" i="13"/>
  <c r="O291" i="13" s="1"/>
  <c r="K284" i="13"/>
  <c r="N264" i="13"/>
  <c r="O264" i="13" s="1"/>
  <c r="L528" i="13"/>
  <c r="H528" i="13" s="1"/>
  <c r="K493" i="13"/>
  <c r="G465" i="13"/>
  <c r="G453" i="13"/>
  <c r="I413" i="13"/>
  <c r="K304" i="13"/>
  <c r="D44" i="6"/>
  <c r="E44" i="6"/>
  <c r="K694" i="13"/>
  <c r="D41" i="6"/>
  <c r="E41" i="6"/>
  <c r="I110" i="11"/>
  <c r="S110" i="11" s="1"/>
  <c r="AF110" i="11" s="1"/>
  <c r="E43" i="6"/>
  <c r="D43" i="6"/>
  <c r="N262" i="13"/>
  <c r="O262" i="13" s="1"/>
  <c r="N717" i="13"/>
  <c r="O717" i="13" s="1"/>
  <c r="L709" i="13"/>
  <c r="H709" i="13" s="1"/>
  <c r="N705" i="13"/>
  <c r="O705" i="13" s="1"/>
  <c r="N672" i="13"/>
  <c r="O672" i="13" s="1"/>
  <c r="L664" i="13"/>
  <c r="H664" i="13" s="1"/>
  <c r="N651" i="13"/>
  <c r="O651" i="13" s="1"/>
  <c r="L649" i="13"/>
  <c r="H649" i="13" s="1"/>
  <c r="K643" i="13"/>
  <c r="N593" i="13"/>
  <c r="O593" i="13" s="1"/>
  <c r="N589" i="13"/>
  <c r="O589" i="13" s="1"/>
  <c r="G516" i="13"/>
  <c r="K281" i="13"/>
  <c r="G279" i="13"/>
  <c r="N630" i="13"/>
  <c r="O630" i="13" s="1"/>
  <c r="I54" i="2"/>
  <c r="I55" i="2"/>
  <c r="J58" i="2"/>
  <c r="J61" i="3"/>
  <c r="J65" i="3"/>
  <c r="J66" i="3"/>
  <c r="J63" i="2"/>
  <c r="J63" i="3"/>
  <c r="J60" i="3"/>
  <c r="I63" i="2"/>
  <c r="J66" i="2"/>
  <c r="I58" i="2"/>
  <c r="J67" i="2"/>
  <c r="K41" i="6"/>
  <c r="L41" i="6"/>
  <c r="L42" i="6"/>
  <c r="K42" i="6"/>
  <c r="C56" i="2"/>
  <c r="L44" i="6"/>
  <c r="K44" i="6"/>
  <c r="K48" i="6"/>
  <c r="L48" i="6"/>
  <c r="J65" i="2"/>
  <c r="C63" i="2"/>
  <c r="D63" i="2" s="1"/>
  <c r="C55" i="2"/>
  <c r="K43" i="6"/>
  <c r="L43" i="6"/>
  <c r="K45" i="6"/>
  <c r="L45" i="6"/>
  <c r="K46" i="6"/>
  <c r="L46" i="6"/>
  <c r="K47" i="6"/>
  <c r="L47" i="6"/>
  <c r="K49" i="6"/>
  <c r="L49" i="6"/>
  <c r="L50" i="6"/>
  <c r="K50" i="6"/>
  <c r="K51" i="6"/>
  <c r="L51" i="6"/>
  <c r="I56" i="2"/>
  <c r="I60" i="2"/>
  <c r="J55" i="2"/>
  <c r="D70" i="3"/>
  <c r="D69" i="3"/>
  <c r="D67" i="3"/>
  <c r="D65" i="3"/>
  <c r="D71" i="3"/>
  <c r="D62" i="2"/>
  <c r="D61" i="2"/>
  <c r="L262" i="13"/>
  <c r="H262" i="13" s="1"/>
  <c r="K740" i="13"/>
  <c r="N732" i="13"/>
  <c r="O732" i="13" s="1"/>
  <c r="K724" i="13"/>
  <c r="K706" i="13"/>
  <c r="K697" i="13"/>
  <c r="I694" i="13"/>
  <c r="N652" i="13"/>
  <c r="O652" i="13" s="1"/>
  <c r="I651" i="13"/>
  <c r="N649" i="13"/>
  <c r="O649" i="13" s="1"/>
  <c r="I648" i="13"/>
  <c r="K628" i="13"/>
  <c r="I618" i="13"/>
  <c r="N601" i="13"/>
  <c r="O601" i="13" s="1"/>
  <c r="I600" i="13"/>
  <c r="N577" i="13"/>
  <c r="O577" i="13" s="1"/>
  <c r="G567" i="13"/>
  <c r="I508" i="13"/>
  <c r="N427" i="13"/>
  <c r="O427" i="13" s="1"/>
  <c r="N423" i="13"/>
  <c r="O423" i="13" s="1"/>
  <c r="G415" i="13"/>
  <c r="G413" i="13"/>
  <c r="G410" i="13"/>
  <c r="I366" i="13"/>
  <c r="N335" i="13"/>
  <c r="O335" i="13" s="1"/>
  <c r="I330" i="13"/>
  <c r="K326" i="13"/>
  <c r="G293" i="13"/>
  <c r="I291" i="13"/>
  <c r="G285" i="13"/>
  <c r="N266" i="13"/>
  <c r="O266" i="13" s="1"/>
  <c r="O503" i="13"/>
  <c r="O374" i="13"/>
  <c r="L263" i="13"/>
  <c r="H263" i="13" s="1"/>
  <c r="N720" i="13"/>
  <c r="O720" i="13" s="1"/>
  <c r="I717" i="13"/>
  <c r="N715" i="13"/>
  <c r="O715" i="13" s="1"/>
  <c r="N702" i="13"/>
  <c r="O702" i="13" s="1"/>
  <c r="N690" i="13"/>
  <c r="O690" i="13" s="1"/>
  <c r="K688" i="13"/>
  <c r="I672" i="13"/>
  <c r="K652" i="13"/>
  <c r="K649" i="13"/>
  <c r="I642" i="13"/>
  <c r="N640" i="13"/>
  <c r="O640" i="13" s="1"/>
  <c r="I636" i="13"/>
  <c r="N634" i="13"/>
  <c r="O634" i="13" s="1"/>
  <c r="N625" i="13"/>
  <c r="O625" i="13" s="1"/>
  <c r="N621" i="13"/>
  <c r="O621" i="13" s="1"/>
  <c r="N615" i="13"/>
  <c r="O615" i="13" s="1"/>
  <c r="I601" i="13"/>
  <c r="N562" i="13"/>
  <c r="O562" i="13" s="1"/>
  <c r="N543" i="13"/>
  <c r="O543" i="13" s="1"/>
  <c r="K528" i="13"/>
  <c r="N502" i="13"/>
  <c r="O502" i="13" s="1"/>
  <c r="G495" i="13"/>
  <c r="I493" i="13"/>
  <c r="I489" i="13"/>
  <c r="G477" i="13"/>
  <c r="L431" i="13"/>
  <c r="H431" i="13" s="1"/>
  <c r="G403" i="13"/>
  <c r="N327" i="13"/>
  <c r="O327" i="13" s="1"/>
  <c r="G326" i="13"/>
  <c r="N324" i="13"/>
  <c r="O324" i="13" s="1"/>
  <c r="I321" i="13"/>
  <c r="N319" i="13"/>
  <c r="O319" i="13" s="1"/>
  <c r="I315" i="13"/>
  <c r="G311" i="13"/>
  <c r="N286" i="13"/>
  <c r="O286" i="13" s="1"/>
  <c r="K269" i="13"/>
  <c r="N267" i="13"/>
  <c r="O267" i="13" s="1"/>
  <c r="N746" i="13"/>
  <c r="O746" i="13" s="1"/>
  <c r="N721" i="13"/>
  <c r="O721" i="13" s="1"/>
  <c r="I702" i="13"/>
  <c r="K640" i="13"/>
  <c r="L625" i="13"/>
  <c r="H625" i="13" s="1"/>
  <c r="I621" i="13"/>
  <c r="I615" i="13"/>
  <c r="N602" i="13"/>
  <c r="O602" i="13" s="1"/>
  <c r="N574" i="13"/>
  <c r="O574" i="13" s="1"/>
  <c r="I558" i="13"/>
  <c r="L556" i="13"/>
  <c r="J556" i="13" s="1"/>
  <c r="N531" i="13"/>
  <c r="O531" i="13" s="1"/>
  <c r="O515" i="13"/>
  <c r="I424" i="13"/>
  <c r="N418" i="13"/>
  <c r="O418" i="13" s="1"/>
  <c r="O330" i="13"/>
  <c r="N278" i="13"/>
  <c r="O278" i="13" s="1"/>
  <c r="I267" i="13"/>
  <c r="L746" i="13"/>
  <c r="H746" i="13" s="1"/>
  <c r="L721" i="13"/>
  <c r="H721" i="13" s="1"/>
  <c r="N703" i="13"/>
  <c r="O703" i="13" s="1"/>
  <c r="G702" i="13"/>
  <c r="N693" i="13"/>
  <c r="O693" i="13" s="1"/>
  <c r="I640" i="13"/>
  <c r="K625" i="13"/>
  <c r="G621" i="13"/>
  <c r="G615" i="13"/>
  <c r="K602" i="13"/>
  <c r="K587" i="13"/>
  <c r="G576" i="13"/>
  <c r="L574" i="13"/>
  <c r="J574" i="13" s="1"/>
  <c r="G570" i="13"/>
  <c r="G558" i="13"/>
  <c r="L531" i="13"/>
  <c r="H531" i="13" s="1"/>
  <c r="N514" i="13"/>
  <c r="O514" i="13" s="1"/>
  <c r="G447" i="13"/>
  <c r="G424" i="13"/>
  <c r="N422" i="13"/>
  <c r="O422" i="13" s="1"/>
  <c r="K418" i="13"/>
  <c r="L367" i="13"/>
  <c r="J367" i="13" s="1"/>
  <c r="K324" i="13"/>
  <c r="N302" i="13"/>
  <c r="O302" i="13" s="1"/>
  <c r="I294" i="13"/>
  <c r="G290" i="13"/>
  <c r="G278" i="13"/>
  <c r="N273" i="13"/>
  <c r="O273" i="13" s="1"/>
  <c r="G267" i="13"/>
  <c r="I746" i="13"/>
  <c r="K721" i="13"/>
  <c r="L703" i="13"/>
  <c r="J703" i="13" s="1"/>
  <c r="N696" i="13"/>
  <c r="O696" i="13" s="1"/>
  <c r="N694" i="13"/>
  <c r="O694" i="13" s="1"/>
  <c r="I693" i="13"/>
  <c r="N691" i="13"/>
  <c r="O691" i="13" s="1"/>
  <c r="N608" i="13"/>
  <c r="O608" i="13" s="1"/>
  <c r="K574" i="13"/>
  <c r="K537" i="13"/>
  <c r="K531" i="13"/>
  <c r="L514" i="13"/>
  <c r="J514" i="13" s="1"/>
  <c r="K510" i="13"/>
  <c r="N508" i="13"/>
  <c r="O508" i="13" s="1"/>
  <c r="O506" i="13"/>
  <c r="I418" i="13"/>
  <c r="L410" i="13"/>
  <c r="J410" i="13" s="1"/>
  <c r="N312" i="13"/>
  <c r="O312" i="13" s="1"/>
  <c r="N306" i="13"/>
  <c r="O306" i="13" s="1"/>
  <c r="F746" i="13"/>
  <c r="D746" i="13" s="1"/>
  <c r="O739" i="13"/>
  <c r="I735" i="13"/>
  <c r="O727" i="13"/>
  <c r="N724" i="13"/>
  <c r="O724" i="13" s="1"/>
  <c r="I721" i="13"/>
  <c r="I703" i="13"/>
  <c r="N697" i="13"/>
  <c r="O697" i="13" s="1"/>
  <c r="G696" i="13"/>
  <c r="L694" i="13"/>
  <c r="J694" i="13" s="1"/>
  <c r="G693" i="13"/>
  <c r="L691" i="13"/>
  <c r="H691" i="13" s="1"/>
  <c r="I687" i="13"/>
  <c r="G608" i="13"/>
  <c r="N600" i="13"/>
  <c r="O600" i="13" s="1"/>
  <c r="I580" i="13"/>
  <c r="I574" i="13"/>
  <c r="G561" i="13"/>
  <c r="L546" i="13"/>
  <c r="H546" i="13" s="1"/>
  <c r="K544" i="13"/>
  <c r="O541" i="13"/>
  <c r="G537" i="13"/>
  <c r="I531" i="13"/>
  <c r="G510" i="13"/>
  <c r="L508" i="13"/>
  <c r="H508" i="13" s="1"/>
  <c r="G483" i="13"/>
  <c r="G471" i="13"/>
  <c r="G418" i="13"/>
  <c r="K410" i="13"/>
  <c r="L379" i="13"/>
  <c r="H379" i="13" s="1"/>
  <c r="G374" i="13"/>
  <c r="G314" i="13"/>
  <c r="I312" i="13"/>
  <c r="K306" i="13"/>
  <c r="N285" i="13"/>
  <c r="O285" i="13" s="1"/>
  <c r="N736" i="13"/>
  <c r="O736" i="13" s="1"/>
  <c r="K736" i="13"/>
  <c r="K734" i="13"/>
  <c r="L734" i="13"/>
  <c r="H734" i="13" s="1"/>
  <c r="G734" i="13"/>
  <c r="I734" i="13"/>
  <c r="K728" i="13"/>
  <c r="L728" i="13"/>
  <c r="H728" i="13" s="1"/>
  <c r="G728" i="13"/>
  <c r="I728" i="13"/>
  <c r="I108" i="11"/>
  <c r="S108" i="11" s="1"/>
  <c r="AF108" i="11" s="1"/>
  <c r="F748" i="13"/>
  <c r="D748" i="13" s="1"/>
  <c r="G700" i="13"/>
  <c r="K700" i="13"/>
  <c r="L700" i="13"/>
  <c r="H700" i="13" s="1"/>
  <c r="I700" i="13"/>
  <c r="N744" i="13"/>
  <c r="O744" i="13" s="1"/>
  <c r="I744" i="13"/>
  <c r="L744" i="13"/>
  <c r="H744" i="13" s="1"/>
  <c r="N261" i="13"/>
  <c r="O261" i="13" s="1"/>
  <c r="L261" i="13"/>
  <c r="H261" i="13" s="1"/>
  <c r="G261" i="13"/>
  <c r="I261" i="13"/>
  <c r="K261" i="13"/>
  <c r="I109" i="11"/>
  <c r="S109" i="11" s="1"/>
  <c r="Y109" i="11" s="1"/>
  <c r="Z109" i="11" s="1"/>
  <c r="F749" i="13"/>
  <c r="D749" i="13" s="1"/>
  <c r="F747" i="13"/>
  <c r="D747" i="13" s="1"/>
  <c r="N742" i="13"/>
  <c r="O742" i="13" s="1"/>
  <c r="K742" i="13"/>
  <c r="N734" i="13"/>
  <c r="O734" i="13" s="1"/>
  <c r="N728" i="13"/>
  <c r="O728" i="13" s="1"/>
  <c r="K708" i="13"/>
  <c r="N708" i="13"/>
  <c r="O708" i="13" s="1"/>
  <c r="G708" i="13"/>
  <c r="I708" i="13"/>
  <c r="I111" i="11"/>
  <c r="S111" i="11" s="1"/>
  <c r="Y111" i="11" s="1"/>
  <c r="Z111" i="11" s="1"/>
  <c r="I260" i="13"/>
  <c r="I627" i="13"/>
  <c r="K594" i="13"/>
  <c r="L594" i="13"/>
  <c r="H594" i="13" s="1"/>
  <c r="L525" i="13"/>
  <c r="H525" i="13" s="1"/>
  <c r="N525" i="13"/>
  <c r="O525" i="13" s="1"/>
  <c r="G428" i="13"/>
  <c r="I428" i="13"/>
  <c r="L428" i="13"/>
  <c r="J428" i="13" s="1"/>
  <c r="N428" i="13"/>
  <c r="O428" i="13" s="1"/>
  <c r="L363" i="13"/>
  <c r="H363" i="13" s="1"/>
  <c r="I363" i="13"/>
  <c r="N363" i="13"/>
  <c r="O363" i="13" s="1"/>
  <c r="K332" i="13"/>
  <c r="L332" i="13"/>
  <c r="H332" i="13" s="1"/>
  <c r="L305" i="13"/>
  <c r="J305" i="13" s="1"/>
  <c r="K305" i="13"/>
  <c r="K678" i="13"/>
  <c r="I678" i="13"/>
  <c r="N678" i="13"/>
  <c r="O678" i="13" s="1"/>
  <c r="G661" i="13"/>
  <c r="I661" i="13"/>
  <c r="K639" i="13"/>
  <c r="N639" i="13"/>
  <c r="O639" i="13" s="1"/>
  <c r="G610" i="13"/>
  <c r="I610" i="13"/>
  <c r="K610" i="13"/>
  <c r="G571" i="13"/>
  <c r="N571" i="13"/>
  <c r="O571" i="13" s="1"/>
  <c r="G557" i="13"/>
  <c r="K557" i="13"/>
  <c r="G536" i="13"/>
  <c r="K536" i="13"/>
  <c r="I520" i="13"/>
  <c r="N520" i="13"/>
  <c r="O520" i="13" s="1"/>
  <c r="G416" i="13"/>
  <c r="I416" i="13"/>
  <c r="L416" i="13"/>
  <c r="H416" i="13" s="1"/>
  <c r="N416" i="13"/>
  <c r="O416" i="13" s="1"/>
  <c r="L375" i="13"/>
  <c r="H375" i="13" s="1"/>
  <c r="I375" i="13"/>
  <c r="K746" i="13"/>
  <c r="L712" i="13"/>
  <c r="H712" i="13" s="1"/>
  <c r="N711" i="13"/>
  <c r="O711" i="13" s="1"/>
  <c r="K703" i="13"/>
  <c r="L688" i="13"/>
  <c r="H688" i="13" s="1"/>
  <c r="N687" i="13"/>
  <c r="O687" i="13" s="1"/>
  <c r="L682" i="13"/>
  <c r="J682" i="13" s="1"/>
  <c r="G670" i="13"/>
  <c r="I670" i="13"/>
  <c r="K670" i="13"/>
  <c r="O660" i="13"/>
  <c r="K645" i="13"/>
  <c r="G645" i="13"/>
  <c r="I645" i="13"/>
  <c r="G637" i="13"/>
  <c r="I637" i="13"/>
  <c r="G631" i="13"/>
  <c r="K631" i="13"/>
  <c r="L631" i="13"/>
  <c r="H631" i="13" s="1"/>
  <c r="O619" i="13"/>
  <c r="K612" i="13"/>
  <c r="N612" i="13"/>
  <c r="O612" i="13" s="1"/>
  <c r="G595" i="13"/>
  <c r="I595" i="13"/>
  <c r="I522" i="13"/>
  <c r="G522" i="13"/>
  <c r="L522" i="13"/>
  <c r="H522" i="13" s="1"/>
  <c r="L441" i="13"/>
  <c r="H441" i="13" s="1"/>
  <c r="G441" i="13"/>
  <c r="K365" i="13"/>
  <c r="G365" i="13"/>
  <c r="I365" i="13"/>
  <c r="N365" i="13"/>
  <c r="O365" i="13" s="1"/>
  <c r="I334" i="13"/>
  <c r="L334" i="13"/>
  <c r="H334" i="13" s="1"/>
  <c r="I288" i="13"/>
  <c r="G288" i="13"/>
  <c r="N288" i="13"/>
  <c r="O288" i="13" s="1"/>
  <c r="L282" i="13"/>
  <c r="H282" i="13" s="1"/>
  <c r="G282" i="13"/>
  <c r="I282" i="13"/>
  <c r="K282" i="13"/>
  <c r="N282" i="13"/>
  <c r="O282" i="13" s="1"/>
  <c r="K684" i="13"/>
  <c r="G684" i="13"/>
  <c r="O669" i="13"/>
  <c r="G616" i="13"/>
  <c r="I616" i="13"/>
  <c r="G592" i="13"/>
  <c r="N592" i="13"/>
  <c r="O592" i="13" s="1"/>
  <c r="O576" i="13"/>
  <c r="K525" i="13"/>
  <c r="I396" i="13"/>
  <c r="L396" i="13"/>
  <c r="H396" i="13" s="1"/>
  <c r="L336" i="13"/>
  <c r="H336" i="13" s="1"/>
  <c r="I336" i="13"/>
  <c r="L740" i="13"/>
  <c r="H740" i="13" s="1"/>
  <c r="L731" i="13"/>
  <c r="H731" i="13" s="1"/>
  <c r="O730" i="13"/>
  <c r="I720" i="13"/>
  <c r="I712" i="13"/>
  <c r="G711" i="13"/>
  <c r="L706" i="13"/>
  <c r="J706" i="13" s="1"/>
  <c r="I696" i="13"/>
  <c r="I688" i="13"/>
  <c r="G687" i="13"/>
  <c r="I682" i="13"/>
  <c r="G679" i="13"/>
  <c r="K679" i="13"/>
  <c r="L679" i="13"/>
  <c r="H679" i="13" s="1"/>
  <c r="O670" i="13"/>
  <c r="L661" i="13"/>
  <c r="H661" i="13" s="1"/>
  <c r="K654" i="13"/>
  <c r="I654" i="13"/>
  <c r="N654" i="13"/>
  <c r="O654" i="13" s="1"/>
  <c r="I639" i="13"/>
  <c r="I594" i="13"/>
  <c r="I590" i="13"/>
  <c r="G590" i="13"/>
  <c r="N590" i="13"/>
  <c r="O590" i="13" s="1"/>
  <c r="N575" i="13"/>
  <c r="O575" i="13" s="1"/>
  <c r="N566" i="13"/>
  <c r="O566" i="13" s="1"/>
  <c r="G540" i="13"/>
  <c r="K540" i="13"/>
  <c r="L538" i="13"/>
  <c r="J538" i="13" s="1"/>
  <c r="I525" i="13"/>
  <c r="N511" i="13"/>
  <c r="O511" i="13" s="1"/>
  <c r="L504" i="13"/>
  <c r="J504" i="13" s="1"/>
  <c r="N504" i="13"/>
  <c r="O504" i="13" s="1"/>
  <c r="L409" i="13"/>
  <c r="H409" i="13" s="1"/>
  <c r="K409" i="13"/>
  <c r="N409" i="13"/>
  <c r="O409" i="13" s="1"/>
  <c r="G407" i="13"/>
  <c r="K407" i="13"/>
  <c r="L407" i="13"/>
  <c r="H407" i="13" s="1"/>
  <c r="G646" i="13"/>
  <c r="I646" i="13"/>
  <c r="K646" i="13"/>
  <c r="G639" i="13"/>
  <c r="N637" i="13"/>
  <c r="O637" i="13" s="1"/>
  <c r="G619" i="13"/>
  <c r="K619" i="13"/>
  <c r="L619" i="13"/>
  <c r="H619" i="13" s="1"/>
  <c r="G594" i="13"/>
  <c r="N581" i="13"/>
  <c r="O581" i="13" s="1"/>
  <c r="L575" i="13"/>
  <c r="J575" i="13" s="1"/>
  <c r="K566" i="13"/>
  <c r="O558" i="13"/>
  <c r="G550" i="13"/>
  <c r="I550" i="13"/>
  <c r="G525" i="13"/>
  <c r="I519" i="13"/>
  <c r="N519" i="13"/>
  <c r="O519" i="13" s="1"/>
  <c r="L511" i="13"/>
  <c r="H511" i="13" s="1"/>
  <c r="K496" i="13"/>
  <c r="L435" i="13"/>
  <c r="J435" i="13" s="1"/>
  <c r="K435" i="13"/>
  <c r="K428" i="13"/>
  <c r="K398" i="13"/>
  <c r="G398" i="13"/>
  <c r="I398" i="13"/>
  <c r="L398" i="13"/>
  <c r="H398" i="13" s="1"/>
  <c r="N398" i="13"/>
  <c r="O398" i="13" s="1"/>
  <c r="K338" i="13"/>
  <c r="G338" i="13"/>
  <c r="I338" i="13"/>
  <c r="L338" i="13"/>
  <c r="H338" i="13" s="1"/>
  <c r="N338" i="13"/>
  <c r="O338" i="13" s="1"/>
  <c r="L328" i="13"/>
  <c r="H328" i="13" s="1"/>
  <c r="I328" i="13"/>
  <c r="K328" i="13"/>
  <c r="N328" i="13"/>
  <c r="O328" i="13" s="1"/>
  <c r="L320" i="13"/>
  <c r="H320" i="13" s="1"/>
  <c r="K320" i="13"/>
  <c r="N320" i="13"/>
  <c r="O320" i="13" s="1"/>
  <c r="G685" i="13"/>
  <c r="I685" i="13"/>
  <c r="N260" i="13"/>
  <c r="O260" i="13" s="1"/>
  <c r="K749" i="13"/>
  <c r="I740" i="13"/>
  <c r="N735" i="13"/>
  <c r="O735" i="13" s="1"/>
  <c r="N733" i="13"/>
  <c r="O733" i="13" s="1"/>
  <c r="I731" i="13"/>
  <c r="K715" i="13"/>
  <c r="I714" i="13"/>
  <c r="I706" i="13"/>
  <c r="G705" i="13"/>
  <c r="N699" i="13"/>
  <c r="O699" i="13" s="1"/>
  <c r="K691" i="13"/>
  <c r="I690" i="13"/>
  <c r="N684" i="13"/>
  <c r="O684" i="13" s="1"/>
  <c r="N679" i="13"/>
  <c r="O679" i="13" s="1"/>
  <c r="N676" i="13"/>
  <c r="O676" i="13" s="1"/>
  <c r="I675" i="13"/>
  <c r="L667" i="13"/>
  <c r="H667" i="13" s="1"/>
  <c r="I666" i="13"/>
  <c r="K660" i="13"/>
  <c r="G660" i="13"/>
  <c r="K658" i="13"/>
  <c r="N645" i="13"/>
  <c r="O645" i="13" s="1"/>
  <c r="L637" i="13"/>
  <c r="H637" i="13" s="1"/>
  <c r="N631" i="13"/>
  <c r="O631" i="13" s="1"/>
  <c r="G622" i="13"/>
  <c r="K622" i="13"/>
  <c r="N616" i="13"/>
  <c r="O616" i="13" s="1"/>
  <c r="L610" i="13"/>
  <c r="H610" i="13" s="1"/>
  <c r="K604" i="13"/>
  <c r="G586" i="13"/>
  <c r="N586" i="13"/>
  <c r="O586" i="13" s="1"/>
  <c r="G581" i="13"/>
  <c r="K569" i="13"/>
  <c r="G568" i="13"/>
  <c r="I568" i="13"/>
  <c r="K568" i="13"/>
  <c r="G565" i="13"/>
  <c r="L565" i="13"/>
  <c r="J565" i="13" s="1"/>
  <c r="N565" i="13"/>
  <c r="O565" i="13" s="1"/>
  <c r="N560" i="13"/>
  <c r="O560" i="13" s="1"/>
  <c r="N557" i="13"/>
  <c r="O557" i="13" s="1"/>
  <c r="G556" i="13"/>
  <c r="I556" i="13"/>
  <c r="N556" i="13"/>
  <c r="O556" i="13" s="1"/>
  <c r="N553" i="13"/>
  <c r="O553" i="13" s="1"/>
  <c r="G549" i="13"/>
  <c r="N536" i="13"/>
  <c r="O536" i="13" s="1"/>
  <c r="G527" i="13"/>
  <c r="K527" i="13"/>
  <c r="K416" i="13"/>
  <c r="N414" i="13"/>
  <c r="O414" i="13" s="1"/>
  <c r="L272" i="13"/>
  <c r="H272" i="13" s="1"/>
  <c r="N272" i="13"/>
  <c r="O272" i="13" s="1"/>
  <c r="K260" i="13"/>
  <c r="I715" i="13"/>
  <c r="G714" i="13"/>
  <c r="I699" i="13"/>
  <c r="I691" i="13"/>
  <c r="G690" i="13"/>
  <c r="L685" i="13"/>
  <c r="H685" i="13" s="1"/>
  <c r="I684" i="13"/>
  <c r="I679" i="13"/>
  <c r="L676" i="13"/>
  <c r="J676" i="13" s="1"/>
  <c r="G675" i="13"/>
  <c r="K669" i="13"/>
  <c r="G669" i="13"/>
  <c r="I669" i="13"/>
  <c r="K667" i="13"/>
  <c r="G666" i="13"/>
  <c r="K663" i="13"/>
  <c r="N663" i="13"/>
  <c r="O663" i="13" s="1"/>
  <c r="I658" i="13"/>
  <c r="G655" i="13"/>
  <c r="K655" i="13"/>
  <c r="L655" i="13"/>
  <c r="J655" i="13" s="1"/>
  <c r="N646" i="13"/>
  <c r="O646" i="13" s="1"/>
  <c r="K637" i="13"/>
  <c r="I631" i="13"/>
  <c r="G628" i="13"/>
  <c r="I628" i="13"/>
  <c r="L616" i="13"/>
  <c r="H616" i="13" s="1"/>
  <c r="K609" i="13"/>
  <c r="G609" i="13"/>
  <c r="I604" i="13"/>
  <c r="K603" i="13"/>
  <c r="I603" i="13"/>
  <c r="L603" i="13"/>
  <c r="H603" i="13" s="1"/>
  <c r="K595" i="13"/>
  <c r="L592" i="13"/>
  <c r="J592" i="13" s="1"/>
  <c r="G591" i="13"/>
  <c r="I591" i="13"/>
  <c r="G569" i="13"/>
  <c r="K560" i="13"/>
  <c r="N532" i="13"/>
  <c r="O532" i="13" s="1"/>
  <c r="L532" i="13"/>
  <c r="J532" i="13" s="1"/>
  <c r="N522" i="13"/>
  <c r="O522" i="13" s="1"/>
  <c r="K504" i="13"/>
  <c r="I501" i="13"/>
  <c r="N501" i="13"/>
  <c r="O501" i="13" s="1"/>
  <c r="I437" i="13"/>
  <c r="G437" i="13"/>
  <c r="K437" i="13"/>
  <c r="N437" i="13"/>
  <c r="O437" i="13" s="1"/>
  <c r="K414" i="13"/>
  <c r="I368" i="13"/>
  <c r="N368" i="13"/>
  <c r="O368" i="13" s="1"/>
  <c r="G303" i="13"/>
  <c r="L303" i="13"/>
  <c r="H303" i="13" s="1"/>
  <c r="N303" i="13"/>
  <c r="O303" i="13" s="1"/>
  <c r="I283" i="13"/>
  <c r="N283" i="13"/>
  <c r="O283" i="13" s="1"/>
  <c r="O582" i="13"/>
  <c r="O561" i="13"/>
  <c r="L434" i="13"/>
  <c r="H434" i="13" s="1"/>
  <c r="N415" i="13"/>
  <c r="O415" i="13" s="1"/>
  <c r="N403" i="13"/>
  <c r="O403" i="13" s="1"/>
  <c r="K327" i="13"/>
  <c r="O295" i="13"/>
  <c r="K285" i="13"/>
  <c r="G284" i="13"/>
  <c r="G281" i="13"/>
  <c r="L279" i="13"/>
  <c r="H279" i="13" s="1"/>
  <c r="L273" i="13"/>
  <c r="H273" i="13" s="1"/>
  <c r="N271" i="13"/>
  <c r="O271" i="13" s="1"/>
  <c r="K434" i="13"/>
  <c r="K415" i="13"/>
  <c r="N350" i="13"/>
  <c r="O350" i="13" s="1"/>
  <c r="I327" i="13"/>
  <c r="N323" i="13"/>
  <c r="O323" i="13" s="1"/>
  <c r="N317" i="13"/>
  <c r="O317" i="13" s="1"/>
  <c r="N315" i="13"/>
  <c r="O315" i="13" s="1"/>
  <c r="N309" i="13"/>
  <c r="O309" i="13" s="1"/>
  <c r="N300" i="13"/>
  <c r="O300" i="13" s="1"/>
  <c r="N294" i="13"/>
  <c r="O294" i="13" s="1"/>
  <c r="I279" i="13"/>
  <c r="N269" i="13"/>
  <c r="O269" i="13" s="1"/>
  <c r="O570" i="13"/>
  <c r="N537" i="13"/>
  <c r="O537" i="13" s="1"/>
  <c r="N510" i="13"/>
  <c r="O510" i="13" s="1"/>
  <c r="N495" i="13"/>
  <c r="O495" i="13" s="1"/>
  <c r="N424" i="13"/>
  <c r="O424" i="13" s="1"/>
  <c r="N413" i="13"/>
  <c r="O413" i="13" s="1"/>
  <c r="K412" i="13"/>
  <c r="N399" i="13"/>
  <c r="O399" i="13" s="1"/>
  <c r="L321" i="13"/>
  <c r="J321" i="13" s="1"/>
  <c r="L267" i="13"/>
  <c r="H267" i="13" s="1"/>
  <c r="L640" i="13"/>
  <c r="H640" i="13" s="1"/>
  <c r="N599" i="13"/>
  <c r="O599" i="13" s="1"/>
  <c r="I582" i="13"/>
  <c r="O579" i="13"/>
  <c r="O567" i="13"/>
  <c r="O546" i="13"/>
  <c r="L537" i="13"/>
  <c r="J537" i="13" s="1"/>
  <c r="N528" i="13"/>
  <c r="O528" i="13" s="1"/>
  <c r="L510" i="13"/>
  <c r="H510" i="13" s="1"/>
  <c r="I495" i="13"/>
  <c r="L493" i="13"/>
  <c r="J493" i="13" s="1"/>
  <c r="K424" i="13"/>
  <c r="L413" i="13"/>
  <c r="H413" i="13" s="1"/>
  <c r="I412" i="13"/>
  <c r="L359" i="13"/>
  <c r="H359" i="13" s="1"/>
  <c r="L318" i="13"/>
  <c r="H318" i="13" s="1"/>
  <c r="N270" i="13"/>
  <c r="O270" i="13" s="1"/>
  <c r="I359" i="13"/>
  <c r="G627" i="13"/>
  <c r="L622" i="13"/>
  <c r="H622" i="13" s="1"/>
  <c r="I630" i="13"/>
  <c r="I622" i="13"/>
  <c r="G630" i="13"/>
  <c r="N624" i="13"/>
  <c r="O624" i="13" s="1"/>
  <c r="L634" i="13"/>
  <c r="H634" i="13" s="1"/>
  <c r="N633" i="13"/>
  <c r="O633" i="13" s="1"/>
  <c r="I624" i="13"/>
  <c r="K634" i="13"/>
  <c r="I633" i="13"/>
  <c r="O628" i="13"/>
  <c r="I625" i="13"/>
  <c r="G624" i="13"/>
  <c r="I634" i="13"/>
  <c r="G633" i="13"/>
  <c r="N627" i="13"/>
  <c r="O627" i="13" s="1"/>
  <c r="L260" i="13"/>
  <c r="H260" i="13" s="1"/>
  <c r="L568" i="13"/>
  <c r="J568" i="13" s="1"/>
  <c r="L559" i="13"/>
  <c r="J559" i="13" s="1"/>
  <c r="L550" i="13"/>
  <c r="J550" i="13" s="1"/>
  <c r="N540" i="13"/>
  <c r="O540" i="13" s="1"/>
  <c r="I404" i="13"/>
  <c r="G404" i="13"/>
  <c r="K404" i="13"/>
  <c r="L404" i="13"/>
  <c r="H404" i="13" s="1"/>
  <c r="N404" i="13"/>
  <c r="O404" i="13" s="1"/>
  <c r="K386" i="13"/>
  <c r="G386" i="13"/>
  <c r="I386" i="13"/>
  <c r="N386" i="13"/>
  <c r="O386" i="13" s="1"/>
  <c r="L386" i="13"/>
  <c r="H386" i="13" s="1"/>
  <c r="G534" i="13"/>
  <c r="I534" i="13"/>
  <c r="K498" i="13"/>
  <c r="G498" i="13"/>
  <c r="N498" i="13"/>
  <c r="O498" i="13" s="1"/>
  <c r="L456" i="13"/>
  <c r="J456" i="13" s="1"/>
  <c r="G456" i="13"/>
  <c r="K341" i="13"/>
  <c r="I341" i="13"/>
  <c r="G341" i="13"/>
  <c r="L341" i="13"/>
  <c r="H341" i="13" s="1"/>
  <c r="N341" i="13"/>
  <c r="O341" i="13" s="1"/>
  <c r="L613" i="13"/>
  <c r="H613" i="13" s="1"/>
  <c r="N578" i="13"/>
  <c r="O578" i="13" s="1"/>
  <c r="L571" i="13"/>
  <c r="J571" i="13" s="1"/>
  <c r="L562" i="13"/>
  <c r="J562" i="13" s="1"/>
  <c r="K546" i="13"/>
  <c r="K492" i="13"/>
  <c r="G492" i="13"/>
  <c r="I492" i="13"/>
  <c r="K380" i="13"/>
  <c r="G380" i="13"/>
  <c r="L380" i="13"/>
  <c r="H380" i="13" s="1"/>
  <c r="I380" i="13"/>
  <c r="N380" i="13"/>
  <c r="O380" i="13" s="1"/>
  <c r="G276" i="13"/>
  <c r="I276" i="13"/>
  <c r="K276" i="13"/>
  <c r="L276" i="13"/>
  <c r="H276" i="13" s="1"/>
  <c r="N276" i="13"/>
  <c r="O276" i="13" s="1"/>
  <c r="I619" i="13"/>
  <c r="G618" i="13"/>
  <c r="K613" i="13"/>
  <c r="I612" i="13"/>
  <c r="N606" i="13"/>
  <c r="O606" i="13" s="1"/>
  <c r="N597" i="13"/>
  <c r="O597" i="13" s="1"/>
  <c r="I586" i="13"/>
  <c r="I583" i="13"/>
  <c r="K578" i="13"/>
  <c r="I577" i="13"/>
  <c r="K571" i="13"/>
  <c r="K562" i="13"/>
  <c r="L553" i="13"/>
  <c r="J553" i="13" s="1"/>
  <c r="N552" i="13"/>
  <c r="O552" i="13" s="1"/>
  <c r="L547" i="13"/>
  <c r="J547" i="13" s="1"/>
  <c r="I546" i="13"/>
  <c r="K541" i="13"/>
  <c r="I540" i="13"/>
  <c r="N534" i="13"/>
  <c r="O534" i="13" s="1"/>
  <c r="K533" i="13"/>
  <c r="I528" i="13"/>
  <c r="K519" i="13"/>
  <c r="L519" i="13"/>
  <c r="H519" i="13" s="1"/>
  <c r="G513" i="13"/>
  <c r="I513" i="13"/>
  <c r="L513" i="13"/>
  <c r="H513" i="13" s="1"/>
  <c r="L462" i="13"/>
  <c r="J462" i="13" s="1"/>
  <c r="G462" i="13"/>
  <c r="L438" i="13"/>
  <c r="H438" i="13" s="1"/>
  <c r="G438" i="13"/>
  <c r="I613" i="13"/>
  <c r="G612" i="13"/>
  <c r="L606" i="13"/>
  <c r="H606" i="13" s="1"/>
  <c r="L597" i="13"/>
  <c r="H597" i="13" s="1"/>
  <c r="I579" i="13"/>
  <c r="G578" i="13"/>
  <c r="I571" i="13"/>
  <c r="I562" i="13"/>
  <c r="K554" i="13"/>
  <c r="K553" i="13"/>
  <c r="I552" i="13"/>
  <c r="O549" i="13"/>
  <c r="I547" i="13"/>
  <c r="G546" i="13"/>
  <c r="G541" i="13"/>
  <c r="L534" i="13"/>
  <c r="H534" i="13" s="1"/>
  <c r="K530" i="13"/>
  <c r="G517" i="13"/>
  <c r="I517" i="13"/>
  <c r="L517" i="13"/>
  <c r="H517" i="13" s="1"/>
  <c r="G505" i="13"/>
  <c r="L505" i="13"/>
  <c r="H505" i="13" s="1"/>
  <c r="N505" i="13"/>
  <c r="O505" i="13" s="1"/>
  <c r="I505" i="13"/>
  <c r="K501" i="13"/>
  <c r="L501" i="13"/>
  <c r="H501" i="13" s="1"/>
  <c r="G501" i="13"/>
  <c r="G496" i="13"/>
  <c r="L496" i="13"/>
  <c r="J496" i="13" s="1"/>
  <c r="L474" i="13"/>
  <c r="J474" i="13" s="1"/>
  <c r="G474" i="13"/>
  <c r="I345" i="13"/>
  <c r="L345" i="13"/>
  <c r="H345" i="13" s="1"/>
  <c r="N345" i="13"/>
  <c r="O345" i="13" s="1"/>
  <c r="N607" i="13"/>
  <c r="O607" i="13" s="1"/>
  <c r="I606" i="13"/>
  <c r="N598" i="13"/>
  <c r="O598" i="13" s="1"/>
  <c r="I597" i="13"/>
  <c r="G579" i="13"/>
  <c r="G554" i="13"/>
  <c r="I553" i="13"/>
  <c r="N548" i="13"/>
  <c r="O548" i="13" s="1"/>
  <c r="K535" i="13"/>
  <c r="K534" i="13"/>
  <c r="G530" i="13"/>
  <c r="G514" i="13"/>
  <c r="K514" i="13"/>
  <c r="G499" i="13"/>
  <c r="I499" i="13"/>
  <c r="L499" i="13"/>
  <c r="J499" i="13" s="1"/>
  <c r="N436" i="13"/>
  <c r="O436" i="13" s="1"/>
  <c r="G436" i="13"/>
  <c r="L405" i="13"/>
  <c r="J405" i="13" s="1"/>
  <c r="K405" i="13"/>
  <c r="N405" i="13"/>
  <c r="O405" i="13" s="1"/>
  <c r="I607" i="13"/>
  <c r="G606" i="13"/>
  <c r="I598" i="13"/>
  <c r="G597" i="13"/>
  <c r="K548" i="13"/>
  <c r="O513" i="13"/>
  <c r="G511" i="13"/>
  <c r="I511" i="13"/>
  <c r="I498" i="13"/>
  <c r="N492" i="13"/>
  <c r="O492" i="13" s="1"/>
  <c r="L480" i="13"/>
  <c r="J480" i="13" s="1"/>
  <c r="G480" i="13"/>
  <c r="O573" i="13"/>
  <c r="O564" i="13"/>
  <c r="O555" i="13"/>
  <c r="O517" i="13"/>
  <c r="L358" i="13"/>
  <c r="H358" i="13" s="1"/>
  <c r="K358" i="13"/>
  <c r="I348" i="13"/>
  <c r="L348" i="13"/>
  <c r="H348" i="13" s="1"/>
  <c r="G444" i="13"/>
  <c r="I431" i="13"/>
  <c r="G422" i="13"/>
  <c r="I415" i="13"/>
  <c r="K411" i="13"/>
  <c r="L403" i="13"/>
  <c r="H403" i="13" s="1"/>
  <c r="I403" i="13"/>
  <c r="K377" i="13"/>
  <c r="I377" i="13"/>
  <c r="L377" i="13"/>
  <c r="H377" i="13" s="1"/>
  <c r="N377" i="13"/>
  <c r="O377" i="13" s="1"/>
  <c r="K335" i="13"/>
  <c r="I335" i="13"/>
  <c r="L335" i="13"/>
  <c r="H335" i="13" s="1"/>
  <c r="G491" i="13"/>
  <c r="I490" i="13"/>
  <c r="G489" i="13"/>
  <c r="G486" i="13"/>
  <c r="G468" i="13"/>
  <c r="G450" i="13"/>
  <c r="I435" i="13"/>
  <c r="N425" i="13"/>
  <c r="O425" i="13" s="1"/>
  <c r="L420" i="13"/>
  <c r="J420" i="13" s="1"/>
  <c r="I420" i="13"/>
  <c r="L387" i="13"/>
  <c r="H387" i="13" s="1"/>
  <c r="K376" i="13"/>
  <c r="L376" i="13"/>
  <c r="J376" i="13" s="1"/>
  <c r="K356" i="13"/>
  <c r="G356" i="13"/>
  <c r="P356" i="13" s="1"/>
  <c r="I356" i="13"/>
  <c r="L421" i="13"/>
  <c r="H421" i="13" s="1"/>
  <c r="G421" i="13"/>
  <c r="L406" i="13"/>
  <c r="H406" i="13" s="1"/>
  <c r="G406" i="13"/>
  <c r="K392" i="13"/>
  <c r="I392" i="13"/>
  <c r="L392" i="13"/>
  <c r="H392" i="13" s="1"/>
  <c r="N392" i="13"/>
  <c r="O392" i="13" s="1"/>
  <c r="K374" i="13"/>
  <c r="I374" i="13"/>
  <c r="G330" i="13"/>
  <c r="K330" i="13"/>
  <c r="L330" i="13"/>
  <c r="H330" i="13" s="1"/>
  <c r="K522" i="13"/>
  <c r="K521" i="13"/>
  <c r="L520" i="13"/>
  <c r="H520" i="13" s="1"/>
  <c r="K516" i="13"/>
  <c r="L502" i="13"/>
  <c r="H502" i="13" s="1"/>
  <c r="N431" i="13"/>
  <c r="O431" i="13" s="1"/>
  <c r="K427" i="13"/>
  <c r="K425" i="13"/>
  <c r="L422" i="13"/>
  <c r="H422" i="13" s="1"/>
  <c r="N421" i="13"/>
  <c r="O421" i="13" s="1"/>
  <c r="N420" i="13"/>
  <c r="O420" i="13" s="1"/>
  <c r="L419" i="13"/>
  <c r="H419" i="13" s="1"/>
  <c r="L402" i="13"/>
  <c r="J402" i="13" s="1"/>
  <c r="I402" i="13"/>
  <c r="K368" i="13"/>
  <c r="G368" i="13"/>
  <c r="L368" i="13"/>
  <c r="H368" i="13" s="1"/>
  <c r="L275" i="13"/>
  <c r="H275" i="13" s="1"/>
  <c r="G275" i="13"/>
  <c r="K275" i="13"/>
  <c r="N275" i="13"/>
  <c r="O275" i="13" s="1"/>
  <c r="O507" i="13"/>
  <c r="K502" i="13"/>
  <c r="I427" i="13"/>
  <c r="I425" i="13"/>
  <c r="K422" i="13"/>
  <c r="K421" i="13"/>
  <c r="I419" i="13"/>
  <c r="O410" i="13"/>
  <c r="N406" i="13"/>
  <c r="O406" i="13" s="1"/>
  <c r="K395" i="13"/>
  <c r="G395" i="13"/>
  <c r="K430" i="13"/>
  <c r="G427" i="13"/>
  <c r="I421" i="13"/>
  <c r="G419" i="13"/>
  <c r="K406" i="13"/>
  <c r="I393" i="13"/>
  <c r="L393" i="13"/>
  <c r="H393" i="13" s="1"/>
  <c r="O356" i="13"/>
  <c r="I331" i="13"/>
  <c r="L331" i="13"/>
  <c r="H331" i="13" s="1"/>
  <c r="I280" i="13"/>
  <c r="N280" i="13"/>
  <c r="O280" i="13" s="1"/>
  <c r="L288" i="13"/>
  <c r="H288" i="13" s="1"/>
  <c r="N287" i="13"/>
  <c r="O287" i="13" s="1"/>
  <c r="K266" i="13"/>
  <c r="I323" i="13"/>
  <c r="I320" i="13"/>
  <c r="K319" i="13"/>
  <c r="L315" i="13"/>
  <c r="J315" i="13" s="1"/>
  <c r="N314" i="13"/>
  <c r="O314" i="13" s="1"/>
  <c r="K313" i="13"/>
  <c r="L312" i="13"/>
  <c r="H312" i="13" s="1"/>
  <c r="N311" i="13"/>
  <c r="O311" i="13" s="1"/>
  <c r="N310" i="13"/>
  <c r="O310" i="13" s="1"/>
  <c r="L309" i="13"/>
  <c r="J309" i="13" s="1"/>
  <c r="N308" i="13"/>
  <c r="O308" i="13" s="1"/>
  <c r="N307" i="13"/>
  <c r="O307" i="13" s="1"/>
  <c r="L297" i="13"/>
  <c r="H297" i="13" s="1"/>
  <c r="N296" i="13"/>
  <c r="O296" i="13" s="1"/>
  <c r="K295" i="13"/>
  <c r="L294" i="13"/>
  <c r="H294" i="13" s="1"/>
  <c r="N293" i="13"/>
  <c r="O293" i="13" s="1"/>
  <c r="N292" i="13"/>
  <c r="O292" i="13" s="1"/>
  <c r="L291" i="13"/>
  <c r="J291" i="13" s="1"/>
  <c r="N290" i="13"/>
  <c r="O290" i="13" s="1"/>
  <c r="K288" i="13"/>
  <c r="K287" i="13"/>
  <c r="N332" i="13"/>
  <c r="O332" i="13" s="1"/>
  <c r="G323" i="13"/>
  <c r="G320" i="13"/>
  <c r="I319" i="13"/>
  <c r="K318" i="13"/>
  <c r="K315" i="13"/>
  <c r="K314" i="13"/>
  <c r="I313" i="13"/>
  <c r="K312" i="13"/>
  <c r="K311" i="13"/>
  <c r="I310" i="13"/>
  <c r="K309" i="13"/>
  <c r="K308" i="13"/>
  <c r="L306" i="13"/>
  <c r="H306" i="13" s="1"/>
  <c r="N305" i="13"/>
  <c r="O305" i="13" s="1"/>
  <c r="N304" i="13"/>
  <c r="O304" i="13" s="1"/>
  <c r="L300" i="13"/>
  <c r="J300" i="13" s="1"/>
  <c r="N299" i="13"/>
  <c r="O299" i="13" s="1"/>
  <c r="K297" i="13"/>
  <c r="K296" i="13"/>
  <c r="I295" i="13"/>
  <c r="K294" i="13"/>
  <c r="K293" i="13"/>
  <c r="K291" i="13"/>
  <c r="K290" i="13"/>
  <c r="G287" i="13"/>
  <c r="L270" i="13"/>
  <c r="H270" i="13" s="1"/>
  <c r="N372" i="13"/>
  <c r="O372" i="13" s="1"/>
  <c r="L357" i="13"/>
  <c r="H357" i="13" s="1"/>
  <c r="L350" i="13"/>
  <c r="H350" i="13" s="1"/>
  <c r="I332" i="13"/>
  <c r="I317" i="13"/>
  <c r="I306" i="13"/>
  <c r="G305" i="13"/>
  <c r="K303" i="13"/>
  <c r="K302" i="13"/>
  <c r="I300" i="13"/>
  <c r="G299" i="13"/>
  <c r="N274" i="13"/>
  <c r="O274" i="13" s="1"/>
  <c r="K273" i="13"/>
  <c r="K272" i="13"/>
  <c r="I270" i="13"/>
  <c r="L372" i="13"/>
  <c r="H372" i="13" s="1"/>
  <c r="I350" i="13"/>
  <c r="G332" i="13"/>
  <c r="G317" i="13"/>
  <c r="I303" i="13"/>
  <c r="N277" i="13"/>
  <c r="O277" i="13" s="1"/>
  <c r="I273" i="13"/>
  <c r="G272" i="13"/>
  <c r="N359" i="13"/>
  <c r="O359" i="13" s="1"/>
  <c r="G350" i="13"/>
  <c r="P350" i="13" s="1"/>
  <c r="N281" i="13"/>
  <c r="O281" i="13" s="1"/>
  <c r="K278" i="13"/>
  <c r="N265" i="13"/>
  <c r="O265" i="13" s="1"/>
  <c r="S120" i="11"/>
  <c r="Y120" i="11" s="1"/>
  <c r="Z120" i="11" s="1"/>
  <c r="AA120" i="11" s="1"/>
  <c r="AC120" i="11" s="1"/>
  <c r="AE120" i="11" s="1"/>
  <c r="J121" i="11"/>
  <c r="K121" i="11" s="1"/>
  <c r="L121" i="11" s="1"/>
  <c r="M121" i="11" s="1"/>
  <c r="N121" i="11" s="1"/>
  <c r="O121" i="11" s="1"/>
  <c r="J119" i="11"/>
  <c r="K119" i="11" s="1"/>
  <c r="L119" i="11" s="1"/>
  <c r="M119" i="11" s="1"/>
  <c r="N119" i="11" s="1"/>
  <c r="O119" i="11" s="1"/>
  <c r="I59" i="2"/>
  <c r="I57" i="2"/>
  <c r="H411" i="13"/>
  <c r="J540" i="13"/>
  <c r="J418" i="13"/>
  <c r="J302" i="13"/>
  <c r="H432" i="13"/>
  <c r="J293" i="13"/>
  <c r="H453" i="13"/>
  <c r="H433" i="13"/>
  <c r="H430" i="13"/>
  <c r="H423" i="13"/>
  <c r="H444" i="13"/>
  <c r="J415" i="13"/>
  <c r="J296" i="13"/>
  <c r="H544" i="13"/>
  <c r="H319" i="13"/>
  <c r="J311" i="13"/>
  <c r="O741" i="13"/>
  <c r="J322" i="13"/>
  <c r="H322" i="13"/>
  <c r="H317" i="13"/>
  <c r="J317" i="13"/>
  <c r="J471" i="13"/>
  <c r="H471" i="13"/>
  <c r="J447" i="13"/>
  <c r="H447" i="13"/>
  <c r="O594" i="13"/>
  <c r="J385" i="13"/>
  <c r="H385" i="13"/>
  <c r="H735" i="13"/>
  <c r="J609" i="13"/>
  <c r="H323" i="13"/>
  <c r="J323" i="13"/>
  <c r="H314" i="13"/>
  <c r="J314" i="13"/>
  <c r="H308" i="13"/>
  <c r="J308" i="13"/>
  <c r="H427" i="13"/>
  <c r="J427" i="13"/>
  <c r="H424" i="13"/>
  <c r="J424" i="13"/>
  <c r="H412" i="13"/>
  <c r="J412" i="13"/>
  <c r="J400" i="13"/>
  <c r="H400" i="13"/>
  <c r="J414" i="13"/>
  <c r="H414" i="13"/>
  <c r="H326" i="13"/>
  <c r="J326" i="13"/>
  <c r="J290" i="13"/>
  <c r="O726" i="13"/>
  <c r="K723" i="13"/>
  <c r="L723" i="13"/>
  <c r="G747" i="13"/>
  <c r="K747" i="13"/>
  <c r="I707" i="13"/>
  <c r="K707" i="13"/>
  <c r="L707" i="13"/>
  <c r="G707" i="13"/>
  <c r="N707" i="13"/>
  <c r="I647" i="13"/>
  <c r="K647" i="13"/>
  <c r="L647" i="13"/>
  <c r="G647" i="13"/>
  <c r="N647" i="13"/>
  <c r="I635" i="13"/>
  <c r="K635" i="13"/>
  <c r="L635" i="13"/>
  <c r="G635" i="13"/>
  <c r="N635" i="13"/>
  <c r="I623" i="13"/>
  <c r="K623" i="13"/>
  <c r="L623" i="13"/>
  <c r="G623" i="13"/>
  <c r="N623" i="13"/>
  <c r="I748" i="13"/>
  <c r="L748" i="13"/>
  <c r="G748" i="13"/>
  <c r="G741" i="13"/>
  <c r="K741" i="13"/>
  <c r="I722" i="13"/>
  <c r="L722" i="13"/>
  <c r="G722" i="13"/>
  <c r="N722" i="13"/>
  <c r="I713" i="13"/>
  <c r="K713" i="13"/>
  <c r="L713" i="13"/>
  <c r="G713" i="13"/>
  <c r="N713" i="13"/>
  <c r="I704" i="13"/>
  <c r="K704" i="13"/>
  <c r="L704" i="13"/>
  <c r="G704" i="13"/>
  <c r="N704" i="13"/>
  <c r="I695" i="13"/>
  <c r="K695" i="13"/>
  <c r="L695" i="13"/>
  <c r="G695" i="13"/>
  <c r="N695" i="13"/>
  <c r="I686" i="13"/>
  <c r="K686" i="13"/>
  <c r="L686" i="13"/>
  <c r="G686" i="13"/>
  <c r="N686" i="13"/>
  <c r="I677" i="13"/>
  <c r="K677" i="13"/>
  <c r="L677" i="13"/>
  <c r="G677" i="13"/>
  <c r="N677" i="13"/>
  <c r="G738" i="13"/>
  <c r="K738" i="13"/>
  <c r="I680" i="13"/>
  <c r="K680" i="13"/>
  <c r="L680" i="13"/>
  <c r="G680" i="13"/>
  <c r="N680" i="13"/>
  <c r="I665" i="13"/>
  <c r="K665" i="13"/>
  <c r="L665" i="13"/>
  <c r="G665" i="13"/>
  <c r="N665" i="13"/>
  <c r="G732" i="13"/>
  <c r="K732" i="13"/>
  <c r="I730" i="13"/>
  <c r="L730" i="13"/>
  <c r="G730" i="13"/>
  <c r="H729" i="13"/>
  <c r="I741" i="13"/>
  <c r="I725" i="13"/>
  <c r="L725" i="13"/>
  <c r="G725" i="13"/>
  <c r="N725" i="13"/>
  <c r="I668" i="13"/>
  <c r="K668" i="13"/>
  <c r="L668" i="13"/>
  <c r="G668" i="13"/>
  <c r="N668" i="13"/>
  <c r="I662" i="13"/>
  <c r="K662" i="13"/>
  <c r="L662" i="13"/>
  <c r="G662" i="13"/>
  <c r="N662" i="13"/>
  <c r="I656" i="13"/>
  <c r="K656" i="13"/>
  <c r="L656" i="13"/>
  <c r="G656" i="13"/>
  <c r="N656" i="13"/>
  <c r="I650" i="13"/>
  <c r="K650" i="13"/>
  <c r="L650" i="13"/>
  <c r="G650" i="13"/>
  <c r="N650" i="13"/>
  <c r="I644" i="13"/>
  <c r="K644" i="13"/>
  <c r="L644" i="13"/>
  <c r="G644" i="13"/>
  <c r="N644" i="13"/>
  <c r="I638" i="13"/>
  <c r="K638" i="13"/>
  <c r="L638" i="13"/>
  <c r="G638" i="13"/>
  <c r="N638" i="13"/>
  <c r="I632" i="13"/>
  <c r="K632" i="13"/>
  <c r="L632" i="13"/>
  <c r="G632" i="13"/>
  <c r="N632" i="13"/>
  <c r="I626" i="13"/>
  <c r="K626" i="13"/>
  <c r="L626" i="13"/>
  <c r="G626" i="13"/>
  <c r="N626" i="13"/>
  <c r="I620" i="13"/>
  <c r="K620" i="13"/>
  <c r="L620" i="13"/>
  <c r="G620" i="13"/>
  <c r="N620" i="13"/>
  <c r="I614" i="13"/>
  <c r="K614" i="13"/>
  <c r="L614" i="13"/>
  <c r="G614" i="13"/>
  <c r="N614" i="13"/>
  <c r="O554" i="13"/>
  <c r="I745" i="13"/>
  <c r="L745" i="13"/>
  <c r="G745" i="13"/>
  <c r="I736" i="13"/>
  <c r="L736" i="13"/>
  <c r="G736" i="13"/>
  <c r="G729" i="13"/>
  <c r="K729" i="13"/>
  <c r="G726" i="13"/>
  <c r="I726" i="13"/>
  <c r="K726" i="13"/>
  <c r="I698" i="13"/>
  <c r="K698" i="13"/>
  <c r="L698" i="13"/>
  <c r="G698" i="13"/>
  <c r="N698" i="13"/>
  <c r="I653" i="13"/>
  <c r="K653" i="13"/>
  <c r="L653" i="13"/>
  <c r="G653" i="13"/>
  <c r="N653" i="13"/>
  <c r="I641" i="13"/>
  <c r="K641" i="13"/>
  <c r="L641" i="13"/>
  <c r="G641" i="13"/>
  <c r="N641" i="13"/>
  <c r="I629" i="13"/>
  <c r="K629" i="13"/>
  <c r="L629" i="13"/>
  <c r="G629" i="13"/>
  <c r="N629" i="13"/>
  <c r="H747" i="13"/>
  <c r="L741" i="13"/>
  <c r="I739" i="13"/>
  <c r="L739" i="13"/>
  <c r="G739" i="13"/>
  <c r="H738" i="13"/>
  <c r="N745" i="13"/>
  <c r="I732" i="13"/>
  <c r="N747" i="13"/>
  <c r="G744" i="13"/>
  <c r="K744" i="13"/>
  <c r="I742" i="13"/>
  <c r="L742" i="13"/>
  <c r="G742" i="13"/>
  <c r="N738" i="13"/>
  <c r="G735" i="13"/>
  <c r="K735" i="13"/>
  <c r="I733" i="13"/>
  <c r="L733" i="13"/>
  <c r="G733" i="13"/>
  <c r="H732" i="13"/>
  <c r="N729" i="13"/>
  <c r="I727" i="13"/>
  <c r="K727" i="13"/>
  <c r="L727" i="13"/>
  <c r="G727" i="13"/>
  <c r="N723" i="13"/>
  <c r="O723" i="13" s="1"/>
  <c r="I719" i="13"/>
  <c r="K719" i="13"/>
  <c r="L719" i="13"/>
  <c r="G719" i="13"/>
  <c r="N719" i="13"/>
  <c r="I710" i="13"/>
  <c r="K710" i="13"/>
  <c r="L710" i="13"/>
  <c r="G710" i="13"/>
  <c r="N710" i="13"/>
  <c r="I701" i="13"/>
  <c r="K701" i="13"/>
  <c r="L701" i="13"/>
  <c r="G701" i="13"/>
  <c r="N701" i="13"/>
  <c r="I692" i="13"/>
  <c r="K692" i="13"/>
  <c r="L692" i="13"/>
  <c r="G692" i="13"/>
  <c r="N692" i="13"/>
  <c r="I683" i="13"/>
  <c r="K683" i="13"/>
  <c r="L683" i="13"/>
  <c r="G683" i="13"/>
  <c r="N683" i="13"/>
  <c r="I674" i="13"/>
  <c r="K674" i="13"/>
  <c r="L674" i="13"/>
  <c r="G674" i="13"/>
  <c r="N674" i="13"/>
  <c r="H670" i="13"/>
  <c r="H646" i="13"/>
  <c r="J646" i="13"/>
  <c r="I723" i="13"/>
  <c r="I716" i="13"/>
  <c r="K716" i="13"/>
  <c r="L716" i="13"/>
  <c r="G716" i="13"/>
  <c r="N716" i="13"/>
  <c r="I689" i="13"/>
  <c r="K689" i="13"/>
  <c r="L689" i="13"/>
  <c r="G689" i="13"/>
  <c r="N689" i="13"/>
  <c r="I671" i="13"/>
  <c r="K671" i="13"/>
  <c r="L671" i="13"/>
  <c r="G671" i="13"/>
  <c r="N671" i="13"/>
  <c r="I659" i="13"/>
  <c r="K659" i="13"/>
  <c r="L659" i="13"/>
  <c r="G659" i="13"/>
  <c r="N659" i="13"/>
  <c r="I617" i="13"/>
  <c r="K617" i="13"/>
  <c r="L617" i="13"/>
  <c r="G617" i="13"/>
  <c r="N617" i="13"/>
  <c r="K748" i="13"/>
  <c r="I747" i="13"/>
  <c r="K739" i="13"/>
  <c r="I738" i="13"/>
  <c r="K730" i="13"/>
  <c r="I729" i="13"/>
  <c r="L726" i="13"/>
  <c r="G723" i="13"/>
  <c r="I572" i="13"/>
  <c r="L572" i="13"/>
  <c r="I512" i="13"/>
  <c r="K512" i="13"/>
  <c r="L512" i="13"/>
  <c r="G512" i="13"/>
  <c r="N512" i="13"/>
  <c r="O512" i="13" s="1"/>
  <c r="I391" i="13"/>
  <c r="G391" i="13"/>
  <c r="N391" i="13"/>
  <c r="O391" i="13" s="1"/>
  <c r="K391" i="13"/>
  <c r="L391" i="13"/>
  <c r="I382" i="13"/>
  <c r="G382" i="13"/>
  <c r="N382" i="13"/>
  <c r="O382" i="13" s="1"/>
  <c r="K382" i="13"/>
  <c r="J299" i="13"/>
  <c r="L605" i="13"/>
  <c r="I605" i="13"/>
  <c r="L596" i="13"/>
  <c r="I596" i="13"/>
  <c r="K585" i="13"/>
  <c r="L585" i="13"/>
  <c r="I563" i="13"/>
  <c r="L563" i="13"/>
  <c r="I551" i="13"/>
  <c r="L551" i="13"/>
  <c r="G523" i="13"/>
  <c r="L523" i="13"/>
  <c r="N523" i="13"/>
  <c r="K523" i="13"/>
  <c r="I509" i="13"/>
  <c r="K509" i="13"/>
  <c r="L509" i="13"/>
  <c r="N509" i="13"/>
  <c r="O509" i="13" s="1"/>
  <c r="G509" i="13"/>
  <c r="N611" i="13"/>
  <c r="G611" i="13"/>
  <c r="G605" i="13"/>
  <c r="G596" i="13"/>
  <c r="K588" i="13"/>
  <c r="L588" i="13"/>
  <c r="I585" i="13"/>
  <c r="G584" i="13"/>
  <c r="K573" i="13"/>
  <c r="L573" i="13"/>
  <c r="G572" i="13"/>
  <c r="K564" i="13"/>
  <c r="L564" i="13"/>
  <c r="G563" i="13"/>
  <c r="K555" i="13"/>
  <c r="L555" i="13"/>
  <c r="J486" i="13"/>
  <c r="H486" i="13"/>
  <c r="K448" i="13"/>
  <c r="G448" i="13"/>
  <c r="L448" i="13"/>
  <c r="N448" i="13"/>
  <c r="I448" i="13"/>
  <c r="L382" i="13"/>
  <c r="O313" i="13"/>
  <c r="J281" i="13"/>
  <c r="H281" i="13"/>
  <c r="L720" i="13"/>
  <c r="L717" i="13"/>
  <c r="L714" i="13"/>
  <c r="L711" i="13"/>
  <c r="L708" i="13"/>
  <c r="L705" i="13"/>
  <c r="L702" i="13"/>
  <c r="L699" i="13"/>
  <c r="L696" i="13"/>
  <c r="L693" i="13"/>
  <c r="L690" i="13"/>
  <c r="L687" i="13"/>
  <c r="L684" i="13"/>
  <c r="L681" i="13"/>
  <c r="L678" i="13"/>
  <c r="L675" i="13"/>
  <c r="L672" i="13"/>
  <c r="L669" i="13"/>
  <c r="L666" i="13"/>
  <c r="L663" i="13"/>
  <c r="L660" i="13"/>
  <c r="L657" i="13"/>
  <c r="L654" i="13"/>
  <c r="L651" i="13"/>
  <c r="L648" i="13"/>
  <c r="L645" i="13"/>
  <c r="L642" i="13"/>
  <c r="L639" i="13"/>
  <c r="L636" i="13"/>
  <c r="L633" i="13"/>
  <c r="L630" i="13"/>
  <c r="L627" i="13"/>
  <c r="L624" i="13"/>
  <c r="L621" i="13"/>
  <c r="L618" i="13"/>
  <c r="L615" i="13"/>
  <c r="L612" i="13"/>
  <c r="N605" i="13"/>
  <c r="L602" i="13"/>
  <c r="I602" i="13"/>
  <c r="K601" i="13"/>
  <c r="N596" i="13"/>
  <c r="L593" i="13"/>
  <c r="I593" i="13"/>
  <c r="K592" i="13"/>
  <c r="J591" i="13"/>
  <c r="N591" i="13"/>
  <c r="O591" i="13" s="1"/>
  <c r="K591" i="13"/>
  <c r="K589" i="13"/>
  <c r="I588" i="13"/>
  <c r="G587" i="13"/>
  <c r="G585" i="13"/>
  <c r="N584" i="13"/>
  <c r="N580" i="13"/>
  <c r="L578" i="13"/>
  <c r="K575" i="13"/>
  <c r="I573" i="13"/>
  <c r="I569" i="13"/>
  <c r="L569" i="13"/>
  <c r="I564" i="13"/>
  <c r="I560" i="13"/>
  <c r="L560" i="13"/>
  <c r="I555" i="13"/>
  <c r="K552" i="13"/>
  <c r="L552" i="13"/>
  <c r="G551" i="13"/>
  <c r="O550" i="13"/>
  <c r="H548" i="13"/>
  <c r="O547" i="13"/>
  <c r="L545" i="13"/>
  <c r="K545" i="13"/>
  <c r="G545" i="13"/>
  <c r="N545" i="13"/>
  <c r="O545" i="13" s="1"/>
  <c r="G526" i="13"/>
  <c r="K526" i="13"/>
  <c r="N526" i="13"/>
  <c r="I526" i="13"/>
  <c r="J450" i="13"/>
  <c r="H450" i="13"/>
  <c r="L611" i="13"/>
  <c r="L607" i="13"/>
  <c r="N604" i="13"/>
  <c r="L598" i="13"/>
  <c r="N595" i="13"/>
  <c r="G588" i="13"/>
  <c r="N587" i="13"/>
  <c r="H586" i="13"/>
  <c r="N583" i="13"/>
  <c r="L581" i="13"/>
  <c r="L577" i="13"/>
  <c r="K576" i="13"/>
  <c r="L576" i="13"/>
  <c r="G573" i="13"/>
  <c r="N572" i="13"/>
  <c r="K570" i="13"/>
  <c r="L570" i="13"/>
  <c r="G564" i="13"/>
  <c r="N563" i="13"/>
  <c r="K561" i="13"/>
  <c r="L561" i="13"/>
  <c r="G555" i="13"/>
  <c r="K549" i="13"/>
  <c r="L549" i="13"/>
  <c r="L542" i="13"/>
  <c r="G542" i="13"/>
  <c r="N542" i="13"/>
  <c r="O542" i="13" s="1"/>
  <c r="I542" i="13"/>
  <c r="J526" i="13"/>
  <c r="H526" i="13"/>
  <c r="I518" i="13"/>
  <c r="L518" i="13"/>
  <c r="G518" i="13"/>
  <c r="K518" i="13"/>
  <c r="N518" i="13"/>
  <c r="O518" i="13" s="1"/>
  <c r="N613" i="13"/>
  <c r="K611" i="13"/>
  <c r="N610" i="13"/>
  <c r="L608" i="13"/>
  <c r="I608" i="13"/>
  <c r="K607" i="13"/>
  <c r="K605" i="13"/>
  <c r="L599" i="13"/>
  <c r="I599" i="13"/>
  <c r="K598" i="13"/>
  <c r="K596" i="13"/>
  <c r="N585" i="13"/>
  <c r="O585" i="13" s="1"/>
  <c r="L584" i="13"/>
  <c r="K581" i="13"/>
  <c r="L580" i="13"/>
  <c r="K579" i="13"/>
  <c r="L579" i="13"/>
  <c r="K577" i="13"/>
  <c r="I576" i="13"/>
  <c r="G575" i="13"/>
  <c r="I570" i="13"/>
  <c r="O568" i="13"/>
  <c r="I566" i="13"/>
  <c r="L566" i="13"/>
  <c r="I561" i="13"/>
  <c r="I557" i="13"/>
  <c r="L557" i="13"/>
  <c r="N551" i="13"/>
  <c r="I549" i="13"/>
  <c r="I524" i="13"/>
  <c r="L524" i="13"/>
  <c r="N524" i="13"/>
  <c r="G524" i="13"/>
  <c r="I500" i="13"/>
  <c r="K500" i="13"/>
  <c r="L500" i="13"/>
  <c r="N500" i="13"/>
  <c r="O500" i="13" s="1"/>
  <c r="L604" i="13"/>
  <c r="L595" i="13"/>
  <c r="N588" i="13"/>
  <c r="O588" i="13" s="1"/>
  <c r="L587" i="13"/>
  <c r="K584" i="13"/>
  <c r="L583" i="13"/>
  <c r="K582" i="13"/>
  <c r="L582" i="13"/>
  <c r="K580" i="13"/>
  <c r="K572" i="13"/>
  <c r="O569" i="13"/>
  <c r="K567" i="13"/>
  <c r="L567" i="13"/>
  <c r="K563" i="13"/>
  <c r="K558" i="13"/>
  <c r="L558" i="13"/>
  <c r="I554" i="13"/>
  <c r="L554" i="13"/>
  <c r="O494" i="13"/>
  <c r="G455" i="13"/>
  <c r="I455" i="13"/>
  <c r="K455" i="13"/>
  <c r="L455" i="13"/>
  <c r="N455" i="13"/>
  <c r="G535" i="13"/>
  <c r="L535" i="13"/>
  <c r="N535" i="13"/>
  <c r="O497" i="13"/>
  <c r="K484" i="13"/>
  <c r="G484" i="13"/>
  <c r="L484" i="13"/>
  <c r="N484" i="13"/>
  <c r="I484" i="13"/>
  <c r="J477" i="13"/>
  <c r="H477" i="13"/>
  <c r="I394" i="13"/>
  <c r="G394" i="13"/>
  <c r="N394" i="13"/>
  <c r="O394" i="13" s="1"/>
  <c r="K394" i="13"/>
  <c r="L394" i="13"/>
  <c r="G538" i="13"/>
  <c r="K538" i="13"/>
  <c r="I536" i="13"/>
  <c r="L536" i="13"/>
  <c r="G520" i="13"/>
  <c r="K520" i="13"/>
  <c r="I515" i="13"/>
  <c r="L515" i="13"/>
  <c r="G515" i="13"/>
  <c r="K515" i="13"/>
  <c r="I494" i="13"/>
  <c r="K494" i="13"/>
  <c r="L494" i="13"/>
  <c r="G494" i="13"/>
  <c r="O491" i="13"/>
  <c r="G482" i="13"/>
  <c r="I482" i="13"/>
  <c r="K482" i="13"/>
  <c r="L482" i="13"/>
  <c r="N482" i="13"/>
  <c r="K475" i="13"/>
  <c r="G475" i="13"/>
  <c r="L475" i="13"/>
  <c r="N475" i="13"/>
  <c r="I475" i="13"/>
  <c r="J468" i="13"/>
  <c r="H468" i="13"/>
  <c r="G446" i="13"/>
  <c r="I446" i="13"/>
  <c r="K446" i="13"/>
  <c r="L446" i="13"/>
  <c r="N446" i="13"/>
  <c r="K439" i="13"/>
  <c r="G439" i="13"/>
  <c r="L439" i="13"/>
  <c r="N439" i="13"/>
  <c r="I439" i="13"/>
  <c r="G529" i="13"/>
  <c r="L529" i="13"/>
  <c r="N529" i="13"/>
  <c r="G473" i="13"/>
  <c r="I473" i="13"/>
  <c r="K473" i="13"/>
  <c r="L473" i="13"/>
  <c r="N473" i="13"/>
  <c r="K466" i="13"/>
  <c r="G466" i="13"/>
  <c r="L466" i="13"/>
  <c r="N466" i="13"/>
  <c r="I466" i="13"/>
  <c r="J459" i="13"/>
  <c r="H459" i="13"/>
  <c r="G548" i="13"/>
  <c r="I548" i="13"/>
  <c r="K547" i="13"/>
  <c r="G547" i="13"/>
  <c r="G544" i="13"/>
  <c r="N544" i="13"/>
  <c r="O544" i="13" s="1"/>
  <c r="I544" i="13"/>
  <c r="I541" i="13"/>
  <c r="L541" i="13"/>
  <c r="G532" i="13"/>
  <c r="K532" i="13"/>
  <c r="I530" i="13"/>
  <c r="L530" i="13"/>
  <c r="I503" i="13"/>
  <c r="K503" i="13"/>
  <c r="L503" i="13"/>
  <c r="G503" i="13"/>
  <c r="O488" i="13"/>
  <c r="G464" i="13"/>
  <c r="I464" i="13"/>
  <c r="K464" i="13"/>
  <c r="L464" i="13"/>
  <c r="N464" i="13"/>
  <c r="K457" i="13"/>
  <c r="G457" i="13"/>
  <c r="L457" i="13"/>
  <c r="N457" i="13"/>
  <c r="I457" i="13"/>
  <c r="I429" i="13"/>
  <c r="K429" i="13"/>
  <c r="L429" i="13"/>
  <c r="G429" i="13"/>
  <c r="I539" i="13"/>
  <c r="L539" i="13"/>
  <c r="I533" i="13"/>
  <c r="L533" i="13"/>
  <c r="I527" i="13"/>
  <c r="L527" i="13"/>
  <c r="I521" i="13"/>
  <c r="L521" i="13"/>
  <c r="I506" i="13"/>
  <c r="K506" i="13"/>
  <c r="L506" i="13"/>
  <c r="I497" i="13"/>
  <c r="K497" i="13"/>
  <c r="L497" i="13"/>
  <c r="I488" i="13"/>
  <c r="K488" i="13"/>
  <c r="L488" i="13"/>
  <c r="K481" i="13"/>
  <c r="G481" i="13"/>
  <c r="L481" i="13"/>
  <c r="N481" i="13"/>
  <c r="G479" i="13"/>
  <c r="I479" i="13"/>
  <c r="K479" i="13"/>
  <c r="L479" i="13"/>
  <c r="N479" i="13"/>
  <c r="K472" i="13"/>
  <c r="G472" i="13"/>
  <c r="L472" i="13"/>
  <c r="N472" i="13"/>
  <c r="G470" i="13"/>
  <c r="I470" i="13"/>
  <c r="K470" i="13"/>
  <c r="L470" i="13"/>
  <c r="N470" i="13"/>
  <c r="K463" i="13"/>
  <c r="G463" i="13"/>
  <c r="L463" i="13"/>
  <c r="N463" i="13"/>
  <c r="G461" i="13"/>
  <c r="I461" i="13"/>
  <c r="K461" i="13"/>
  <c r="L461" i="13"/>
  <c r="N461" i="13"/>
  <c r="K454" i="13"/>
  <c r="G454" i="13"/>
  <c r="L454" i="13"/>
  <c r="N454" i="13"/>
  <c r="G452" i="13"/>
  <c r="I452" i="13"/>
  <c r="K452" i="13"/>
  <c r="L452" i="13"/>
  <c r="N452" i="13"/>
  <c r="K445" i="13"/>
  <c r="G445" i="13"/>
  <c r="L445" i="13"/>
  <c r="N445" i="13"/>
  <c r="G443" i="13"/>
  <c r="I443" i="13"/>
  <c r="K443" i="13"/>
  <c r="L443" i="13"/>
  <c r="N443" i="13"/>
  <c r="L426" i="13"/>
  <c r="I426" i="13"/>
  <c r="K426" i="13"/>
  <c r="N426" i="13"/>
  <c r="K401" i="13"/>
  <c r="N401" i="13"/>
  <c r="O401" i="13" s="1"/>
  <c r="G401" i="13"/>
  <c r="I401" i="13"/>
  <c r="H397" i="13"/>
  <c r="K371" i="13"/>
  <c r="L371" i="13"/>
  <c r="G371" i="13"/>
  <c r="N371" i="13"/>
  <c r="O371" i="13" s="1"/>
  <c r="I371" i="13"/>
  <c r="D354" i="13"/>
  <c r="O527" i="13"/>
  <c r="G506" i="13"/>
  <c r="G497" i="13"/>
  <c r="G488" i="13"/>
  <c r="H483" i="13"/>
  <c r="H465" i="13"/>
  <c r="G378" i="13"/>
  <c r="K378" i="13"/>
  <c r="L378" i="13"/>
  <c r="N378" i="13"/>
  <c r="I378" i="13"/>
  <c r="I491" i="13"/>
  <c r="K491" i="13"/>
  <c r="L491" i="13"/>
  <c r="K487" i="13"/>
  <c r="G487" i="13"/>
  <c r="L487" i="13"/>
  <c r="N487" i="13"/>
  <c r="G485" i="13"/>
  <c r="I485" i="13"/>
  <c r="K485" i="13"/>
  <c r="L485" i="13"/>
  <c r="N485" i="13"/>
  <c r="K478" i="13"/>
  <c r="G478" i="13"/>
  <c r="L478" i="13"/>
  <c r="N478" i="13"/>
  <c r="G476" i="13"/>
  <c r="I476" i="13"/>
  <c r="K476" i="13"/>
  <c r="L476" i="13"/>
  <c r="N476" i="13"/>
  <c r="K469" i="13"/>
  <c r="G469" i="13"/>
  <c r="L469" i="13"/>
  <c r="N469" i="13"/>
  <c r="G467" i="13"/>
  <c r="I467" i="13"/>
  <c r="K467" i="13"/>
  <c r="L467" i="13"/>
  <c r="N467" i="13"/>
  <c r="K460" i="13"/>
  <c r="G460" i="13"/>
  <c r="L460" i="13"/>
  <c r="N460" i="13"/>
  <c r="G458" i="13"/>
  <c r="I458" i="13"/>
  <c r="K458" i="13"/>
  <c r="L458" i="13"/>
  <c r="N458" i="13"/>
  <c r="K451" i="13"/>
  <c r="G451" i="13"/>
  <c r="L451" i="13"/>
  <c r="N451" i="13"/>
  <c r="G449" i="13"/>
  <c r="I449" i="13"/>
  <c r="K449" i="13"/>
  <c r="L449" i="13"/>
  <c r="N449" i="13"/>
  <c r="K442" i="13"/>
  <c r="G442" i="13"/>
  <c r="L442" i="13"/>
  <c r="N442" i="13"/>
  <c r="G440" i="13"/>
  <c r="I440" i="13"/>
  <c r="K440" i="13"/>
  <c r="L440" i="13"/>
  <c r="N440" i="13"/>
  <c r="H401" i="13"/>
  <c r="J401" i="13"/>
  <c r="D355" i="13"/>
  <c r="L498" i="13"/>
  <c r="L495" i="13"/>
  <c r="L492" i="13"/>
  <c r="L489" i="13"/>
  <c r="N486" i="13"/>
  <c r="O486" i="13" s="1"/>
  <c r="N483" i="13"/>
  <c r="O483" i="13" s="1"/>
  <c r="N480" i="13"/>
  <c r="O480" i="13" s="1"/>
  <c r="N477" i="13"/>
  <c r="O477" i="13" s="1"/>
  <c r="N474" i="13"/>
  <c r="O474" i="13" s="1"/>
  <c r="N471" i="13"/>
  <c r="O471" i="13" s="1"/>
  <c r="N468" i="13"/>
  <c r="O468" i="13" s="1"/>
  <c r="N465" i="13"/>
  <c r="O465" i="13" s="1"/>
  <c r="N462" i="13"/>
  <c r="O462" i="13" s="1"/>
  <c r="N459" i="13"/>
  <c r="O459" i="13" s="1"/>
  <c r="N456" i="13"/>
  <c r="O456" i="13" s="1"/>
  <c r="N453" i="13"/>
  <c r="O453" i="13" s="1"/>
  <c r="N450" i="13"/>
  <c r="O450" i="13" s="1"/>
  <c r="N447" i="13"/>
  <c r="O447" i="13" s="1"/>
  <c r="N444" i="13"/>
  <c r="O444" i="13" s="1"/>
  <c r="N441" i="13"/>
  <c r="O441" i="13" s="1"/>
  <c r="N438" i="13"/>
  <c r="O438" i="13" s="1"/>
  <c r="I388" i="13"/>
  <c r="G388" i="13"/>
  <c r="N388" i="13"/>
  <c r="O388" i="13" s="1"/>
  <c r="K388" i="13"/>
  <c r="G369" i="13"/>
  <c r="K369" i="13"/>
  <c r="L369" i="13"/>
  <c r="N369" i="13"/>
  <c r="I369" i="13"/>
  <c r="K362" i="13"/>
  <c r="L362" i="13"/>
  <c r="G362" i="13"/>
  <c r="P362" i="13" s="1"/>
  <c r="N362" i="13"/>
  <c r="O362" i="13" s="1"/>
  <c r="I362" i="13"/>
  <c r="H437" i="13"/>
  <c r="J437" i="13"/>
  <c r="L388" i="13"/>
  <c r="G360" i="13"/>
  <c r="P360" i="13" s="1"/>
  <c r="K360" i="13"/>
  <c r="L360" i="13"/>
  <c r="N360" i="13"/>
  <c r="I360" i="13"/>
  <c r="K353" i="13"/>
  <c r="L353" i="13"/>
  <c r="G353" i="13"/>
  <c r="P353" i="13" s="1"/>
  <c r="N353" i="13"/>
  <c r="O353" i="13" s="1"/>
  <c r="I353" i="13"/>
  <c r="N499" i="13"/>
  <c r="N496" i="13"/>
  <c r="N493" i="13"/>
  <c r="N490" i="13"/>
  <c r="G432" i="13"/>
  <c r="N432" i="13"/>
  <c r="O432" i="13" s="1"/>
  <c r="I432" i="13"/>
  <c r="K432" i="13"/>
  <c r="L408" i="13"/>
  <c r="I408" i="13"/>
  <c r="K408" i="13"/>
  <c r="N408" i="13"/>
  <c r="I385" i="13"/>
  <c r="G385" i="13"/>
  <c r="N385" i="13"/>
  <c r="O385" i="13" s="1"/>
  <c r="K385" i="13"/>
  <c r="G351" i="13"/>
  <c r="P351" i="13" s="1"/>
  <c r="K351" i="13"/>
  <c r="L351" i="13"/>
  <c r="N351" i="13"/>
  <c r="I351" i="13"/>
  <c r="K344" i="13"/>
  <c r="L344" i="13"/>
  <c r="G344" i="13"/>
  <c r="N344" i="13"/>
  <c r="O344" i="13" s="1"/>
  <c r="I344" i="13"/>
  <c r="I486" i="13"/>
  <c r="K486" i="13"/>
  <c r="I483" i="13"/>
  <c r="K483" i="13"/>
  <c r="I480" i="13"/>
  <c r="K480" i="13"/>
  <c r="I477" i="13"/>
  <c r="K477" i="13"/>
  <c r="I474" i="13"/>
  <c r="K474" i="13"/>
  <c r="I471" i="13"/>
  <c r="K471" i="13"/>
  <c r="I468" i="13"/>
  <c r="K468" i="13"/>
  <c r="I465" i="13"/>
  <c r="K465" i="13"/>
  <c r="I462" i="13"/>
  <c r="K462" i="13"/>
  <c r="I459" i="13"/>
  <c r="K459" i="13"/>
  <c r="I456" i="13"/>
  <c r="K456" i="13"/>
  <c r="I453" i="13"/>
  <c r="K453" i="13"/>
  <c r="I450" i="13"/>
  <c r="K450" i="13"/>
  <c r="I447" i="13"/>
  <c r="K447" i="13"/>
  <c r="I444" i="13"/>
  <c r="K444" i="13"/>
  <c r="I441" i="13"/>
  <c r="K441" i="13"/>
  <c r="I438" i="13"/>
  <c r="K438" i="13"/>
  <c r="L436" i="13"/>
  <c r="I436" i="13"/>
  <c r="K436" i="13"/>
  <c r="L417" i="13"/>
  <c r="I417" i="13"/>
  <c r="K417" i="13"/>
  <c r="N417" i="13"/>
  <c r="I397" i="13"/>
  <c r="G397" i="13"/>
  <c r="N397" i="13"/>
  <c r="O397" i="13" s="1"/>
  <c r="K397" i="13"/>
  <c r="G342" i="13"/>
  <c r="K342" i="13"/>
  <c r="L342" i="13"/>
  <c r="N342" i="13"/>
  <c r="I342" i="13"/>
  <c r="K423" i="13"/>
  <c r="H366" i="13"/>
  <c r="J366" i="13"/>
  <c r="H339" i="13"/>
  <c r="J339" i="13"/>
  <c r="H337" i="13"/>
  <c r="J337" i="13"/>
  <c r="K329" i="13"/>
  <c r="L329" i="13"/>
  <c r="N329" i="13"/>
  <c r="O329" i="13" s="1"/>
  <c r="G329" i="13"/>
  <c r="I329" i="13"/>
  <c r="N435" i="13"/>
  <c r="G435" i="13"/>
  <c r="N433" i="13"/>
  <c r="O433" i="13" s="1"/>
  <c r="G433" i="13"/>
  <c r="I430" i="13"/>
  <c r="I423" i="13"/>
  <c r="G420" i="13"/>
  <c r="I414" i="13"/>
  <c r="G411" i="13"/>
  <c r="I405" i="13"/>
  <c r="G402" i="13"/>
  <c r="N411" i="13"/>
  <c r="N402" i="13"/>
  <c r="G381" i="13"/>
  <c r="K381" i="13"/>
  <c r="L381" i="13"/>
  <c r="N381" i="13"/>
  <c r="I370" i="13"/>
  <c r="G370" i="13"/>
  <c r="N370" i="13"/>
  <c r="K370" i="13"/>
  <c r="L370" i="13"/>
  <c r="I361" i="13"/>
  <c r="G361" i="13"/>
  <c r="P361" i="13" s="1"/>
  <c r="N361" i="13"/>
  <c r="K361" i="13"/>
  <c r="L361" i="13"/>
  <c r="I352" i="13"/>
  <c r="G352" i="13"/>
  <c r="P352" i="13" s="1"/>
  <c r="N352" i="13"/>
  <c r="K352" i="13"/>
  <c r="L352" i="13"/>
  <c r="I343" i="13"/>
  <c r="G343" i="13"/>
  <c r="N343" i="13"/>
  <c r="K343" i="13"/>
  <c r="L343" i="13"/>
  <c r="K433" i="13"/>
  <c r="N430" i="13"/>
  <c r="O430" i="13" s="1"/>
  <c r="G430" i="13"/>
  <c r="G423" i="13"/>
  <c r="G414" i="13"/>
  <c r="G405" i="13"/>
  <c r="I400" i="13"/>
  <c r="G400" i="13"/>
  <c r="N400" i="13"/>
  <c r="O400" i="13" s="1"/>
  <c r="J399" i="13"/>
  <c r="G399" i="13"/>
  <c r="K399" i="13"/>
  <c r="G396" i="13"/>
  <c r="K396" i="13"/>
  <c r="N396" i="13"/>
  <c r="G393" i="13"/>
  <c r="K393" i="13"/>
  <c r="N393" i="13"/>
  <c r="G390" i="13"/>
  <c r="K390" i="13"/>
  <c r="N390" i="13"/>
  <c r="G387" i="13"/>
  <c r="K387" i="13"/>
  <c r="N387" i="13"/>
  <c r="G384" i="13"/>
  <c r="K384" i="13"/>
  <c r="N384" i="13"/>
  <c r="I381" i="13"/>
  <c r="K379" i="13"/>
  <c r="I376" i="13"/>
  <c r="G376" i="13"/>
  <c r="N376" i="13"/>
  <c r="L374" i="13"/>
  <c r="L373" i="13"/>
  <c r="I367" i="13"/>
  <c r="G367" i="13"/>
  <c r="N367" i="13"/>
  <c r="L365" i="13"/>
  <c r="L364" i="13"/>
  <c r="I358" i="13"/>
  <c r="G358" i="13"/>
  <c r="P358" i="13" s="1"/>
  <c r="N358" i="13"/>
  <c r="L356" i="13"/>
  <c r="L355" i="13"/>
  <c r="I349" i="13"/>
  <c r="G349" i="13"/>
  <c r="P349" i="13" s="1"/>
  <c r="N349" i="13"/>
  <c r="L347" i="13"/>
  <c r="L346" i="13"/>
  <c r="I340" i="13"/>
  <c r="G340" i="13"/>
  <c r="N340" i="13"/>
  <c r="G336" i="13"/>
  <c r="K336" i="13"/>
  <c r="N336" i="13"/>
  <c r="G375" i="13"/>
  <c r="K375" i="13"/>
  <c r="G366" i="13"/>
  <c r="K366" i="13"/>
  <c r="G357" i="13"/>
  <c r="P357" i="13" s="1"/>
  <c r="K357" i="13"/>
  <c r="G348" i="13"/>
  <c r="P348" i="13" s="1"/>
  <c r="K348" i="13"/>
  <c r="G339" i="13"/>
  <c r="K339" i="13"/>
  <c r="I337" i="13"/>
  <c r="G337" i="13"/>
  <c r="N337" i="13"/>
  <c r="O337" i="13" s="1"/>
  <c r="K337" i="13"/>
  <c r="L325" i="13"/>
  <c r="N325" i="13"/>
  <c r="K325" i="13"/>
  <c r="G325" i="13"/>
  <c r="I373" i="13"/>
  <c r="G373" i="13"/>
  <c r="N373" i="13"/>
  <c r="O373" i="13" s="1"/>
  <c r="I364" i="13"/>
  <c r="G364" i="13"/>
  <c r="N364" i="13"/>
  <c r="O364" i="13" s="1"/>
  <c r="I355" i="13"/>
  <c r="G355" i="13"/>
  <c r="P355" i="13" s="1"/>
  <c r="N355" i="13"/>
  <c r="O355" i="13" s="1"/>
  <c r="I346" i="13"/>
  <c r="G346" i="13"/>
  <c r="N346" i="13"/>
  <c r="O346" i="13" s="1"/>
  <c r="G333" i="13"/>
  <c r="K333" i="13"/>
  <c r="L333" i="13"/>
  <c r="N333" i="13"/>
  <c r="N379" i="13"/>
  <c r="O379" i="13" s="1"/>
  <c r="G379" i="13"/>
  <c r="N375" i="13"/>
  <c r="G372" i="13"/>
  <c r="K372" i="13"/>
  <c r="N366" i="13"/>
  <c r="G363" i="13"/>
  <c r="K363" i="13"/>
  <c r="N357" i="13"/>
  <c r="G354" i="13"/>
  <c r="P354" i="13" s="1"/>
  <c r="K354" i="13"/>
  <c r="N348" i="13"/>
  <c r="G345" i="13"/>
  <c r="K345" i="13"/>
  <c r="N339" i="13"/>
  <c r="K334" i="13"/>
  <c r="K331" i="13"/>
  <c r="O289" i="13"/>
  <c r="H327" i="13"/>
  <c r="J327" i="13"/>
  <c r="L316" i="13"/>
  <c r="I316" i="13"/>
  <c r="K316" i="13"/>
  <c r="N316" i="13"/>
  <c r="L301" i="13"/>
  <c r="G301" i="13"/>
  <c r="N301" i="13"/>
  <c r="G316" i="13"/>
  <c r="I301" i="13"/>
  <c r="L298" i="13"/>
  <c r="G298" i="13"/>
  <c r="K298" i="13"/>
  <c r="N298" i="13"/>
  <c r="N334" i="13"/>
  <c r="G334" i="13"/>
  <c r="N331" i="13"/>
  <c r="O331" i="13" s="1"/>
  <c r="G331" i="13"/>
  <c r="K322" i="13"/>
  <c r="L304" i="13"/>
  <c r="G304" i="13"/>
  <c r="I292" i="13"/>
  <c r="L292" i="13"/>
  <c r="G292" i="13"/>
  <c r="I289" i="13"/>
  <c r="K289" i="13"/>
  <c r="L289" i="13"/>
  <c r="G289" i="13"/>
  <c r="G328" i="13"/>
  <c r="I322" i="13"/>
  <c r="G319" i="13"/>
  <c r="L307" i="13"/>
  <c r="G307" i="13"/>
  <c r="J284" i="13"/>
  <c r="H284" i="13"/>
  <c r="L310" i="13"/>
  <c r="G310" i="13"/>
  <c r="J269" i="13"/>
  <c r="H269" i="13"/>
  <c r="G322" i="13"/>
  <c r="L313" i="13"/>
  <c r="G313" i="13"/>
  <c r="L295" i="13"/>
  <c r="G295" i="13"/>
  <c r="J287" i="13"/>
  <c r="H287" i="13"/>
  <c r="J278" i="13"/>
  <c r="H278" i="13"/>
  <c r="J266" i="13"/>
  <c r="H266" i="13"/>
  <c r="I314" i="13"/>
  <c r="I311" i="13"/>
  <c r="I308" i="13"/>
  <c r="I305" i="13"/>
  <c r="I302" i="13"/>
  <c r="I299" i="13"/>
  <c r="I296" i="13"/>
  <c r="I293" i="13"/>
  <c r="I290" i="13"/>
  <c r="I287" i="13"/>
  <c r="G286" i="13"/>
  <c r="I284" i="13"/>
  <c r="G283" i="13"/>
  <c r="I281" i="13"/>
  <c r="G280" i="13"/>
  <c r="I278" i="13"/>
  <c r="G277" i="13"/>
  <c r="I275" i="13"/>
  <c r="G274" i="13"/>
  <c r="I272" i="13"/>
  <c r="G271" i="13"/>
  <c r="I269" i="13"/>
  <c r="G268" i="13"/>
  <c r="I266" i="13"/>
  <c r="G265" i="13"/>
  <c r="L286" i="13"/>
  <c r="L283" i="13"/>
  <c r="L280" i="13"/>
  <c r="L277" i="13"/>
  <c r="L274" i="13"/>
  <c r="L271" i="13"/>
  <c r="L268" i="13"/>
  <c r="L265" i="13"/>
  <c r="K286" i="13"/>
  <c r="K283" i="13"/>
  <c r="K280" i="13"/>
  <c r="K277" i="13"/>
  <c r="K274" i="13"/>
  <c r="K271" i="13"/>
  <c r="G269" i="13"/>
  <c r="K268" i="13"/>
  <c r="G266" i="13"/>
  <c r="K265" i="13"/>
  <c r="G264" i="13"/>
  <c r="I264" i="13"/>
  <c r="G263" i="13"/>
  <c r="L264" i="13"/>
  <c r="S118" i="11"/>
  <c r="AF118" i="11" s="1"/>
  <c r="I66" i="3"/>
  <c r="I62" i="3"/>
  <c r="S117" i="11"/>
  <c r="Y117" i="11" s="1"/>
  <c r="Z117" i="11" s="1"/>
  <c r="S113" i="11"/>
  <c r="Y113" i="11" s="1"/>
  <c r="Z113" i="11" s="1"/>
  <c r="J54" i="2"/>
  <c r="S107" i="11"/>
  <c r="J109" i="11"/>
  <c r="K109" i="11" s="1"/>
  <c r="L109" i="11" s="1"/>
  <c r="M109" i="11" s="1"/>
  <c r="N109" i="11" s="1"/>
  <c r="O109" i="11" s="1"/>
  <c r="G42" i="6" s="1"/>
  <c r="J108" i="11"/>
  <c r="K108" i="11" s="1"/>
  <c r="L108" i="11" s="1"/>
  <c r="M108" i="11" s="1"/>
  <c r="N108" i="11" s="1"/>
  <c r="O108" i="11" s="1"/>
  <c r="G41" i="6" s="1"/>
  <c r="U119" i="11"/>
  <c r="AD119" i="11" s="1"/>
  <c r="U121" i="11"/>
  <c r="AD121" i="11" s="1"/>
  <c r="Y119" i="11"/>
  <c r="Z119" i="11" s="1"/>
  <c r="AA119" i="11" s="1"/>
  <c r="AC119" i="11" s="1"/>
  <c r="AE119" i="11" s="1"/>
  <c r="Y121" i="11"/>
  <c r="Z121" i="11" s="1"/>
  <c r="AA121" i="11" s="1"/>
  <c r="AC121" i="11" s="1"/>
  <c r="AE121" i="11" s="1"/>
  <c r="X119" i="11"/>
  <c r="X121" i="11"/>
  <c r="T119" i="11"/>
  <c r="T121" i="11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S104" i="12"/>
  <c r="R104" i="12"/>
  <c r="G104" i="12"/>
  <c r="F104" i="12"/>
  <c r="C54" i="3" s="1"/>
  <c r="E104" i="12"/>
  <c r="D104" i="12"/>
  <c r="C104" i="12"/>
  <c r="B104" i="12"/>
  <c r="S103" i="12"/>
  <c r="R103" i="12"/>
  <c r="G103" i="12"/>
  <c r="F103" i="12"/>
  <c r="C53" i="3" s="1"/>
  <c r="E103" i="12"/>
  <c r="D103" i="12"/>
  <c r="C103" i="12"/>
  <c r="B103" i="12"/>
  <c r="S102" i="12"/>
  <c r="R102" i="12"/>
  <c r="G102" i="12"/>
  <c r="F102" i="12"/>
  <c r="E102" i="12"/>
  <c r="D102" i="12"/>
  <c r="C102" i="12"/>
  <c r="B102" i="12"/>
  <c r="S101" i="12"/>
  <c r="R101" i="12"/>
  <c r="C49" i="2" s="1"/>
  <c r="G101" i="12"/>
  <c r="F101" i="12"/>
  <c r="E101" i="12"/>
  <c r="D101" i="12"/>
  <c r="C101" i="12"/>
  <c r="B101" i="12"/>
  <c r="S100" i="12"/>
  <c r="R100" i="12"/>
  <c r="G100" i="12"/>
  <c r="F100" i="12"/>
  <c r="C51" i="3" s="1"/>
  <c r="E100" i="12"/>
  <c r="D100" i="12"/>
  <c r="C100" i="12"/>
  <c r="B100" i="12"/>
  <c r="S99" i="12"/>
  <c r="R99" i="12"/>
  <c r="G99" i="12"/>
  <c r="F99" i="12"/>
  <c r="C50" i="3" s="1"/>
  <c r="E99" i="12"/>
  <c r="D99" i="12"/>
  <c r="C99" i="12"/>
  <c r="B99" i="12"/>
  <c r="S98" i="12"/>
  <c r="R98" i="12"/>
  <c r="G98" i="12"/>
  <c r="J49" i="3" s="1"/>
  <c r="F98" i="12"/>
  <c r="C49" i="3" s="1"/>
  <c r="E98" i="12"/>
  <c r="D98" i="12"/>
  <c r="C98" i="12"/>
  <c r="B98" i="12"/>
  <c r="S97" i="12"/>
  <c r="R97" i="12"/>
  <c r="C45" i="2" s="1"/>
  <c r="G97" i="12"/>
  <c r="F97" i="12"/>
  <c r="E97" i="12"/>
  <c r="D97" i="12"/>
  <c r="C97" i="12"/>
  <c r="B97" i="12"/>
  <c r="J47" i="3"/>
  <c r="C47" i="3"/>
  <c r="S96" i="12"/>
  <c r="R96" i="12"/>
  <c r="G96" i="12"/>
  <c r="J46" i="3" s="1"/>
  <c r="F96" i="12"/>
  <c r="C46" i="3" s="1"/>
  <c r="E96" i="12"/>
  <c r="D96" i="12"/>
  <c r="C96" i="12"/>
  <c r="B96" i="12"/>
  <c r="S95" i="12"/>
  <c r="R95" i="12"/>
  <c r="G95" i="12"/>
  <c r="J43" i="2" s="1"/>
  <c r="F95" i="12"/>
  <c r="C45" i="3" s="1"/>
  <c r="E95" i="12"/>
  <c r="D95" i="12"/>
  <c r="C95" i="12"/>
  <c r="B95" i="12"/>
  <c r="S94" i="12"/>
  <c r="R94" i="12"/>
  <c r="G94" i="12"/>
  <c r="J44" i="3" s="1"/>
  <c r="F94" i="12"/>
  <c r="C44" i="3" s="1"/>
  <c r="E94" i="12"/>
  <c r="D94" i="12"/>
  <c r="C94" i="12"/>
  <c r="B94" i="12"/>
  <c r="S93" i="12"/>
  <c r="R93" i="12"/>
  <c r="G93" i="12"/>
  <c r="J41" i="2" s="1"/>
  <c r="F93" i="12"/>
  <c r="C43" i="3" s="1"/>
  <c r="E93" i="12"/>
  <c r="D93" i="12"/>
  <c r="C93" i="12"/>
  <c r="B93" i="12"/>
  <c r="S92" i="12"/>
  <c r="R92" i="12"/>
  <c r="G92" i="12"/>
  <c r="F92" i="12"/>
  <c r="C42" i="3" s="1"/>
  <c r="E92" i="12"/>
  <c r="D92" i="12"/>
  <c r="C92" i="12"/>
  <c r="B92" i="12"/>
  <c r="S91" i="12"/>
  <c r="R91" i="12"/>
  <c r="G91" i="12"/>
  <c r="J41" i="3" s="1"/>
  <c r="F91" i="12"/>
  <c r="C41" i="3" s="1"/>
  <c r="E91" i="12"/>
  <c r="D91" i="12"/>
  <c r="C91" i="12"/>
  <c r="B91" i="12"/>
  <c r="S90" i="12"/>
  <c r="R90" i="12"/>
  <c r="G90" i="12"/>
  <c r="J38" i="2" s="1"/>
  <c r="F90" i="12"/>
  <c r="C40" i="3" s="1"/>
  <c r="E90" i="12"/>
  <c r="D90" i="12"/>
  <c r="C90" i="12"/>
  <c r="B90" i="12"/>
  <c r="S89" i="12"/>
  <c r="R89" i="12"/>
  <c r="G89" i="12"/>
  <c r="J37" i="2" s="1"/>
  <c r="F89" i="12"/>
  <c r="C39" i="3" s="1"/>
  <c r="E89" i="12"/>
  <c r="D89" i="12"/>
  <c r="C89" i="12"/>
  <c r="B89" i="12"/>
  <c r="S88" i="12"/>
  <c r="R88" i="12"/>
  <c r="G88" i="12"/>
  <c r="F88" i="12"/>
  <c r="C38" i="3" s="1"/>
  <c r="E88" i="12"/>
  <c r="D88" i="12"/>
  <c r="C88" i="12"/>
  <c r="B88" i="12"/>
  <c r="S87" i="12"/>
  <c r="R87" i="12"/>
  <c r="G87" i="12"/>
  <c r="F87" i="12"/>
  <c r="C37" i="3" s="1"/>
  <c r="E87" i="12"/>
  <c r="D87" i="12"/>
  <c r="C87" i="12"/>
  <c r="B87" i="12"/>
  <c r="S86" i="12"/>
  <c r="R86" i="12"/>
  <c r="J34" i="2"/>
  <c r="F86" i="12"/>
  <c r="C36" i="3" s="1"/>
  <c r="E86" i="12"/>
  <c r="D86" i="12"/>
  <c r="C86" i="12"/>
  <c r="B86" i="12"/>
  <c r="S85" i="12"/>
  <c r="R85" i="12"/>
  <c r="J33" i="2"/>
  <c r="F85" i="12"/>
  <c r="C35" i="3" s="1"/>
  <c r="E85" i="12"/>
  <c r="D85" i="12"/>
  <c r="C85" i="12"/>
  <c r="B85" i="12"/>
  <c r="Q103" i="11"/>
  <c r="I33" i="6" s="1"/>
  <c r="P103" i="11"/>
  <c r="I103" i="11"/>
  <c r="J103" i="11" s="1"/>
  <c r="K103" i="11" s="1"/>
  <c r="L103" i="11" s="1"/>
  <c r="M103" i="11" s="1"/>
  <c r="N103" i="11" s="1"/>
  <c r="O103" i="11" s="1"/>
  <c r="H103" i="11"/>
  <c r="Q102" i="11"/>
  <c r="I32" i="6" s="1"/>
  <c r="P102" i="11"/>
  <c r="H102" i="11"/>
  <c r="D36" i="6" s="1"/>
  <c r="Q101" i="11"/>
  <c r="P101" i="11"/>
  <c r="I101" i="11"/>
  <c r="S101" i="11" s="1"/>
  <c r="AF101" i="11" s="1"/>
  <c r="H101" i="11"/>
  <c r="F741" i="13" s="1"/>
  <c r="D741" i="13" s="1"/>
  <c r="Q100" i="11"/>
  <c r="I31" i="6" s="1"/>
  <c r="P100" i="11"/>
  <c r="H100" i="11"/>
  <c r="Q99" i="11"/>
  <c r="I30" i="6" s="1"/>
  <c r="P99" i="11"/>
  <c r="H99" i="11"/>
  <c r="Q98" i="11"/>
  <c r="I29" i="6" s="1"/>
  <c r="P98" i="11"/>
  <c r="H98" i="11"/>
  <c r="Q97" i="11"/>
  <c r="I28" i="6" s="1"/>
  <c r="P97" i="11"/>
  <c r="I97" i="11"/>
  <c r="J97" i="11" s="1"/>
  <c r="K97" i="11" s="1"/>
  <c r="L97" i="11" s="1"/>
  <c r="M97" i="11" s="1"/>
  <c r="N97" i="11" s="1"/>
  <c r="O97" i="11" s="1"/>
  <c r="H97" i="11"/>
  <c r="Q96" i="11"/>
  <c r="P96" i="11"/>
  <c r="H96" i="11"/>
  <c r="Q95" i="11"/>
  <c r="I26" i="6" s="1"/>
  <c r="P95" i="11"/>
  <c r="I95" i="11"/>
  <c r="J95" i="11" s="1"/>
  <c r="K95" i="11" s="1"/>
  <c r="L95" i="11" s="1"/>
  <c r="M95" i="11" s="1"/>
  <c r="N95" i="11" s="1"/>
  <c r="O95" i="11" s="1"/>
  <c r="H95" i="11"/>
  <c r="Q94" i="11"/>
  <c r="I25" i="6" s="1"/>
  <c r="P94" i="11"/>
  <c r="I94" i="11"/>
  <c r="S94" i="11" s="1"/>
  <c r="AF94" i="11" s="1"/>
  <c r="H94" i="11"/>
  <c r="Q93" i="11"/>
  <c r="I24" i="6" s="1"/>
  <c r="P93" i="11"/>
  <c r="H93" i="11"/>
  <c r="Q92" i="11"/>
  <c r="I23" i="6" s="1"/>
  <c r="P92" i="11"/>
  <c r="I92" i="11"/>
  <c r="S92" i="11" s="1"/>
  <c r="H92" i="11"/>
  <c r="Q91" i="11"/>
  <c r="P91" i="11"/>
  <c r="I91" i="11"/>
  <c r="S91" i="11" s="1"/>
  <c r="X91" i="11" s="1"/>
  <c r="H91" i="11"/>
  <c r="Q90" i="11"/>
  <c r="I21" i="6" s="1"/>
  <c r="P90" i="11"/>
  <c r="I90" i="11"/>
  <c r="S90" i="11" s="1"/>
  <c r="H90" i="11"/>
  <c r="Q89" i="11"/>
  <c r="P89" i="11"/>
  <c r="H89" i="11"/>
  <c r="Q88" i="11"/>
  <c r="P88" i="11"/>
  <c r="H88" i="11"/>
  <c r="Q87" i="11"/>
  <c r="I18" i="6" s="1"/>
  <c r="P87" i="11"/>
  <c r="H87" i="11"/>
  <c r="Q86" i="11"/>
  <c r="I17" i="6" s="1"/>
  <c r="P86" i="11"/>
  <c r="H86" i="11"/>
  <c r="Q85" i="11"/>
  <c r="I16" i="6" s="1"/>
  <c r="P85" i="11"/>
  <c r="H85" i="11"/>
  <c r="B33" i="3"/>
  <c r="B32" i="3"/>
  <c r="B31" i="3"/>
  <c r="B30" i="3"/>
  <c r="B29" i="3"/>
  <c r="B28" i="3"/>
  <c r="S141" i="12"/>
  <c r="R141" i="12"/>
  <c r="G141" i="12"/>
  <c r="F141" i="12"/>
  <c r="E141" i="12"/>
  <c r="D141" i="12"/>
  <c r="C141" i="12"/>
  <c r="B141" i="12"/>
  <c r="S140" i="12"/>
  <c r="R140" i="12"/>
  <c r="G140" i="12"/>
  <c r="F140" i="12"/>
  <c r="E140" i="12"/>
  <c r="D140" i="12"/>
  <c r="C140" i="12"/>
  <c r="B140" i="12"/>
  <c r="S139" i="12"/>
  <c r="R139" i="12"/>
  <c r="G139" i="12"/>
  <c r="F139" i="12"/>
  <c r="E139" i="12"/>
  <c r="D139" i="12"/>
  <c r="C139" i="12"/>
  <c r="B139" i="12"/>
  <c r="S138" i="12"/>
  <c r="R138" i="12"/>
  <c r="G138" i="12"/>
  <c r="F138" i="12"/>
  <c r="E138" i="12"/>
  <c r="D138" i="12"/>
  <c r="C138" i="12"/>
  <c r="B138" i="12"/>
  <c r="S137" i="12"/>
  <c r="R137" i="12"/>
  <c r="G137" i="12"/>
  <c r="F137" i="12"/>
  <c r="E137" i="12"/>
  <c r="D137" i="12"/>
  <c r="C137" i="12"/>
  <c r="B137" i="12"/>
  <c r="S107" i="12"/>
  <c r="R107" i="12"/>
  <c r="G107" i="12"/>
  <c r="F107" i="12"/>
  <c r="C57" i="3" s="1"/>
  <c r="D57" i="3" s="1"/>
  <c r="E107" i="12"/>
  <c r="D107" i="12"/>
  <c r="C107" i="12"/>
  <c r="B107" i="12"/>
  <c r="S106" i="12"/>
  <c r="R106" i="12"/>
  <c r="G106" i="12"/>
  <c r="J56" i="3" s="1"/>
  <c r="F106" i="12"/>
  <c r="C56" i="3" s="1"/>
  <c r="E106" i="12"/>
  <c r="D106" i="12"/>
  <c r="C106" i="12"/>
  <c r="B106" i="12"/>
  <c r="S105" i="12"/>
  <c r="R105" i="12"/>
  <c r="G105" i="12"/>
  <c r="F105" i="12"/>
  <c r="C55" i="3" s="1"/>
  <c r="E105" i="12"/>
  <c r="D105" i="12"/>
  <c r="C105" i="12"/>
  <c r="B105" i="12"/>
  <c r="S84" i="12"/>
  <c r="R84" i="12"/>
  <c r="G84" i="12"/>
  <c r="J34" i="3" s="1"/>
  <c r="F84" i="12"/>
  <c r="C34" i="3" s="1"/>
  <c r="E84" i="12"/>
  <c r="D84" i="12"/>
  <c r="C84" i="12"/>
  <c r="B84" i="12"/>
  <c r="S83" i="12"/>
  <c r="R83" i="12"/>
  <c r="G83" i="12"/>
  <c r="J33" i="3" s="1"/>
  <c r="F83" i="12"/>
  <c r="C33" i="3" s="1"/>
  <c r="E83" i="12"/>
  <c r="D83" i="12"/>
  <c r="C83" i="12"/>
  <c r="B83" i="12"/>
  <c r="S82" i="12"/>
  <c r="R82" i="12"/>
  <c r="G82" i="12"/>
  <c r="J32" i="3" s="1"/>
  <c r="F82" i="12"/>
  <c r="C32" i="3" s="1"/>
  <c r="E82" i="12"/>
  <c r="D82" i="12"/>
  <c r="C82" i="12"/>
  <c r="B82" i="12"/>
  <c r="S81" i="12"/>
  <c r="R81" i="12"/>
  <c r="G81" i="12"/>
  <c r="J31" i="3" s="1"/>
  <c r="F81" i="12"/>
  <c r="C31" i="3" s="1"/>
  <c r="E81" i="12"/>
  <c r="D81" i="12"/>
  <c r="C81" i="12"/>
  <c r="B81" i="12"/>
  <c r="S80" i="12"/>
  <c r="R80" i="12"/>
  <c r="G80" i="12"/>
  <c r="J30" i="3" s="1"/>
  <c r="F80" i="12"/>
  <c r="C30" i="3" s="1"/>
  <c r="E80" i="12"/>
  <c r="D80" i="12"/>
  <c r="C80" i="12"/>
  <c r="B80" i="12"/>
  <c r="S79" i="12"/>
  <c r="R79" i="12"/>
  <c r="G79" i="12"/>
  <c r="J27" i="2" s="1"/>
  <c r="F79" i="12"/>
  <c r="C29" i="3" s="1"/>
  <c r="E79" i="12"/>
  <c r="D79" i="12"/>
  <c r="C79" i="12"/>
  <c r="B79" i="12"/>
  <c r="Q105" i="11"/>
  <c r="I35" i="6" s="1"/>
  <c r="P105" i="11"/>
  <c r="H105" i="11"/>
  <c r="Q104" i="11"/>
  <c r="P104" i="11"/>
  <c r="I104" i="11"/>
  <c r="S104" i="11" s="1"/>
  <c r="X104" i="11" s="1"/>
  <c r="H104" i="11"/>
  <c r="Q84" i="11"/>
  <c r="I15" i="6" s="1"/>
  <c r="P84" i="11"/>
  <c r="H84" i="11"/>
  <c r="Q83" i="11"/>
  <c r="I14" i="6" s="1"/>
  <c r="P83" i="11"/>
  <c r="I83" i="11"/>
  <c r="S83" i="11" s="1"/>
  <c r="X83" i="11" s="1"/>
  <c r="T18" i="6" s="1"/>
  <c r="H83" i="11"/>
  <c r="Q82" i="11"/>
  <c r="P82" i="11"/>
  <c r="I82" i="11"/>
  <c r="S82" i="11" s="1"/>
  <c r="AF82" i="11" s="1"/>
  <c r="H82" i="11"/>
  <c r="Q81" i="11"/>
  <c r="P81" i="11"/>
  <c r="I81" i="11"/>
  <c r="S81" i="11" s="1"/>
  <c r="X81" i="11" s="1"/>
  <c r="H81" i="11"/>
  <c r="F721" i="13" s="1"/>
  <c r="D721" i="13" s="1"/>
  <c r="Q80" i="11"/>
  <c r="P80" i="11"/>
  <c r="I80" i="11"/>
  <c r="S80" i="11" s="1"/>
  <c r="AF80" i="11" s="1"/>
  <c r="H80" i="11"/>
  <c r="F720" i="13" s="1"/>
  <c r="D720" i="13" s="1"/>
  <c r="Q79" i="11"/>
  <c r="P79" i="11"/>
  <c r="I79" i="11"/>
  <c r="S79" i="11" s="1"/>
  <c r="X79" i="11" s="1"/>
  <c r="H79" i="11"/>
  <c r="F719" i="13" s="1"/>
  <c r="D719" i="13" s="1"/>
  <c r="B27" i="3"/>
  <c r="B26" i="3"/>
  <c r="B25" i="3"/>
  <c r="B24" i="3"/>
  <c r="B23" i="3"/>
  <c r="B48" i="3"/>
  <c r="B22" i="3"/>
  <c r="R74" i="12"/>
  <c r="J625" i="13" l="1"/>
  <c r="J324" i="13"/>
  <c r="Y110" i="11"/>
  <c r="Z110" i="11" s="1"/>
  <c r="H628" i="13"/>
  <c r="J110" i="11"/>
  <c r="K110" i="11" s="1"/>
  <c r="L110" i="11" s="1"/>
  <c r="M110" i="11" s="1"/>
  <c r="N110" i="11" s="1"/>
  <c r="O110" i="11" s="1"/>
  <c r="G43" i="6" s="1"/>
  <c r="U110" i="11"/>
  <c r="AD110" i="11" s="1"/>
  <c r="J431" i="13"/>
  <c r="T110" i="11"/>
  <c r="J285" i="13"/>
  <c r="X110" i="11"/>
  <c r="H504" i="13"/>
  <c r="AB121" i="11"/>
  <c r="W121" i="11"/>
  <c r="V121" i="12" s="1"/>
  <c r="AB119" i="11"/>
  <c r="W119" i="11"/>
  <c r="V119" i="12" s="1"/>
  <c r="H428" i="13"/>
  <c r="J673" i="13"/>
  <c r="P748" i="13"/>
  <c r="J543" i="13"/>
  <c r="X116" i="11"/>
  <c r="D63" i="3"/>
  <c r="D59" i="2"/>
  <c r="J600" i="13"/>
  <c r="H694" i="13"/>
  <c r="Y116" i="11"/>
  <c r="Z116" i="11" s="1"/>
  <c r="AA116" i="11" s="1"/>
  <c r="AC116" i="11" s="1"/>
  <c r="U116" i="11"/>
  <c r="AD116" i="11" s="1"/>
  <c r="J507" i="13"/>
  <c r="T116" i="11"/>
  <c r="J721" i="13"/>
  <c r="J116" i="11"/>
  <c r="K116" i="11" s="1"/>
  <c r="L116" i="11" s="1"/>
  <c r="M116" i="11" s="1"/>
  <c r="N116" i="11" s="1"/>
  <c r="O116" i="11" s="1"/>
  <c r="G49" i="6" s="1"/>
  <c r="J272" i="13"/>
  <c r="H703" i="13"/>
  <c r="J661" i="13"/>
  <c r="J390" i="13"/>
  <c r="J740" i="13"/>
  <c r="H590" i="13"/>
  <c r="X111" i="11"/>
  <c r="J312" i="13"/>
  <c r="H655" i="13"/>
  <c r="U111" i="11"/>
  <c r="AD111" i="11" s="1"/>
  <c r="AF111" i="11"/>
  <c r="T111" i="11"/>
  <c r="J111" i="11"/>
  <c r="K111" i="11" s="1"/>
  <c r="L111" i="11" s="1"/>
  <c r="M111" i="11" s="1"/>
  <c r="N111" i="11" s="1"/>
  <c r="O111" i="11" s="1"/>
  <c r="G44" i="6" s="1"/>
  <c r="J734" i="13"/>
  <c r="J425" i="13"/>
  <c r="J350" i="13"/>
  <c r="J340" i="13"/>
  <c r="J737" i="13"/>
  <c r="X108" i="11"/>
  <c r="H321" i="13"/>
  <c r="J297" i="13"/>
  <c r="J667" i="13"/>
  <c r="J634" i="13"/>
  <c r="J715" i="13"/>
  <c r="S115" i="11"/>
  <c r="Y115" i="11" s="1"/>
  <c r="Z115" i="11" s="1"/>
  <c r="AA115" i="11" s="1"/>
  <c r="AC115" i="11" s="1"/>
  <c r="J275" i="13"/>
  <c r="J380" i="13"/>
  <c r="Y112" i="11"/>
  <c r="Z112" i="11" s="1"/>
  <c r="AA112" i="11" s="1"/>
  <c r="AC112" i="11" s="1"/>
  <c r="X120" i="11"/>
  <c r="J416" i="13"/>
  <c r="H493" i="13"/>
  <c r="H724" i="13"/>
  <c r="T120" i="11"/>
  <c r="J643" i="13"/>
  <c r="J749" i="13"/>
  <c r="J395" i="13"/>
  <c r="J441" i="13"/>
  <c r="J383" i="13"/>
  <c r="Y107" i="11"/>
  <c r="Z107" i="11" s="1"/>
  <c r="AA107" i="11" s="1"/>
  <c r="AC107" i="11" s="1"/>
  <c r="AF107" i="11"/>
  <c r="H658" i="13"/>
  <c r="G30" i="6"/>
  <c r="U120" i="11"/>
  <c r="AD120" i="11" s="1"/>
  <c r="AF120" i="11"/>
  <c r="I13" i="6"/>
  <c r="I19" i="6"/>
  <c r="G32" i="6"/>
  <c r="T108" i="11"/>
  <c r="Y108" i="11"/>
  <c r="Z108" i="11" s="1"/>
  <c r="S106" i="11"/>
  <c r="AF106" i="11" s="1"/>
  <c r="H601" i="13"/>
  <c r="J649" i="13"/>
  <c r="J718" i="13"/>
  <c r="U108" i="11"/>
  <c r="AD108" i="11" s="1"/>
  <c r="J743" i="13"/>
  <c r="I34" i="6"/>
  <c r="I20" i="6"/>
  <c r="I22" i="6"/>
  <c r="J379" i="13"/>
  <c r="J744" i="13"/>
  <c r="P747" i="13"/>
  <c r="G37" i="6"/>
  <c r="J332" i="13"/>
  <c r="J652" i="13"/>
  <c r="I27" i="6"/>
  <c r="J697" i="13"/>
  <c r="H291" i="13"/>
  <c r="J616" i="13"/>
  <c r="H305" i="13"/>
  <c r="H592" i="13"/>
  <c r="H556" i="13"/>
  <c r="J746" i="13"/>
  <c r="D60" i="2"/>
  <c r="J603" i="13"/>
  <c r="H565" i="13"/>
  <c r="J328" i="13"/>
  <c r="J403" i="13"/>
  <c r="J318" i="13"/>
  <c r="J622" i="13"/>
  <c r="T112" i="11"/>
  <c r="J112" i="11"/>
  <c r="K112" i="11" s="1"/>
  <c r="L112" i="11" s="1"/>
  <c r="M112" i="11" s="1"/>
  <c r="N112" i="11" s="1"/>
  <c r="O112" i="11" s="1"/>
  <c r="G45" i="6" s="1"/>
  <c r="J384" i="13"/>
  <c r="J520" i="13"/>
  <c r="H676" i="13"/>
  <c r="J335" i="13"/>
  <c r="J261" i="13"/>
  <c r="J389" i="13"/>
  <c r="J422" i="13"/>
  <c r="H435" i="13"/>
  <c r="H706" i="13"/>
  <c r="D64" i="3"/>
  <c r="J392" i="13"/>
  <c r="J348" i="13"/>
  <c r="U112" i="11"/>
  <c r="AD112" i="11" s="1"/>
  <c r="S114" i="11"/>
  <c r="AF114" i="11" s="1"/>
  <c r="H514" i="13"/>
  <c r="H532" i="13"/>
  <c r="H682" i="13"/>
  <c r="J396" i="13"/>
  <c r="J709" i="13"/>
  <c r="J354" i="13"/>
  <c r="X112" i="11"/>
  <c r="D62" i="3"/>
  <c r="J606" i="13"/>
  <c r="J336" i="13"/>
  <c r="H589" i="13"/>
  <c r="H571" i="13"/>
  <c r="H574" i="13"/>
  <c r="J398" i="13"/>
  <c r="J349" i="13"/>
  <c r="J273" i="13"/>
  <c r="J508" i="13"/>
  <c r="J528" i="13"/>
  <c r="J338" i="13"/>
  <c r="H315" i="13"/>
  <c r="J393" i="13"/>
  <c r="J516" i="13"/>
  <c r="D23" i="6"/>
  <c r="E23" i="6"/>
  <c r="D32" i="6"/>
  <c r="E32" i="6"/>
  <c r="J490" i="13"/>
  <c r="J664" i="13"/>
  <c r="E30" i="6"/>
  <c r="D30" i="6"/>
  <c r="D38" i="6"/>
  <c r="E38" i="6"/>
  <c r="D21" i="6"/>
  <c r="E21" i="6"/>
  <c r="D26" i="6"/>
  <c r="E26" i="6"/>
  <c r="D28" i="6"/>
  <c r="E28" i="6"/>
  <c r="F740" i="13"/>
  <c r="D740" i="13" s="1"/>
  <c r="D35" i="6"/>
  <c r="E35" i="6"/>
  <c r="D19" i="6"/>
  <c r="E19" i="6"/>
  <c r="D20" i="6"/>
  <c r="E20" i="6"/>
  <c r="H496" i="13"/>
  <c r="F739" i="13"/>
  <c r="D739" i="13" s="1"/>
  <c r="D34" i="6"/>
  <c r="E34" i="6"/>
  <c r="D18" i="6"/>
  <c r="E18" i="6"/>
  <c r="F738" i="13"/>
  <c r="D738" i="13" s="1"/>
  <c r="E33" i="6"/>
  <c r="D33" i="6"/>
  <c r="E37" i="6"/>
  <c r="D37" i="6"/>
  <c r="D24" i="6"/>
  <c r="E24" i="6"/>
  <c r="D22" i="6"/>
  <c r="E22" i="6"/>
  <c r="D17" i="6"/>
  <c r="E17" i="6"/>
  <c r="D29" i="6"/>
  <c r="E29" i="6"/>
  <c r="D31" i="6"/>
  <c r="E31" i="6"/>
  <c r="F745" i="13"/>
  <c r="D745" i="13" s="1"/>
  <c r="E39" i="6"/>
  <c r="D39" i="6"/>
  <c r="E25" i="6"/>
  <c r="D25" i="6"/>
  <c r="E27" i="6"/>
  <c r="D27" i="6"/>
  <c r="P746" i="13"/>
  <c r="D60" i="3"/>
  <c r="J637" i="13"/>
  <c r="J359" i="13"/>
  <c r="H537" i="13"/>
  <c r="J294" i="13"/>
  <c r="J387" i="13"/>
  <c r="J303" i="13"/>
  <c r="J517" i="13"/>
  <c r="H309" i="13"/>
  <c r="J386" i="13"/>
  <c r="J267" i="13"/>
  <c r="J546" i="13"/>
  <c r="J320" i="13"/>
  <c r="J510" i="13"/>
  <c r="H410" i="13"/>
  <c r="U109" i="11"/>
  <c r="AD109" i="11" s="1"/>
  <c r="H300" i="13"/>
  <c r="J331" i="13"/>
  <c r="J407" i="13"/>
  <c r="J619" i="13"/>
  <c r="J531" i="13"/>
  <c r="J263" i="13"/>
  <c r="J505" i="13"/>
  <c r="J640" i="13"/>
  <c r="J712" i="13"/>
  <c r="X109" i="11"/>
  <c r="AF109" i="11"/>
  <c r="J731" i="13"/>
  <c r="T109" i="11"/>
  <c r="H474" i="13"/>
  <c r="J260" i="13"/>
  <c r="J438" i="13"/>
  <c r="D53" i="3"/>
  <c r="D55" i="2"/>
  <c r="D58" i="3"/>
  <c r="D59" i="3"/>
  <c r="K36" i="6"/>
  <c r="L36" i="6"/>
  <c r="K17" i="6"/>
  <c r="L17" i="6"/>
  <c r="K18" i="6"/>
  <c r="L18" i="6"/>
  <c r="K19" i="6"/>
  <c r="K39" i="6"/>
  <c r="L39" i="6"/>
  <c r="K40" i="6"/>
  <c r="L40" i="6"/>
  <c r="C46" i="2"/>
  <c r="C47" i="2"/>
  <c r="C48" i="2"/>
  <c r="C50" i="2"/>
  <c r="D50" i="2" s="1"/>
  <c r="C51" i="2"/>
  <c r="H367" i="13"/>
  <c r="H568" i="13"/>
  <c r="H405" i="13"/>
  <c r="AA109" i="11"/>
  <c r="AC109" i="11" s="1"/>
  <c r="J691" i="13"/>
  <c r="J262" i="13"/>
  <c r="C23" i="2"/>
  <c r="J341" i="13"/>
  <c r="H559" i="13"/>
  <c r="J363" i="13"/>
  <c r="D54" i="2"/>
  <c r="K33" i="6"/>
  <c r="L33" i="6"/>
  <c r="K35" i="6"/>
  <c r="L37" i="6"/>
  <c r="K37" i="6"/>
  <c r="AA113" i="11"/>
  <c r="AC113" i="11" s="1"/>
  <c r="J358" i="13"/>
  <c r="H499" i="13"/>
  <c r="AA111" i="11"/>
  <c r="AC111" i="11" s="1"/>
  <c r="D61" i="3"/>
  <c r="J279" i="13"/>
  <c r="C33" i="2"/>
  <c r="C36" i="2"/>
  <c r="C38" i="2"/>
  <c r="C40" i="2"/>
  <c r="D40" i="2" s="1"/>
  <c r="C42" i="2"/>
  <c r="D42" i="2" s="1"/>
  <c r="C43" i="2"/>
  <c r="D43" i="2" s="1"/>
  <c r="J282" i="13"/>
  <c r="H538" i="13"/>
  <c r="J534" i="13"/>
  <c r="H420" i="13"/>
  <c r="K32" i="6"/>
  <c r="K34" i="6"/>
  <c r="K38" i="6"/>
  <c r="L38" i="6"/>
  <c r="AA110" i="11"/>
  <c r="AC110" i="11" s="1"/>
  <c r="C34" i="2"/>
  <c r="C35" i="2"/>
  <c r="C37" i="2"/>
  <c r="C39" i="2"/>
  <c r="C41" i="2"/>
  <c r="D41" i="2" s="1"/>
  <c r="C44" i="2"/>
  <c r="J368" i="13"/>
  <c r="C27" i="2"/>
  <c r="C28" i="2"/>
  <c r="C29" i="2"/>
  <c r="C30" i="2"/>
  <c r="C31" i="2"/>
  <c r="C32" i="2"/>
  <c r="C52" i="2"/>
  <c r="C53" i="2"/>
  <c r="D53" i="2" s="1"/>
  <c r="K20" i="6"/>
  <c r="L20" i="6"/>
  <c r="K21" i="6"/>
  <c r="K22" i="6"/>
  <c r="K23" i="6"/>
  <c r="L24" i="6"/>
  <c r="K24" i="6"/>
  <c r="K25" i="6"/>
  <c r="L25" i="6"/>
  <c r="K26" i="6"/>
  <c r="L26" i="6"/>
  <c r="L27" i="6"/>
  <c r="K27" i="6"/>
  <c r="K28" i="6"/>
  <c r="L28" i="6"/>
  <c r="L29" i="6"/>
  <c r="K29" i="6"/>
  <c r="K30" i="6"/>
  <c r="L30" i="6"/>
  <c r="K31" i="6"/>
  <c r="L31" i="6"/>
  <c r="AA117" i="11"/>
  <c r="AC117" i="11" s="1"/>
  <c r="J270" i="13"/>
  <c r="J377" i="13"/>
  <c r="H462" i="13"/>
  <c r="I30" i="3"/>
  <c r="I31" i="3"/>
  <c r="I33" i="3"/>
  <c r="I55" i="3"/>
  <c r="I56" i="3"/>
  <c r="D56" i="3"/>
  <c r="I36" i="3"/>
  <c r="I40" i="3"/>
  <c r="D40" i="3"/>
  <c r="I54" i="3"/>
  <c r="D54" i="3"/>
  <c r="I47" i="3"/>
  <c r="D47" i="3"/>
  <c r="I37" i="3"/>
  <c r="I39" i="3"/>
  <c r="I41" i="3"/>
  <c r="I44" i="3"/>
  <c r="I35" i="3"/>
  <c r="I43" i="3"/>
  <c r="I45" i="3"/>
  <c r="D45" i="3"/>
  <c r="J330" i="13"/>
  <c r="J434" i="13"/>
  <c r="J688" i="13"/>
  <c r="J409" i="13"/>
  <c r="H562" i="13"/>
  <c r="J513" i="13"/>
  <c r="J594" i="13"/>
  <c r="P749" i="13"/>
  <c r="J685" i="13"/>
  <c r="I87" i="11"/>
  <c r="F727" i="13"/>
  <c r="D727" i="13" s="1"/>
  <c r="F734" i="13"/>
  <c r="D734" i="13" s="1"/>
  <c r="I96" i="11"/>
  <c r="S96" i="11" s="1"/>
  <c r="Y96" i="11" s="1"/>
  <c r="Z96" i="11" s="1"/>
  <c r="F736" i="13"/>
  <c r="D736" i="13" s="1"/>
  <c r="J375" i="13"/>
  <c r="J610" i="13"/>
  <c r="F732" i="13"/>
  <c r="D732" i="13" s="1"/>
  <c r="J700" i="13"/>
  <c r="J522" i="13"/>
  <c r="F722" i="13"/>
  <c r="D722" i="13" s="1"/>
  <c r="J728" i="13"/>
  <c r="P720" i="13"/>
  <c r="F743" i="13"/>
  <c r="I84" i="11"/>
  <c r="J84" i="11" s="1"/>
  <c r="K84" i="11" s="1"/>
  <c r="L84" i="11" s="1"/>
  <c r="M84" i="11" s="1"/>
  <c r="N84" i="11" s="1"/>
  <c r="O84" i="11" s="1"/>
  <c r="G19" i="6" s="1"/>
  <c r="F724" i="13"/>
  <c r="I88" i="11"/>
  <c r="S88" i="11" s="1"/>
  <c r="AF88" i="11" s="1"/>
  <c r="F728" i="13"/>
  <c r="D728" i="13" s="1"/>
  <c r="F737" i="13"/>
  <c r="J413" i="13"/>
  <c r="J511" i="13"/>
  <c r="F735" i="13"/>
  <c r="D735" i="13" s="1"/>
  <c r="I102" i="11"/>
  <c r="J102" i="11" s="1"/>
  <c r="K102" i="11" s="1"/>
  <c r="L102" i="11" s="1"/>
  <c r="M102" i="11" s="1"/>
  <c r="N102" i="11" s="1"/>
  <c r="O102" i="11" s="1"/>
  <c r="G36" i="6" s="1"/>
  <c r="F742" i="13"/>
  <c r="D742" i="13" s="1"/>
  <c r="J334" i="13"/>
  <c r="J679" i="13"/>
  <c r="P721" i="13"/>
  <c r="F744" i="13"/>
  <c r="D744" i="13" s="1"/>
  <c r="I86" i="11"/>
  <c r="S86" i="11" s="1"/>
  <c r="L21" i="6" s="1"/>
  <c r="F726" i="13"/>
  <c r="D726" i="13" s="1"/>
  <c r="F731" i="13"/>
  <c r="I93" i="11"/>
  <c r="F733" i="13"/>
  <c r="D733" i="13" s="1"/>
  <c r="H575" i="13"/>
  <c r="J631" i="13"/>
  <c r="P719" i="13"/>
  <c r="J525" i="13"/>
  <c r="I85" i="11"/>
  <c r="S85" i="11" s="1"/>
  <c r="Y85" i="11" s="1"/>
  <c r="Z85" i="11" s="1"/>
  <c r="F725" i="13"/>
  <c r="D725" i="13" s="1"/>
  <c r="F723" i="13"/>
  <c r="D723" i="13" s="1"/>
  <c r="I89" i="11"/>
  <c r="S89" i="11" s="1"/>
  <c r="X89" i="11" s="1"/>
  <c r="F729" i="13"/>
  <c r="D729" i="13" s="1"/>
  <c r="P740" i="13"/>
  <c r="P741" i="13"/>
  <c r="H376" i="13"/>
  <c r="J276" i="13"/>
  <c r="J421" i="13"/>
  <c r="H547" i="13"/>
  <c r="J613" i="13"/>
  <c r="J345" i="13"/>
  <c r="J519" i="13"/>
  <c r="J419" i="13"/>
  <c r="J357" i="13"/>
  <c r="H456" i="13"/>
  <c r="H402" i="13"/>
  <c r="J406" i="13"/>
  <c r="J502" i="13"/>
  <c r="J404" i="13"/>
  <c r="H553" i="13"/>
  <c r="J501" i="13"/>
  <c r="H480" i="13"/>
  <c r="J288" i="13"/>
  <c r="J306" i="13"/>
  <c r="H550" i="13"/>
  <c r="J372" i="13"/>
  <c r="J597" i="13"/>
  <c r="F730" i="13"/>
  <c r="D730" i="13" s="1"/>
  <c r="I51" i="2"/>
  <c r="I50" i="2"/>
  <c r="I53" i="2"/>
  <c r="I36" i="2"/>
  <c r="I48" i="2"/>
  <c r="I33" i="2"/>
  <c r="I47" i="2"/>
  <c r="U118" i="11"/>
  <c r="AD118" i="11" s="1"/>
  <c r="O301" i="13"/>
  <c r="H347" i="13"/>
  <c r="J347" i="13"/>
  <c r="O393" i="13"/>
  <c r="O408" i="13"/>
  <c r="O360" i="13"/>
  <c r="H498" i="13"/>
  <c r="J498" i="13"/>
  <c r="J458" i="13"/>
  <c r="H458" i="13"/>
  <c r="H539" i="13"/>
  <c r="J539" i="13"/>
  <c r="H473" i="13"/>
  <c r="J473" i="13"/>
  <c r="H475" i="13"/>
  <c r="J475" i="13"/>
  <c r="J554" i="13"/>
  <c r="H554" i="13"/>
  <c r="H666" i="13"/>
  <c r="J666" i="13"/>
  <c r="H720" i="13"/>
  <c r="J720" i="13"/>
  <c r="J671" i="13"/>
  <c r="H671" i="13"/>
  <c r="J741" i="13"/>
  <c r="H741" i="13"/>
  <c r="O626" i="13"/>
  <c r="J713" i="13"/>
  <c r="H713" i="13"/>
  <c r="H280" i="13"/>
  <c r="J280" i="13"/>
  <c r="O375" i="13"/>
  <c r="O381" i="13"/>
  <c r="H342" i="13"/>
  <c r="J342" i="13"/>
  <c r="H360" i="13"/>
  <c r="J360" i="13"/>
  <c r="O481" i="13"/>
  <c r="J541" i="13"/>
  <c r="H541" i="13"/>
  <c r="J529" i="13"/>
  <c r="H529" i="13"/>
  <c r="H484" i="13"/>
  <c r="J484" i="13"/>
  <c r="J560" i="13"/>
  <c r="H560" i="13"/>
  <c r="H615" i="13"/>
  <c r="J615" i="13"/>
  <c r="H669" i="13"/>
  <c r="J669" i="13"/>
  <c r="J551" i="13"/>
  <c r="H551" i="13"/>
  <c r="J632" i="13"/>
  <c r="H632" i="13"/>
  <c r="O656" i="13"/>
  <c r="O686" i="13"/>
  <c r="J704" i="13"/>
  <c r="H704" i="13"/>
  <c r="J307" i="13"/>
  <c r="H307" i="13"/>
  <c r="J298" i="13"/>
  <c r="H298" i="13"/>
  <c r="J301" i="13"/>
  <c r="H301" i="13"/>
  <c r="O333" i="13"/>
  <c r="O340" i="13"/>
  <c r="H373" i="13"/>
  <c r="J373" i="13"/>
  <c r="O387" i="13"/>
  <c r="H352" i="13"/>
  <c r="J352" i="13"/>
  <c r="O370" i="13"/>
  <c r="H381" i="13"/>
  <c r="J381" i="13"/>
  <c r="O411" i="13"/>
  <c r="J344" i="13"/>
  <c r="H344" i="13"/>
  <c r="O496" i="13"/>
  <c r="J362" i="13"/>
  <c r="H362" i="13"/>
  <c r="O449" i="13"/>
  <c r="H451" i="13"/>
  <c r="J451" i="13"/>
  <c r="O467" i="13"/>
  <c r="H469" i="13"/>
  <c r="J469" i="13"/>
  <c r="O485" i="13"/>
  <c r="H487" i="13"/>
  <c r="J487" i="13"/>
  <c r="O426" i="13"/>
  <c r="O443" i="13"/>
  <c r="H445" i="13"/>
  <c r="J445" i="13"/>
  <c r="O461" i="13"/>
  <c r="H463" i="13"/>
  <c r="J463" i="13"/>
  <c r="O479" i="13"/>
  <c r="H481" i="13"/>
  <c r="J481" i="13"/>
  <c r="J497" i="13"/>
  <c r="H497" i="13"/>
  <c r="O464" i="13"/>
  <c r="H466" i="13"/>
  <c r="J466" i="13"/>
  <c r="J394" i="13"/>
  <c r="H394" i="13"/>
  <c r="J595" i="13"/>
  <c r="H595" i="13"/>
  <c r="J557" i="13"/>
  <c r="H557" i="13"/>
  <c r="H579" i="13"/>
  <c r="J579" i="13"/>
  <c r="O613" i="13"/>
  <c r="J581" i="13"/>
  <c r="H581" i="13"/>
  <c r="O584" i="13"/>
  <c r="H618" i="13"/>
  <c r="J618" i="13"/>
  <c r="H636" i="13"/>
  <c r="J636" i="13"/>
  <c r="H654" i="13"/>
  <c r="J654" i="13"/>
  <c r="H672" i="13"/>
  <c r="J672" i="13"/>
  <c r="H690" i="13"/>
  <c r="J690" i="13"/>
  <c r="H708" i="13"/>
  <c r="J708" i="13"/>
  <c r="H448" i="13"/>
  <c r="J448" i="13"/>
  <c r="H564" i="13"/>
  <c r="J564" i="13"/>
  <c r="H585" i="13"/>
  <c r="J585" i="13"/>
  <c r="J572" i="13"/>
  <c r="H572" i="13"/>
  <c r="J617" i="13"/>
  <c r="H617" i="13"/>
  <c r="O716" i="13"/>
  <c r="J674" i="13"/>
  <c r="H674" i="13"/>
  <c r="O710" i="13"/>
  <c r="O745" i="13"/>
  <c r="O641" i="13"/>
  <c r="J698" i="13"/>
  <c r="H698" i="13"/>
  <c r="H745" i="13"/>
  <c r="J745" i="13"/>
  <c r="O614" i="13"/>
  <c r="J626" i="13"/>
  <c r="H626" i="13"/>
  <c r="O650" i="13"/>
  <c r="J662" i="13"/>
  <c r="H662" i="13"/>
  <c r="O665" i="13"/>
  <c r="O677" i="13"/>
  <c r="J695" i="13"/>
  <c r="H695" i="13"/>
  <c r="J623" i="13"/>
  <c r="H623" i="13"/>
  <c r="O358" i="13"/>
  <c r="O435" i="13"/>
  <c r="O417" i="13"/>
  <c r="H351" i="13"/>
  <c r="J351" i="13"/>
  <c r="H369" i="13"/>
  <c r="J369" i="13"/>
  <c r="J476" i="13"/>
  <c r="H476" i="13"/>
  <c r="H452" i="13"/>
  <c r="J452" i="13"/>
  <c r="H527" i="13"/>
  <c r="J527" i="13"/>
  <c r="J515" i="13"/>
  <c r="H515" i="13"/>
  <c r="J587" i="13"/>
  <c r="H587" i="13"/>
  <c r="J566" i="13"/>
  <c r="H566" i="13"/>
  <c r="J577" i="13"/>
  <c r="H577" i="13"/>
  <c r="H630" i="13"/>
  <c r="J630" i="13"/>
  <c r="H702" i="13"/>
  <c r="J702" i="13"/>
  <c r="O674" i="13"/>
  <c r="O698" i="13"/>
  <c r="J638" i="13"/>
  <c r="H638" i="13"/>
  <c r="O662" i="13"/>
  <c r="O623" i="13"/>
  <c r="H723" i="13"/>
  <c r="J723" i="13"/>
  <c r="J313" i="13"/>
  <c r="H313" i="13"/>
  <c r="J292" i="13"/>
  <c r="H292" i="13"/>
  <c r="O339" i="13"/>
  <c r="O390" i="13"/>
  <c r="O493" i="13"/>
  <c r="O487" i="13"/>
  <c r="O463" i="13"/>
  <c r="O466" i="13"/>
  <c r="O551" i="13"/>
  <c r="O572" i="13"/>
  <c r="H602" i="13"/>
  <c r="J602" i="13"/>
  <c r="H705" i="13"/>
  <c r="J705" i="13"/>
  <c r="O653" i="13"/>
  <c r="O620" i="13"/>
  <c r="O725" i="13"/>
  <c r="H265" i="13"/>
  <c r="J265" i="13"/>
  <c r="H274" i="13"/>
  <c r="J274" i="13"/>
  <c r="H283" i="13"/>
  <c r="J283" i="13"/>
  <c r="J310" i="13"/>
  <c r="H310" i="13"/>
  <c r="J289" i="13"/>
  <c r="H289" i="13"/>
  <c r="J316" i="13"/>
  <c r="H316" i="13"/>
  <c r="H333" i="13"/>
  <c r="J333" i="13"/>
  <c r="O325" i="13"/>
  <c r="H364" i="13"/>
  <c r="J364" i="13"/>
  <c r="H374" i="13"/>
  <c r="J374" i="13"/>
  <c r="O384" i="13"/>
  <c r="H343" i="13"/>
  <c r="J343" i="13"/>
  <c r="O361" i="13"/>
  <c r="J417" i="13"/>
  <c r="H417" i="13"/>
  <c r="J408" i="13"/>
  <c r="H408" i="13"/>
  <c r="O499" i="13"/>
  <c r="J353" i="13"/>
  <c r="H353" i="13"/>
  <c r="H489" i="13"/>
  <c r="J489" i="13"/>
  <c r="J449" i="13"/>
  <c r="H449" i="13"/>
  <c r="J467" i="13"/>
  <c r="H467" i="13"/>
  <c r="J485" i="13"/>
  <c r="H485" i="13"/>
  <c r="H443" i="13"/>
  <c r="J443" i="13"/>
  <c r="H461" i="13"/>
  <c r="J461" i="13"/>
  <c r="H479" i="13"/>
  <c r="J479" i="13"/>
  <c r="H521" i="13"/>
  <c r="J521" i="13"/>
  <c r="H533" i="13"/>
  <c r="J533" i="13"/>
  <c r="H464" i="13"/>
  <c r="J464" i="13"/>
  <c r="O446" i="13"/>
  <c r="O482" i="13"/>
  <c r="O455" i="13"/>
  <c r="H558" i="13"/>
  <c r="J558" i="13"/>
  <c r="J583" i="13"/>
  <c r="H583" i="13"/>
  <c r="J604" i="13"/>
  <c r="H604" i="13"/>
  <c r="H608" i="13"/>
  <c r="J608" i="13"/>
  <c r="O604" i="13"/>
  <c r="O526" i="13"/>
  <c r="H552" i="13"/>
  <c r="J552" i="13"/>
  <c r="O596" i="13"/>
  <c r="O605" i="13"/>
  <c r="H621" i="13"/>
  <c r="J621" i="13"/>
  <c r="H639" i="13"/>
  <c r="J639" i="13"/>
  <c r="H657" i="13"/>
  <c r="J657" i="13"/>
  <c r="H675" i="13"/>
  <c r="J675" i="13"/>
  <c r="H693" i="13"/>
  <c r="J693" i="13"/>
  <c r="H711" i="13"/>
  <c r="J711" i="13"/>
  <c r="H573" i="13"/>
  <c r="J573" i="13"/>
  <c r="J563" i="13"/>
  <c r="H563" i="13"/>
  <c r="J605" i="13"/>
  <c r="H605" i="13"/>
  <c r="O689" i="13"/>
  <c r="O701" i="13"/>
  <c r="J719" i="13"/>
  <c r="H719" i="13"/>
  <c r="O738" i="13"/>
  <c r="J739" i="13"/>
  <c r="H739" i="13"/>
  <c r="O629" i="13"/>
  <c r="J653" i="13"/>
  <c r="H653" i="13"/>
  <c r="J620" i="13"/>
  <c r="H620" i="13"/>
  <c r="O644" i="13"/>
  <c r="J656" i="13"/>
  <c r="H656" i="13"/>
  <c r="J725" i="13"/>
  <c r="H725" i="13"/>
  <c r="H730" i="13"/>
  <c r="J730" i="13"/>
  <c r="J680" i="13"/>
  <c r="H680" i="13"/>
  <c r="J686" i="13"/>
  <c r="H686" i="13"/>
  <c r="O722" i="13"/>
  <c r="O707" i="13"/>
  <c r="O402" i="13"/>
  <c r="O490" i="13"/>
  <c r="J440" i="13"/>
  <c r="H440" i="13"/>
  <c r="J530" i="13"/>
  <c r="H530" i="13"/>
  <c r="O529" i="13"/>
  <c r="O484" i="13"/>
  <c r="J500" i="13"/>
  <c r="H500" i="13"/>
  <c r="J518" i="13"/>
  <c r="H518" i="13"/>
  <c r="J598" i="13"/>
  <c r="H598" i="13"/>
  <c r="H612" i="13"/>
  <c r="J612" i="13"/>
  <c r="H684" i="13"/>
  <c r="J684" i="13"/>
  <c r="O617" i="13"/>
  <c r="J692" i="13"/>
  <c r="H692" i="13"/>
  <c r="H271" i="13"/>
  <c r="J271" i="13"/>
  <c r="J304" i="13"/>
  <c r="H304" i="13"/>
  <c r="O469" i="13"/>
  <c r="O445" i="13"/>
  <c r="J536" i="13"/>
  <c r="H536" i="13"/>
  <c r="H582" i="13"/>
  <c r="J582" i="13"/>
  <c r="H599" i="13"/>
  <c r="J599" i="13"/>
  <c r="O563" i="13"/>
  <c r="H593" i="13"/>
  <c r="J593" i="13"/>
  <c r="H651" i="13"/>
  <c r="J651" i="13"/>
  <c r="O448" i="13"/>
  <c r="J659" i="13"/>
  <c r="H659" i="13"/>
  <c r="O719" i="13"/>
  <c r="J668" i="13"/>
  <c r="H668" i="13"/>
  <c r="O680" i="13"/>
  <c r="O334" i="13"/>
  <c r="O348" i="13"/>
  <c r="O366" i="13"/>
  <c r="J325" i="13"/>
  <c r="H325" i="13"/>
  <c r="H355" i="13"/>
  <c r="J355" i="13"/>
  <c r="H365" i="13"/>
  <c r="J365" i="13"/>
  <c r="O376" i="13"/>
  <c r="O352" i="13"/>
  <c r="J329" i="13"/>
  <c r="H329" i="13"/>
  <c r="H436" i="13"/>
  <c r="J436" i="13"/>
  <c r="H492" i="13"/>
  <c r="J492" i="13"/>
  <c r="O442" i="13"/>
  <c r="O460" i="13"/>
  <c r="O478" i="13"/>
  <c r="O378" i="13"/>
  <c r="O454" i="13"/>
  <c r="O472" i="13"/>
  <c r="J429" i="13"/>
  <c r="H429" i="13"/>
  <c r="O457" i="13"/>
  <c r="J503" i="13"/>
  <c r="H503" i="13"/>
  <c r="H446" i="13"/>
  <c r="J446" i="13"/>
  <c r="H482" i="13"/>
  <c r="J482" i="13"/>
  <c r="O535" i="13"/>
  <c r="H455" i="13"/>
  <c r="J455" i="13"/>
  <c r="H567" i="13"/>
  <c r="J567" i="13"/>
  <c r="O524" i="13"/>
  <c r="J580" i="13"/>
  <c r="H580" i="13"/>
  <c r="H542" i="13"/>
  <c r="J542" i="13"/>
  <c r="H561" i="13"/>
  <c r="J561" i="13"/>
  <c r="H570" i="13"/>
  <c r="J570" i="13"/>
  <c r="H576" i="13"/>
  <c r="J576" i="13"/>
  <c r="O583" i="13"/>
  <c r="J607" i="13"/>
  <c r="H607" i="13"/>
  <c r="H545" i="13"/>
  <c r="J545" i="13"/>
  <c r="H624" i="13"/>
  <c r="J624" i="13"/>
  <c r="H642" i="13"/>
  <c r="J642" i="13"/>
  <c r="H660" i="13"/>
  <c r="J660" i="13"/>
  <c r="H678" i="13"/>
  <c r="J678" i="13"/>
  <c r="H696" i="13"/>
  <c r="J696" i="13"/>
  <c r="H714" i="13"/>
  <c r="J714" i="13"/>
  <c r="J382" i="13"/>
  <c r="H382" i="13"/>
  <c r="H588" i="13"/>
  <c r="J588" i="13"/>
  <c r="O523" i="13"/>
  <c r="J391" i="13"/>
  <c r="H391" i="13"/>
  <c r="O671" i="13"/>
  <c r="J716" i="13"/>
  <c r="H716" i="13"/>
  <c r="O692" i="13"/>
  <c r="J710" i="13"/>
  <c r="H710" i="13"/>
  <c r="J727" i="13"/>
  <c r="H727" i="13"/>
  <c r="J733" i="13"/>
  <c r="H733" i="13"/>
  <c r="O747" i="13"/>
  <c r="J641" i="13"/>
  <c r="H641" i="13"/>
  <c r="J614" i="13"/>
  <c r="H614" i="13"/>
  <c r="O638" i="13"/>
  <c r="J650" i="13"/>
  <c r="H650" i="13"/>
  <c r="J665" i="13"/>
  <c r="H665" i="13"/>
  <c r="J677" i="13"/>
  <c r="H677" i="13"/>
  <c r="O713" i="13"/>
  <c r="H748" i="13"/>
  <c r="J748" i="13"/>
  <c r="O647" i="13"/>
  <c r="O316" i="13"/>
  <c r="H370" i="13"/>
  <c r="J370" i="13"/>
  <c r="O342" i="13"/>
  <c r="H470" i="13"/>
  <c r="J470" i="13"/>
  <c r="J506" i="13"/>
  <c r="H506" i="13"/>
  <c r="H439" i="13"/>
  <c r="J439" i="13"/>
  <c r="O587" i="13"/>
  <c r="H648" i="13"/>
  <c r="J648" i="13"/>
  <c r="O695" i="13"/>
  <c r="J647" i="13"/>
  <c r="H647" i="13"/>
  <c r="O357" i="13"/>
  <c r="O349" i="13"/>
  <c r="H361" i="13"/>
  <c r="J361" i="13"/>
  <c r="O451" i="13"/>
  <c r="J584" i="13"/>
  <c r="H584" i="13"/>
  <c r="O580" i="13"/>
  <c r="H633" i="13"/>
  <c r="J633" i="13"/>
  <c r="H687" i="13"/>
  <c r="J687" i="13"/>
  <c r="H555" i="13"/>
  <c r="J555" i="13"/>
  <c r="J596" i="13"/>
  <c r="H596" i="13"/>
  <c r="J683" i="13"/>
  <c r="H683" i="13"/>
  <c r="O729" i="13"/>
  <c r="J635" i="13"/>
  <c r="H635" i="13"/>
  <c r="H268" i="13"/>
  <c r="J268" i="13"/>
  <c r="H277" i="13"/>
  <c r="J277" i="13"/>
  <c r="H286" i="13"/>
  <c r="J286" i="13"/>
  <c r="J295" i="13"/>
  <c r="H295" i="13"/>
  <c r="O298" i="13"/>
  <c r="O336" i="13"/>
  <c r="H346" i="13"/>
  <c r="J346" i="13"/>
  <c r="H356" i="13"/>
  <c r="J356" i="13"/>
  <c r="O367" i="13"/>
  <c r="O396" i="13"/>
  <c r="O343" i="13"/>
  <c r="O351" i="13"/>
  <c r="J388" i="13"/>
  <c r="H388" i="13"/>
  <c r="O369" i="13"/>
  <c r="H495" i="13"/>
  <c r="J495" i="13"/>
  <c r="O440" i="13"/>
  <c r="H442" i="13"/>
  <c r="J442" i="13"/>
  <c r="O458" i="13"/>
  <c r="H460" i="13"/>
  <c r="J460" i="13"/>
  <c r="O476" i="13"/>
  <c r="H478" i="13"/>
  <c r="J478" i="13"/>
  <c r="J491" i="13"/>
  <c r="H491" i="13"/>
  <c r="H378" i="13"/>
  <c r="J378" i="13"/>
  <c r="J371" i="13"/>
  <c r="H371" i="13"/>
  <c r="J426" i="13"/>
  <c r="H426" i="13"/>
  <c r="O452" i="13"/>
  <c r="H454" i="13"/>
  <c r="J454" i="13"/>
  <c r="O470" i="13"/>
  <c r="H472" i="13"/>
  <c r="J472" i="13"/>
  <c r="J488" i="13"/>
  <c r="H488" i="13"/>
  <c r="H457" i="13"/>
  <c r="J457" i="13"/>
  <c r="O473" i="13"/>
  <c r="O439" i="13"/>
  <c r="O475" i="13"/>
  <c r="J494" i="13"/>
  <c r="H494" i="13"/>
  <c r="J535" i="13"/>
  <c r="H535" i="13"/>
  <c r="J524" i="13"/>
  <c r="H524" i="13"/>
  <c r="O610" i="13"/>
  <c r="H549" i="13"/>
  <c r="J549" i="13"/>
  <c r="O595" i="13"/>
  <c r="J611" i="13"/>
  <c r="H611" i="13"/>
  <c r="J569" i="13"/>
  <c r="H569" i="13"/>
  <c r="J578" i="13"/>
  <c r="H578" i="13"/>
  <c r="H627" i="13"/>
  <c r="J627" i="13"/>
  <c r="H645" i="13"/>
  <c r="J645" i="13"/>
  <c r="H663" i="13"/>
  <c r="J663" i="13"/>
  <c r="H681" i="13"/>
  <c r="J681" i="13"/>
  <c r="H699" i="13"/>
  <c r="J699" i="13"/>
  <c r="H717" i="13"/>
  <c r="J717" i="13"/>
  <c r="O611" i="13"/>
  <c r="J509" i="13"/>
  <c r="H509" i="13"/>
  <c r="J523" i="13"/>
  <c r="H523" i="13"/>
  <c r="J512" i="13"/>
  <c r="H512" i="13"/>
  <c r="J726" i="13"/>
  <c r="H726" i="13"/>
  <c r="O659" i="13"/>
  <c r="J689" i="13"/>
  <c r="H689" i="13"/>
  <c r="O683" i="13"/>
  <c r="J701" i="13"/>
  <c r="H701" i="13"/>
  <c r="J742" i="13"/>
  <c r="H742" i="13"/>
  <c r="J629" i="13"/>
  <c r="H629" i="13"/>
  <c r="H736" i="13"/>
  <c r="J736" i="13"/>
  <c r="O632" i="13"/>
  <c r="J644" i="13"/>
  <c r="H644" i="13"/>
  <c r="O668" i="13"/>
  <c r="O704" i="13"/>
  <c r="J722" i="13"/>
  <c r="H722" i="13"/>
  <c r="O635" i="13"/>
  <c r="J707" i="13"/>
  <c r="H707" i="13"/>
  <c r="J264" i="13"/>
  <c r="H264" i="13"/>
  <c r="X118" i="11"/>
  <c r="T118" i="11"/>
  <c r="Y118" i="11"/>
  <c r="Z118" i="11" s="1"/>
  <c r="AF113" i="11"/>
  <c r="T113" i="11"/>
  <c r="X117" i="11"/>
  <c r="U113" i="11"/>
  <c r="AD113" i="11" s="1"/>
  <c r="X113" i="11"/>
  <c r="AF117" i="11"/>
  <c r="T117" i="11"/>
  <c r="U117" i="11"/>
  <c r="AD117" i="11" s="1"/>
  <c r="I52" i="2"/>
  <c r="I57" i="3"/>
  <c r="J55" i="3"/>
  <c r="J52" i="2"/>
  <c r="J57" i="3"/>
  <c r="J53" i="2"/>
  <c r="I105" i="11"/>
  <c r="S105" i="11" s="1"/>
  <c r="AF105" i="11" s="1"/>
  <c r="I99" i="11"/>
  <c r="J99" i="11" s="1"/>
  <c r="K99" i="11" s="1"/>
  <c r="L99" i="11" s="1"/>
  <c r="M99" i="11" s="1"/>
  <c r="N99" i="11" s="1"/>
  <c r="O99" i="11" s="1"/>
  <c r="G34" i="6" s="1"/>
  <c r="I100" i="11"/>
  <c r="S100" i="11" s="1"/>
  <c r="X100" i="11" s="1"/>
  <c r="I44" i="2"/>
  <c r="I37" i="2"/>
  <c r="I35" i="2"/>
  <c r="I34" i="2"/>
  <c r="X107" i="11"/>
  <c r="T107" i="11"/>
  <c r="I46" i="2"/>
  <c r="U107" i="11"/>
  <c r="AD107" i="11" s="1"/>
  <c r="I38" i="2"/>
  <c r="I39" i="2"/>
  <c r="I41" i="2"/>
  <c r="I43" i="2"/>
  <c r="I98" i="11"/>
  <c r="S98" i="11" s="1"/>
  <c r="X98" i="11" s="1"/>
  <c r="T33" i="6" s="1"/>
  <c r="S103" i="11"/>
  <c r="AF103" i="11" s="1"/>
  <c r="I27" i="2"/>
  <c r="J104" i="11"/>
  <c r="K104" i="11" s="1"/>
  <c r="L104" i="11" s="1"/>
  <c r="M104" i="11" s="1"/>
  <c r="N104" i="11" s="1"/>
  <c r="O104" i="11" s="1"/>
  <c r="G38" i="6" s="1"/>
  <c r="C68" i="3"/>
  <c r="C52" i="3"/>
  <c r="J52" i="3"/>
  <c r="J49" i="2"/>
  <c r="J50" i="2"/>
  <c r="J53" i="3"/>
  <c r="J54" i="3"/>
  <c r="J51" i="2"/>
  <c r="J39" i="2"/>
  <c r="D64" i="2"/>
  <c r="J35" i="2"/>
  <c r="I49" i="2"/>
  <c r="J32" i="2"/>
  <c r="J42" i="2"/>
  <c r="I53" i="3"/>
  <c r="J45" i="3"/>
  <c r="J40" i="3"/>
  <c r="I64" i="2"/>
  <c r="J44" i="2"/>
  <c r="J47" i="2"/>
  <c r="J50" i="3"/>
  <c r="J36" i="2"/>
  <c r="J40" i="2"/>
  <c r="J46" i="2"/>
  <c r="J68" i="3"/>
  <c r="J64" i="2"/>
  <c r="J43" i="3"/>
  <c r="I49" i="3"/>
  <c r="I50" i="3"/>
  <c r="J48" i="2"/>
  <c r="J51" i="3"/>
  <c r="I42" i="2"/>
  <c r="I51" i="3"/>
  <c r="I40" i="2"/>
  <c r="I29" i="2"/>
  <c r="I32" i="2"/>
  <c r="I31" i="2"/>
  <c r="J101" i="11"/>
  <c r="K101" i="11" s="1"/>
  <c r="L101" i="11" s="1"/>
  <c r="M101" i="11" s="1"/>
  <c r="N101" i="11" s="1"/>
  <c r="O101" i="11" s="1"/>
  <c r="J85" i="11"/>
  <c r="K85" i="11" s="1"/>
  <c r="L85" i="11" s="1"/>
  <c r="M85" i="11" s="1"/>
  <c r="N85" i="11" s="1"/>
  <c r="O85" i="11" s="1"/>
  <c r="G20" i="6" s="1"/>
  <c r="S95" i="11"/>
  <c r="X95" i="11" s="1"/>
  <c r="S97" i="11"/>
  <c r="AF97" i="11" s="1"/>
  <c r="I34" i="3"/>
  <c r="I46" i="3"/>
  <c r="I42" i="3"/>
  <c r="I38" i="3"/>
  <c r="J88" i="11"/>
  <c r="K88" i="11" s="1"/>
  <c r="L88" i="11" s="1"/>
  <c r="M88" i="11" s="1"/>
  <c r="N88" i="11" s="1"/>
  <c r="O88" i="11" s="1"/>
  <c r="G23" i="6" s="1"/>
  <c r="J91" i="11"/>
  <c r="K91" i="11" s="1"/>
  <c r="L91" i="11" s="1"/>
  <c r="M91" i="11" s="1"/>
  <c r="N91" i="11" s="1"/>
  <c r="O91" i="11" s="1"/>
  <c r="G26" i="6" s="1"/>
  <c r="J94" i="11"/>
  <c r="K94" i="11" s="1"/>
  <c r="L94" i="11" s="1"/>
  <c r="M94" i="11" s="1"/>
  <c r="N94" i="11" s="1"/>
  <c r="O94" i="11" s="1"/>
  <c r="D44" i="3" s="1"/>
  <c r="J29" i="3"/>
  <c r="I28" i="2"/>
  <c r="I30" i="2"/>
  <c r="J31" i="2"/>
  <c r="J28" i="2"/>
  <c r="U101" i="11"/>
  <c r="AD101" i="11" s="1"/>
  <c r="X101" i="11"/>
  <c r="Y101" i="11"/>
  <c r="Z101" i="11" s="1"/>
  <c r="AA101" i="11" s="1"/>
  <c r="T101" i="11"/>
  <c r="S93" i="11"/>
  <c r="X93" i="11" s="1"/>
  <c r="T28" i="6" s="1"/>
  <c r="J93" i="11"/>
  <c r="K93" i="11" s="1"/>
  <c r="L93" i="11" s="1"/>
  <c r="M93" i="11" s="1"/>
  <c r="N93" i="11" s="1"/>
  <c r="O93" i="11" s="1"/>
  <c r="D43" i="3" s="1"/>
  <c r="S87" i="11"/>
  <c r="X87" i="11" s="1"/>
  <c r="J87" i="11"/>
  <c r="K87" i="11" s="1"/>
  <c r="L87" i="11" s="1"/>
  <c r="M87" i="11" s="1"/>
  <c r="N87" i="11" s="1"/>
  <c r="O87" i="11" s="1"/>
  <c r="G22" i="6" s="1"/>
  <c r="J89" i="11"/>
  <c r="K89" i="11" s="1"/>
  <c r="L89" i="11" s="1"/>
  <c r="M89" i="11" s="1"/>
  <c r="N89" i="11" s="1"/>
  <c r="O89" i="11" s="1"/>
  <c r="G24" i="6" s="1"/>
  <c r="AF92" i="11"/>
  <c r="U92" i="11"/>
  <c r="AD92" i="11" s="1"/>
  <c r="AF90" i="11"/>
  <c r="U90" i="11"/>
  <c r="AD90" i="11" s="1"/>
  <c r="J86" i="11"/>
  <c r="K86" i="11" s="1"/>
  <c r="L86" i="11" s="1"/>
  <c r="M86" i="11" s="1"/>
  <c r="N86" i="11" s="1"/>
  <c r="O86" i="11" s="1"/>
  <c r="G21" i="6" s="1"/>
  <c r="J90" i="11"/>
  <c r="K90" i="11" s="1"/>
  <c r="L90" i="11" s="1"/>
  <c r="M90" i="11" s="1"/>
  <c r="N90" i="11" s="1"/>
  <c r="O90" i="11" s="1"/>
  <c r="G25" i="6" s="1"/>
  <c r="J92" i="11"/>
  <c r="K92" i="11" s="1"/>
  <c r="L92" i="11" s="1"/>
  <c r="M92" i="11" s="1"/>
  <c r="N92" i="11" s="1"/>
  <c r="O92" i="11" s="1"/>
  <c r="D42" i="3" s="1"/>
  <c r="J96" i="11"/>
  <c r="K96" i="11" s="1"/>
  <c r="L96" i="11" s="1"/>
  <c r="M96" i="11" s="1"/>
  <c r="N96" i="11" s="1"/>
  <c r="O96" i="11" s="1"/>
  <c r="G31" i="6" s="1"/>
  <c r="U94" i="11"/>
  <c r="AD94" i="11" s="1"/>
  <c r="Y91" i="11"/>
  <c r="Z91" i="11" s="1"/>
  <c r="X90" i="11"/>
  <c r="X92" i="11"/>
  <c r="T27" i="6" s="1"/>
  <c r="X94" i="11"/>
  <c r="Y90" i="11"/>
  <c r="Z90" i="11" s="1"/>
  <c r="Y92" i="11"/>
  <c r="Y94" i="11"/>
  <c r="Z94" i="11" s="1"/>
  <c r="T91" i="11"/>
  <c r="AF91" i="11"/>
  <c r="U91" i="11"/>
  <c r="AD91" i="11" s="1"/>
  <c r="T90" i="11"/>
  <c r="T92" i="11"/>
  <c r="T94" i="11"/>
  <c r="S84" i="11"/>
  <c r="AF84" i="11" s="1"/>
  <c r="J30" i="2"/>
  <c r="I32" i="3"/>
  <c r="J83" i="11"/>
  <c r="K83" i="11" s="1"/>
  <c r="L83" i="11" s="1"/>
  <c r="M83" i="11" s="1"/>
  <c r="N83" i="11" s="1"/>
  <c r="O83" i="11" s="1"/>
  <c r="G18" i="6" s="1"/>
  <c r="J29" i="2"/>
  <c r="J82" i="11"/>
  <c r="K82" i="11" s="1"/>
  <c r="L82" i="11" s="1"/>
  <c r="M82" i="11" s="1"/>
  <c r="N82" i="11" s="1"/>
  <c r="O82" i="11" s="1"/>
  <c r="G17" i="6" s="1"/>
  <c r="I29" i="3"/>
  <c r="J81" i="11"/>
  <c r="K81" i="11" s="1"/>
  <c r="L81" i="11" s="1"/>
  <c r="M81" i="11" s="1"/>
  <c r="N81" i="11" s="1"/>
  <c r="O81" i="11" s="1"/>
  <c r="J80" i="11"/>
  <c r="K80" i="11" s="1"/>
  <c r="L80" i="11" s="1"/>
  <c r="M80" i="11" s="1"/>
  <c r="N80" i="11" s="1"/>
  <c r="O80" i="11" s="1"/>
  <c r="J79" i="11"/>
  <c r="K79" i="11" s="1"/>
  <c r="L79" i="11" s="1"/>
  <c r="M79" i="11" s="1"/>
  <c r="N79" i="11" s="1"/>
  <c r="O79" i="11" s="1"/>
  <c r="Y79" i="11"/>
  <c r="Z79" i="11" s="1"/>
  <c r="AA79" i="11" s="1"/>
  <c r="Y81" i="11"/>
  <c r="Y83" i="11"/>
  <c r="Y104" i="11"/>
  <c r="Z104" i="11" s="1"/>
  <c r="X80" i="11"/>
  <c r="X82" i="11"/>
  <c r="T17" i="6" s="1"/>
  <c r="U80" i="11"/>
  <c r="AD80" i="11" s="1"/>
  <c r="U82" i="11"/>
  <c r="AD82" i="11" s="1"/>
  <c r="AD17" i="6" s="1"/>
  <c r="Y80" i="11"/>
  <c r="Y82" i="11"/>
  <c r="T79" i="11"/>
  <c r="AF79" i="11"/>
  <c r="T81" i="11"/>
  <c r="AF81" i="11"/>
  <c r="T83" i="11"/>
  <c r="AF83" i="11"/>
  <c r="T104" i="11"/>
  <c r="AF104" i="11"/>
  <c r="U79" i="11"/>
  <c r="AD79" i="11" s="1"/>
  <c r="U81" i="11"/>
  <c r="AD81" i="11" s="1"/>
  <c r="U83" i="11"/>
  <c r="AD83" i="11" s="1"/>
  <c r="AD18" i="6" s="1"/>
  <c r="U104" i="11"/>
  <c r="AD104" i="11" s="1"/>
  <c r="T80" i="11"/>
  <c r="T82" i="11"/>
  <c r="B20" i="3"/>
  <c r="B13" i="3"/>
  <c r="B19" i="3"/>
  <c r="B18" i="3"/>
  <c r="S142" i="12"/>
  <c r="R142" i="12"/>
  <c r="G142" i="12"/>
  <c r="F142" i="12"/>
  <c r="E142" i="12"/>
  <c r="D142" i="12"/>
  <c r="C142" i="12"/>
  <c r="B142" i="12"/>
  <c r="S78" i="12"/>
  <c r="R78" i="12"/>
  <c r="C26" i="2" s="1"/>
  <c r="G78" i="12"/>
  <c r="F78" i="12"/>
  <c r="E78" i="12"/>
  <c r="D78" i="12"/>
  <c r="C78" i="12"/>
  <c r="B78" i="12"/>
  <c r="S77" i="12"/>
  <c r="R77" i="12"/>
  <c r="G77" i="12"/>
  <c r="F77" i="12"/>
  <c r="C27" i="3" s="1"/>
  <c r="E77" i="12"/>
  <c r="D77" i="12"/>
  <c r="C77" i="12"/>
  <c r="B77" i="12"/>
  <c r="S76" i="12"/>
  <c r="R76" i="12"/>
  <c r="G76" i="12"/>
  <c r="F76" i="12"/>
  <c r="C26" i="3" s="1"/>
  <c r="E76" i="12"/>
  <c r="D76" i="12"/>
  <c r="C76" i="12"/>
  <c r="B76" i="12"/>
  <c r="S75" i="12"/>
  <c r="R75" i="12"/>
  <c r="G75" i="12"/>
  <c r="J25" i="3" s="1"/>
  <c r="F75" i="12"/>
  <c r="C25" i="3" s="1"/>
  <c r="E75" i="12"/>
  <c r="D75" i="12"/>
  <c r="C75" i="12"/>
  <c r="B75" i="12"/>
  <c r="S74" i="12"/>
  <c r="G74" i="12"/>
  <c r="F74" i="12"/>
  <c r="C24" i="3" s="1"/>
  <c r="E74" i="12"/>
  <c r="D74" i="12"/>
  <c r="C74" i="12"/>
  <c r="B74" i="12"/>
  <c r="S73" i="12"/>
  <c r="R73" i="12"/>
  <c r="G73" i="12"/>
  <c r="J23" i="3" s="1"/>
  <c r="F73" i="12"/>
  <c r="C23" i="3" s="1"/>
  <c r="E73" i="12"/>
  <c r="D73" i="12"/>
  <c r="C73" i="12"/>
  <c r="B73" i="12"/>
  <c r="S72" i="12"/>
  <c r="R72" i="12"/>
  <c r="G72" i="12"/>
  <c r="J22" i="3" s="1"/>
  <c r="F72" i="12"/>
  <c r="C22" i="3" s="1"/>
  <c r="E72" i="12"/>
  <c r="D72" i="12"/>
  <c r="C72" i="12"/>
  <c r="B72" i="12"/>
  <c r="S71" i="12"/>
  <c r="R71" i="12"/>
  <c r="C20" i="2" s="1"/>
  <c r="G71" i="12"/>
  <c r="F71" i="12"/>
  <c r="E71" i="12"/>
  <c r="D71" i="12"/>
  <c r="C71" i="12"/>
  <c r="B71" i="12"/>
  <c r="S70" i="12"/>
  <c r="R70" i="12"/>
  <c r="G70" i="12"/>
  <c r="F70" i="12"/>
  <c r="E70" i="12"/>
  <c r="D70" i="12"/>
  <c r="C70" i="12"/>
  <c r="B70" i="12"/>
  <c r="S69" i="12"/>
  <c r="R69" i="12"/>
  <c r="G69" i="12"/>
  <c r="J20" i="3" s="1"/>
  <c r="F69" i="12"/>
  <c r="C20" i="3" s="1"/>
  <c r="E69" i="12"/>
  <c r="D69" i="12"/>
  <c r="C69" i="12"/>
  <c r="B69" i="12"/>
  <c r="S68" i="12"/>
  <c r="R68" i="12"/>
  <c r="G68" i="12"/>
  <c r="J18" i="2" s="1"/>
  <c r="F68" i="12"/>
  <c r="C19" i="3" s="1"/>
  <c r="E68" i="12"/>
  <c r="D68" i="12"/>
  <c r="C68" i="12"/>
  <c r="B68" i="12"/>
  <c r="Q77" i="11"/>
  <c r="P77" i="11"/>
  <c r="I77" i="11"/>
  <c r="S77" i="11" s="1"/>
  <c r="AF77" i="11" s="1"/>
  <c r="H77" i="11"/>
  <c r="F717" i="13" s="1"/>
  <c r="Q76" i="11"/>
  <c r="P76" i="11"/>
  <c r="H76" i="11"/>
  <c r="F716" i="13" s="1"/>
  <c r="D716" i="13" s="1"/>
  <c r="Q75" i="11"/>
  <c r="P75" i="11"/>
  <c r="H75" i="11"/>
  <c r="Q74" i="11"/>
  <c r="P74" i="11"/>
  <c r="H74" i="11"/>
  <c r="F714" i="13" s="1"/>
  <c r="D714" i="13" s="1"/>
  <c r="Q73" i="11"/>
  <c r="P73" i="11"/>
  <c r="H73" i="11"/>
  <c r="F713" i="13" s="1"/>
  <c r="D713" i="13" s="1"/>
  <c r="Q72" i="11"/>
  <c r="P72" i="11"/>
  <c r="H72" i="11"/>
  <c r="F712" i="13" s="1"/>
  <c r="Q71" i="11"/>
  <c r="P71" i="11"/>
  <c r="I71" i="11"/>
  <c r="S71" i="11" s="1"/>
  <c r="AF71" i="11" s="1"/>
  <c r="H71" i="11"/>
  <c r="F711" i="13" s="1"/>
  <c r="D711" i="13" s="1"/>
  <c r="Q70" i="11"/>
  <c r="P70" i="11"/>
  <c r="H70" i="11"/>
  <c r="Q69" i="11"/>
  <c r="P69" i="11"/>
  <c r="I69" i="11"/>
  <c r="J69" i="11" s="1"/>
  <c r="K69" i="11" s="1"/>
  <c r="L69" i="11" s="1"/>
  <c r="M69" i="11" s="1"/>
  <c r="N69" i="11" s="1"/>
  <c r="O69" i="11" s="1"/>
  <c r="H69" i="11"/>
  <c r="F709" i="13" s="1"/>
  <c r="Q68" i="11"/>
  <c r="P68" i="11"/>
  <c r="I68" i="11"/>
  <c r="S68" i="11" s="1"/>
  <c r="Y68" i="11" s="1"/>
  <c r="H68" i="11"/>
  <c r="AB110" i="11" l="1"/>
  <c r="D56" i="2"/>
  <c r="W82" i="11"/>
  <c r="R17" i="6" s="1"/>
  <c r="W92" i="11"/>
  <c r="R27" i="6" s="1"/>
  <c r="W110" i="11"/>
  <c r="V110" i="12" s="1"/>
  <c r="Y106" i="11"/>
  <c r="Z106" i="11" s="1"/>
  <c r="AB111" i="11"/>
  <c r="W111" i="11"/>
  <c r="V111" i="12" s="1"/>
  <c r="AG44" i="6" s="1"/>
  <c r="AS44" i="6" s="1"/>
  <c r="AB104" i="11"/>
  <c r="W104" i="11"/>
  <c r="V104" i="12" s="1"/>
  <c r="AG38" i="6" s="1"/>
  <c r="AS38" i="6" s="1"/>
  <c r="AB109" i="11"/>
  <c r="W109" i="11"/>
  <c r="V109" i="12" s="1"/>
  <c r="AG42" i="6" s="1"/>
  <c r="AS42" i="6" s="1"/>
  <c r="AB118" i="11"/>
  <c r="W118" i="11"/>
  <c r="V118" i="12" s="1"/>
  <c r="AG51" i="6" s="1"/>
  <c r="AS51" i="6" s="1"/>
  <c r="AB101" i="11"/>
  <c r="W101" i="11"/>
  <c r="AB80" i="11"/>
  <c r="W80" i="11"/>
  <c r="AB113" i="11"/>
  <c r="W113" i="11"/>
  <c r="V113" i="12" s="1"/>
  <c r="AG46" i="6" s="1"/>
  <c r="AS46" i="6" s="1"/>
  <c r="AB117" i="11"/>
  <c r="W117" i="11"/>
  <c r="V117" i="12" s="1"/>
  <c r="AG50" i="6" s="1"/>
  <c r="AS50" i="6" s="1"/>
  <c r="AB120" i="11"/>
  <c r="W120" i="11"/>
  <c r="V120" i="12" s="1"/>
  <c r="W83" i="11"/>
  <c r="R18" i="6" s="1"/>
  <c r="AB81" i="11"/>
  <c r="W81" i="11"/>
  <c r="AB90" i="11"/>
  <c r="W90" i="11"/>
  <c r="V90" i="12" s="1"/>
  <c r="AG25" i="6" s="1"/>
  <c r="AS25" i="6" s="1"/>
  <c r="AB79" i="11"/>
  <c r="W79" i="11"/>
  <c r="V79" i="12" s="1"/>
  <c r="AB91" i="11"/>
  <c r="W91" i="11"/>
  <c r="V91" i="12" s="1"/>
  <c r="AG26" i="6" s="1"/>
  <c r="AS26" i="6" s="1"/>
  <c r="AB112" i="11"/>
  <c r="W112" i="11"/>
  <c r="V112" i="12" s="1"/>
  <c r="AG45" i="6" s="1"/>
  <c r="AS45" i="6" s="1"/>
  <c r="AB108" i="11"/>
  <c r="W108" i="11"/>
  <c r="V108" i="12" s="1"/>
  <c r="AG41" i="6" s="1"/>
  <c r="AS41" i="6" s="1"/>
  <c r="AB94" i="11"/>
  <c r="W94" i="11"/>
  <c r="V94" i="12" s="1"/>
  <c r="AG29" i="6" s="1"/>
  <c r="AS29" i="6" s="1"/>
  <c r="AB107" i="11"/>
  <c r="W107" i="11"/>
  <c r="V107" i="12" s="1"/>
  <c r="AG40" i="6" s="1"/>
  <c r="AS40" i="6" s="1"/>
  <c r="AB116" i="11"/>
  <c r="W116" i="11"/>
  <c r="V116" i="12" s="1"/>
  <c r="AG49" i="6" s="1"/>
  <c r="AS49" i="6" s="1"/>
  <c r="P739" i="13"/>
  <c r="P728" i="13"/>
  <c r="D57" i="2"/>
  <c r="U115" i="11"/>
  <c r="AD115" i="11" s="1"/>
  <c r="T115" i="11"/>
  <c r="D58" i="2"/>
  <c r="X115" i="11"/>
  <c r="AF115" i="11"/>
  <c r="X106" i="11"/>
  <c r="U106" i="11"/>
  <c r="AD106" i="11" s="1"/>
  <c r="T106" i="11"/>
  <c r="X96" i="11"/>
  <c r="D38" i="2"/>
  <c r="P38" i="2" s="1"/>
  <c r="AA108" i="11"/>
  <c r="AC108" i="11" s="1"/>
  <c r="AE108" i="11" s="1"/>
  <c r="G28" i="6"/>
  <c r="P745" i="13"/>
  <c r="P732" i="13"/>
  <c r="G27" i="6"/>
  <c r="G29" i="6"/>
  <c r="I12" i="6"/>
  <c r="P738" i="13"/>
  <c r="X114" i="11"/>
  <c r="U114" i="11"/>
  <c r="AD114" i="11" s="1"/>
  <c r="T114" i="11"/>
  <c r="Y114" i="11"/>
  <c r="Z114" i="11" s="1"/>
  <c r="AA114" i="11" s="1"/>
  <c r="AC114" i="11" s="1"/>
  <c r="P727" i="13"/>
  <c r="P735" i="13"/>
  <c r="E16" i="6"/>
  <c r="D16" i="6"/>
  <c r="P722" i="13"/>
  <c r="X86" i="11"/>
  <c r="Y86" i="11"/>
  <c r="Z86" i="11" s="1"/>
  <c r="U86" i="11"/>
  <c r="AD86" i="11" s="1"/>
  <c r="T86" i="11"/>
  <c r="U85" i="11"/>
  <c r="AD85" i="11" s="1"/>
  <c r="AF85" i="11"/>
  <c r="T85" i="11"/>
  <c r="X85" i="11"/>
  <c r="D41" i="3"/>
  <c r="D36" i="2"/>
  <c r="D39" i="3"/>
  <c r="D49" i="2"/>
  <c r="U88" i="11"/>
  <c r="AD88" i="11" s="1"/>
  <c r="D33" i="3"/>
  <c r="D29" i="2"/>
  <c r="D35" i="2"/>
  <c r="D51" i="2"/>
  <c r="D28" i="2"/>
  <c r="D34" i="2"/>
  <c r="AF86" i="11"/>
  <c r="D37" i="3"/>
  <c r="D36" i="3"/>
  <c r="D27" i="2"/>
  <c r="D35" i="3"/>
  <c r="D33" i="2"/>
  <c r="D32" i="2"/>
  <c r="D44" i="2"/>
  <c r="D47" i="2"/>
  <c r="L19" i="6"/>
  <c r="D31" i="2"/>
  <c r="D55" i="3"/>
  <c r="D39" i="2"/>
  <c r="D37" i="2"/>
  <c r="D32" i="3"/>
  <c r="AA96" i="11"/>
  <c r="AC96" i="11" s="1"/>
  <c r="D50" i="3"/>
  <c r="AE116" i="11"/>
  <c r="AE113" i="11"/>
  <c r="D34" i="3"/>
  <c r="AE109" i="11"/>
  <c r="AB82" i="11"/>
  <c r="Z17" i="6" s="1"/>
  <c r="P17" i="6"/>
  <c r="AB92" i="11"/>
  <c r="P27" i="6"/>
  <c r="C24" i="2"/>
  <c r="C25" i="2"/>
  <c r="U89" i="11"/>
  <c r="AD89" i="11" s="1"/>
  <c r="AE117" i="11"/>
  <c r="AA85" i="11"/>
  <c r="AC85" i="11" s="1"/>
  <c r="L35" i="6"/>
  <c r="Z68" i="11"/>
  <c r="V16" i="6" s="1"/>
  <c r="K16" i="6"/>
  <c r="L16" i="6"/>
  <c r="X88" i="11"/>
  <c r="U96" i="11"/>
  <c r="AD96" i="11" s="1"/>
  <c r="AC101" i="11"/>
  <c r="AE101" i="11" s="1"/>
  <c r="M741" i="13" s="1"/>
  <c r="Q741" i="13" s="1"/>
  <c r="D52" i="3"/>
  <c r="AA118" i="11"/>
  <c r="AC118" i="11" s="1"/>
  <c r="D30" i="3"/>
  <c r="AE107" i="11"/>
  <c r="L32" i="6"/>
  <c r="D29" i="3"/>
  <c r="AE112" i="11"/>
  <c r="AA104" i="11"/>
  <c r="AC104" i="11" s="1"/>
  <c r="AA90" i="11"/>
  <c r="AC90" i="11" s="1"/>
  <c r="AF96" i="11"/>
  <c r="S102" i="11"/>
  <c r="X102" i="11" s="1"/>
  <c r="L23" i="6"/>
  <c r="AE110" i="11"/>
  <c r="AE111" i="11"/>
  <c r="T96" i="11"/>
  <c r="C18" i="2"/>
  <c r="D18" i="2" s="1"/>
  <c r="C19" i="2"/>
  <c r="D19" i="2" s="1"/>
  <c r="C21" i="2"/>
  <c r="C22" i="2"/>
  <c r="AB83" i="11"/>
  <c r="Z18" i="6" s="1"/>
  <c r="P18" i="6"/>
  <c r="AA94" i="11"/>
  <c r="AC94" i="11" s="1"/>
  <c r="T88" i="11"/>
  <c r="AF89" i="11"/>
  <c r="Y88" i="11"/>
  <c r="Z88" i="11" s="1"/>
  <c r="AA91" i="11"/>
  <c r="AC91" i="11" s="1"/>
  <c r="D30" i="2"/>
  <c r="D38" i="3"/>
  <c r="D31" i="3"/>
  <c r="AC79" i="11"/>
  <c r="AE79" i="11" s="1"/>
  <c r="M719" i="13" s="1"/>
  <c r="Q719" i="13" s="1"/>
  <c r="T89" i="11"/>
  <c r="Y89" i="11"/>
  <c r="Z89" i="11" s="1"/>
  <c r="L22" i="6"/>
  <c r="D46" i="3"/>
  <c r="AE115" i="11"/>
  <c r="I68" i="3"/>
  <c r="D68" i="3"/>
  <c r="I25" i="3"/>
  <c r="D25" i="3"/>
  <c r="I27" i="3"/>
  <c r="I19" i="3"/>
  <c r="I20" i="3"/>
  <c r="D20" i="3"/>
  <c r="I22" i="3"/>
  <c r="I23" i="3"/>
  <c r="I24" i="3"/>
  <c r="P736" i="13"/>
  <c r="P729" i="13"/>
  <c r="P742" i="13"/>
  <c r="F708" i="13"/>
  <c r="I70" i="11"/>
  <c r="S70" i="11" s="1"/>
  <c r="Y70" i="11" s="1"/>
  <c r="Z70" i="11" s="1"/>
  <c r="AA70" i="11" s="1"/>
  <c r="F710" i="13"/>
  <c r="I75" i="11"/>
  <c r="S75" i="11" s="1"/>
  <c r="AF75" i="11" s="1"/>
  <c r="F715" i="13"/>
  <c r="P726" i="13"/>
  <c r="P734" i="13"/>
  <c r="P711" i="13"/>
  <c r="P725" i="13"/>
  <c r="D712" i="13"/>
  <c r="P712" i="13"/>
  <c r="D737" i="13"/>
  <c r="P737" i="13"/>
  <c r="P713" i="13"/>
  <c r="P714" i="13"/>
  <c r="D709" i="13"/>
  <c r="P709" i="13"/>
  <c r="D731" i="13"/>
  <c r="P731" i="13"/>
  <c r="D724" i="13"/>
  <c r="P724" i="13"/>
  <c r="P744" i="13"/>
  <c r="P723" i="13"/>
  <c r="D717" i="13"/>
  <c r="P717" i="13"/>
  <c r="D743" i="13"/>
  <c r="P743" i="13"/>
  <c r="P733" i="13"/>
  <c r="P716" i="13"/>
  <c r="P730" i="13"/>
  <c r="Z92" i="11"/>
  <c r="V27" i="6" s="1"/>
  <c r="AF100" i="11"/>
  <c r="U100" i="11"/>
  <c r="AD100" i="11" s="1"/>
  <c r="J100" i="11"/>
  <c r="K100" i="11" s="1"/>
  <c r="L100" i="11" s="1"/>
  <c r="M100" i="11" s="1"/>
  <c r="T100" i="11"/>
  <c r="Y100" i="11"/>
  <c r="Z100" i="11" s="1"/>
  <c r="Y105" i="11"/>
  <c r="Z105" i="11" s="1"/>
  <c r="T105" i="11"/>
  <c r="U105" i="11"/>
  <c r="AD105" i="11" s="1"/>
  <c r="X105" i="11"/>
  <c r="J105" i="11"/>
  <c r="S99" i="11"/>
  <c r="L34" i="6" s="1"/>
  <c r="Y98" i="11"/>
  <c r="U98" i="11"/>
  <c r="AD98" i="11" s="1"/>
  <c r="AF98" i="11"/>
  <c r="T98" i="11"/>
  <c r="J98" i="11"/>
  <c r="K98" i="11" s="1"/>
  <c r="U103" i="11"/>
  <c r="AD103" i="11" s="1"/>
  <c r="T103" i="11"/>
  <c r="Y103" i="11"/>
  <c r="Z103" i="11" s="1"/>
  <c r="X103" i="11"/>
  <c r="I52" i="3"/>
  <c r="Z83" i="11"/>
  <c r="V18" i="6" s="1"/>
  <c r="V17" i="6"/>
  <c r="U95" i="11"/>
  <c r="AD95" i="11" s="1"/>
  <c r="T95" i="11"/>
  <c r="AF95" i="11"/>
  <c r="T97" i="11"/>
  <c r="Y97" i="11"/>
  <c r="Z97" i="11" s="1"/>
  <c r="X97" i="11"/>
  <c r="U97" i="11"/>
  <c r="AD97" i="11" s="1"/>
  <c r="Y95" i="11"/>
  <c r="Z95" i="11" s="1"/>
  <c r="Z81" i="11"/>
  <c r="Z80" i="11"/>
  <c r="U87" i="11"/>
  <c r="AD87" i="11" s="1"/>
  <c r="AF87" i="11"/>
  <c r="J26" i="2"/>
  <c r="J28" i="3"/>
  <c r="T87" i="11"/>
  <c r="Y93" i="11"/>
  <c r="I25" i="2"/>
  <c r="Y87" i="11"/>
  <c r="Z87" i="11" s="1"/>
  <c r="AF93" i="11"/>
  <c r="U93" i="11"/>
  <c r="AD93" i="11" s="1"/>
  <c r="T93" i="11"/>
  <c r="T84" i="11"/>
  <c r="Y84" i="11"/>
  <c r="X84" i="11"/>
  <c r="T19" i="6" s="1"/>
  <c r="U84" i="11"/>
  <c r="AD84" i="11" s="1"/>
  <c r="AD19" i="6" s="1"/>
  <c r="I24" i="2"/>
  <c r="D45" i="2"/>
  <c r="C48" i="3"/>
  <c r="C28" i="3"/>
  <c r="I45" i="2"/>
  <c r="I26" i="2"/>
  <c r="J24" i="2"/>
  <c r="J26" i="3"/>
  <c r="J27" i="3"/>
  <c r="J25" i="2"/>
  <c r="J45" i="2"/>
  <c r="J24" i="3"/>
  <c r="J23" i="2"/>
  <c r="I21" i="2"/>
  <c r="I22" i="2"/>
  <c r="I23" i="2"/>
  <c r="I18" i="2"/>
  <c r="I19" i="2"/>
  <c r="J22" i="2"/>
  <c r="I26" i="3"/>
  <c r="I76" i="11"/>
  <c r="J76" i="11" s="1"/>
  <c r="K76" i="11" s="1"/>
  <c r="L76" i="11" s="1"/>
  <c r="M76" i="11" s="1"/>
  <c r="N76" i="11" s="1"/>
  <c r="O76" i="11" s="1"/>
  <c r="I74" i="11"/>
  <c r="D24" i="3" s="1"/>
  <c r="I72" i="11"/>
  <c r="I73" i="11"/>
  <c r="S73" i="11" s="1"/>
  <c r="AF73" i="11" s="1"/>
  <c r="J77" i="11"/>
  <c r="K77" i="11" s="1"/>
  <c r="L77" i="11" s="1"/>
  <c r="M77" i="11" s="1"/>
  <c r="N77" i="11" s="1"/>
  <c r="O77" i="11" s="1"/>
  <c r="J21" i="2"/>
  <c r="J72" i="11"/>
  <c r="K72" i="11" s="1"/>
  <c r="D22" i="3" s="1"/>
  <c r="S72" i="11"/>
  <c r="J19" i="3"/>
  <c r="J19" i="2"/>
  <c r="J71" i="11"/>
  <c r="K71" i="11" s="1"/>
  <c r="L71" i="11" s="1"/>
  <c r="M71" i="11" s="1"/>
  <c r="N71" i="11" s="1"/>
  <c r="O71" i="11" s="1"/>
  <c r="S69" i="11"/>
  <c r="AF69" i="11" s="1"/>
  <c r="J68" i="11"/>
  <c r="K68" i="11" s="1"/>
  <c r="L68" i="11" s="1"/>
  <c r="M68" i="11" s="1"/>
  <c r="N68" i="11" s="1"/>
  <c r="O68" i="11" s="1"/>
  <c r="D19" i="3" s="1"/>
  <c r="U71" i="11"/>
  <c r="AD71" i="11" s="1"/>
  <c r="U77" i="11"/>
  <c r="AD77" i="11" s="1"/>
  <c r="Y71" i="11"/>
  <c r="Z71" i="11" s="1"/>
  <c r="AA71" i="11" s="1"/>
  <c r="Y77" i="11"/>
  <c r="X71" i="11"/>
  <c r="X77" i="11"/>
  <c r="T68" i="11"/>
  <c r="AF68" i="11"/>
  <c r="U68" i="11"/>
  <c r="AD68" i="11" s="1"/>
  <c r="AD16" i="6" s="1"/>
  <c r="X68" i="11"/>
  <c r="T16" i="6" s="1"/>
  <c r="T71" i="11"/>
  <c r="T77" i="11"/>
  <c r="B14" i="3"/>
  <c r="B15" i="3"/>
  <c r="B16" i="3"/>
  <c r="B17" i="3"/>
  <c r="B21" i="3"/>
  <c r="B11" i="3"/>
  <c r="S60" i="12"/>
  <c r="R60" i="12"/>
  <c r="G60" i="12"/>
  <c r="F60" i="12"/>
  <c r="E60" i="12"/>
  <c r="D60" i="12"/>
  <c r="C60" i="12"/>
  <c r="B60" i="12"/>
  <c r="S59" i="12"/>
  <c r="R59" i="12"/>
  <c r="G59" i="12"/>
  <c r="J11" i="3" s="1"/>
  <c r="F59" i="12"/>
  <c r="C11" i="3" s="1"/>
  <c r="E59" i="12"/>
  <c r="D59" i="12"/>
  <c r="C59" i="12"/>
  <c r="B59" i="12"/>
  <c r="S58" i="12"/>
  <c r="R58" i="12"/>
  <c r="G58" i="12"/>
  <c r="F58" i="12"/>
  <c r="E58" i="12"/>
  <c r="D58" i="12"/>
  <c r="C58" i="12"/>
  <c r="B58" i="12"/>
  <c r="S57" i="12"/>
  <c r="R57" i="12"/>
  <c r="G57" i="12"/>
  <c r="F57" i="12"/>
  <c r="E57" i="12"/>
  <c r="D57" i="12"/>
  <c r="C57" i="12"/>
  <c r="B57" i="12"/>
  <c r="Q61" i="11"/>
  <c r="P61" i="11"/>
  <c r="I61" i="11"/>
  <c r="S61" i="11" s="1"/>
  <c r="AF61" i="11" s="1"/>
  <c r="H61" i="11"/>
  <c r="F701" i="13" s="1"/>
  <c r="Q60" i="11"/>
  <c r="P60" i="11"/>
  <c r="I60" i="11"/>
  <c r="S60" i="11" s="1"/>
  <c r="Y60" i="11" s="1"/>
  <c r="Z60" i="11" s="1"/>
  <c r="AA60" i="11" s="1"/>
  <c r="H60" i="11"/>
  <c r="F700" i="13" s="1"/>
  <c r="Q59" i="11"/>
  <c r="P59" i="11"/>
  <c r="I59" i="11"/>
  <c r="J59" i="11" s="1"/>
  <c r="K59" i="11" s="1"/>
  <c r="L59" i="11" s="1"/>
  <c r="M59" i="11" s="1"/>
  <c r="N59" i="11" s="1"/>
  <c r="O59" i="11" s="1"/>
  <c r="H59" i="11"/>
  <c r="F699" i="13" s="1"/>
  <c r="Q58" i="11"/>
  <c r="P58" i="11"/>
  <c r="I58" i="11"/>
  <c r="J58" i="11" s="1"/>
  <c r="K58" i="11" s="1"/>
  <c r="L58" i="11" s="1"/>
  <c r="M58" i="11" s="1"/>
  <c r="N58" i="11" s="1"/>
  <c r="O58" i="11" s="1"/>
  <c r="H58" i="11"/>
  <c r="F698" i="13" s="1"/>
  <c r="B10" i="3"/>
  <c r="AB86" i="11" l="1"/>
  <c r="V35" i="6"/>
  <c r="AG43" i="6"/>
  <c r="AS43" i="6" s="1"/>
  <c r="W100" i="11"/>
  <c r="W84" i="11"/>
  <c r="R19" i="6" s="1"/>
  <c r="W68" i="11"/>
  <c r="R16" i="6" s="1"/>
  <c r="W97" i="11"/>
  <c r="W87" i="11"/>
  <c r="AB98" i="11"/>
  <c r="W98" i="11"/>
  <c r="R33" i="6" s="1"/>
  <c r="AB96" i="11"/>
  <c r="W96" i="11"/>
  <c r="V96" i="12" s="1"/>
  <c r="AG31" i="6" s="1"/>
  <c r="AS31" i="6" s="1"/>
  <c r="AB89" i="11"/>
  <c r="W89" i="11"/>
  <c r="V89" i="12" s="1"/>
  <c r="AG24" i="6" s="1"/>
  <c r="AS24" i="6" s="1"/>
  <c r="AB77" i="11"/>
  <c r="W77" i="11"/>
  <c r="AB93" i="11"/>
  <c r="W93" i="11"/>
  <c r="AB88" i="11"/>
  <c r="W88" i="11"/>
  <c r="AB85" i="11"/>
  <c r="W85" i="11"/>
  <c r="V85" i="12" s="1"/>
  <c r="AG20" i="6" s="1"/>
  <c r="AS20" i="6" s="1"/>
  <c r="AB71" i="11"/>
  <c r="W71" i="11"/>
  <c r="AB103" i="11"/>
  <c r="W103" i="11"/>
  <c r="V103" i="12" s="1"/>
  <c r="AG37" i="6" s="1"/>
  <c r="AS37" i="6" s="1"/>
  <c r="P21" i="6"/>
  <c r="W86" i="11"/>
  <c r="AB115" i="11"/>
  <c r="W115" i="11"/>
  <c r="V115" i="12" s="1"/>
  <c r="AG48" i="6" s="1"/>
  <c r="AS48" i="6" s="1"/>
  <c r="AB95" i="11"/>
  <c r="W95" i="11"/>
  <c r="V95" i="12" s="1"/>
  <c r="AG30" i="6" s="1"/>
  <c r="AS30" i="6" s="1"/>
  <c r="AB106" i="11"/>
  <c r="W106" i="11"/>
  <c r="V106" i="12" s="1"/>
  <c r="AB105" i="11"/>
  <c r="W105" i="11"/>
  <c r="V105" i="12" s="1"/>
  <c r="AG39" i="6" s="1"/>
  <c r="AS39" i="6" s="1"/>
  <c r="AB114" i="11"/>
  <c r="W114" i="11"/>
  <c r="V114" i="12" s="1"/>
  <c r="AG47" i="6" s="1"/>
  <c r="AS47" i="6" s="1"/>
  <c r="AA86" i="11"/>
  <c r="AC86" i="11" s="1"/>
  <c r="AE86" i="11" s="1"/>
  <c r="G16" i="6"/>
  <c r="AF70" i="11"/>
  <c r="P23" i="6"/>
  <c r="AF102" i="11"/>
  <c r="T70" i="11"/>
  <c r="U102" i="11"/>
  <c r="AD102" i="11" s="1"/>
  <c r="D25" i="2"/>
  <c r="D24" i="2"/>
  <c r="D27" i="3"/>
  <c r="U70" i="11"/>
  <c r="AD70" i="11" s="1"/>
  <c r="AA103" i="11"/>
  <c r="AC103" i="11" s="1"/>
  <c r="AE118" i="11"/>
  <c r="K105" i="11"/>
  <c r="L105" i="11" s="1"/>
  <c r="M105" i="11" s="1"/>
  <c r="N105" i="11" s="1"/>
  <c r="O105" i="11" s="1"/>
  <c r="G39" i="6" s="1"/>
  <c r="D52" i="2"/>
  <c r="AB100" i="11"/>
  <c r="Z35" i="6" s="1"/>
  <c r="P35" i="6"/>
  <c r="AC70" i="11"/>
  <c r="AE70" i="11" s="1"/>
  <c r="M710" i="13" s="1"/>
  <c r="Q710" i="13" s="1"/>
  <c r="AE94" i="11"/>
  <c r="AA68" i="11"/>
  <c r="X16" i="6" s="1"/>
  <c r="M749" i="13"/>
  <c r="Q749" i="13" s="1"/>
  <c r="AA95" i="11"/>
  <c r="AC95" i="11" s="1"/>
  <c r="M748" i="13"/>
  <c r="Q748" i="13" s="1"/>
  <c r="N100" i="11"/>
  <c r="D51" i="3"/>
  <c r="AA97" i="11"/>
  <c r="AC97" i="11" s="1"/>
  <c r="J75" i="11"/>
  <c r="K75" i="11" s="1"/>
  <c r="L75" i="11" s="1"/>
  <c r="M75" i="11" s="1"/>
  <c r="N75" i="11" s="1"/>
  <c r="O75" i="11" s="1"/>
  <c r="D26" i="3"/>
  <c r="AE104" i="11"/>
  <c r="L98" i="11"/>
  <c r="D49" i="3"/>
  <c r="AA89" i="11"/>
  <c r="AC89" i="11" s="1"/>
  <c r="X70" i="11"/>
  <c r="J70" i="11"/>
  <c r="K70" i="11" s="1"/>
  <c r="L70" i="11" s="1"/>
  <c r="M70" i="11" s="1"/>
  <c r="N70" i="11" s="1"/>
  <c r="O70" i="11" s="1"/>
  <c r="AB87" i="11"/>
  <c r="P22" i="6"/>
  <c r="T102" i="11"/>
  <c r="AE114" i="11"/>
  <c r="AE91" i="11"/>
  <c r="M747" i="13"/>
  <c r="Q747" i="13" s="1"/>
  <c r="AE85" i="11"/>
  <c r="AB68" i="11"/>
  <c r="Z16" i="6" s="1"/>
  <c r="P16" i="6"/>
  <c r="AC71" i="11"/>
  <c r="AE71" i="11" s="1"/>
  <c r="M711" i="13" s="1"/>
  <c r="Q711" i="13" s="1"/>
  <c r="AC60" i="11"/>
  <c r="AE60" i="11" s="1"/>
  <c r="M700" i="13" s="1"/>
  <c r="Q700" i="13" s="1"/>
  <c r="AA87" i="11"/>
  <c r="AC87" i="11" s="1"/>
  <c r="Y102" i="11"/>
  <c r="Z102" i="11" s="1"/>
  <c r="AA105" i="11"/>
  <c r="AC105" i="11" s="1"/>
  <c r="AA88" i="11"/>
  <c r="AC88" i="11" s="1"/>
  <c r="AE90" i="11"/>
  <c r="AE96" i="11"/>
  <c r="AB97" i="11"/>
  <c r="P32" i="6"/>
  <c r="AB84" i="11"/>
  <c r="Z19" i="6" s="1"/>
  <c r="P19" i="6"/>
  <c r="AA100" i="11"/>
  <c r="X35" i="6" s="1"/>
  <c r="I11" i="3"/>
  <c r="I48" i="3"/>
  <c r="D48" i="3"/>
  <c r="T75" i="11"/>
  <c r="U75" i="11"/>
  <c r="AD75" i="11" s="1"/>
  <c r="X75" i="11"/>
  <c r="Y75" i="11"/>
  <c r="Z75" i="11" s="1"/>
  <c r="D715" i="13"/>
  <c r="P715" i="13"/>
  <c r="D698" i="13"/>
  <c r="P698" i="13"/>
  <c r="D700" i="13"/>
  <c r="P700" i="13"/>
  <c r="D710" i="13"/>
  <c r="P710" i="13"/>
  <c r="D708" i="13"/>
  <c r="P708" i="13"/>
  <c r="D699" i="13"/>
  <c r="P699" i="13"/>
  <c r="D701" i="13"/>
  <c r="P701" i="13"/>
  <c r="AF99" i="11"/>
  <c r="Z93" i="11"/>
  <c r="V28" i="6" s="1"/>
  <c r="AA92" i="11"/>
  <c r="X27" i="6" s="1"/>
  <c r="Y99" i="11"/>
  <c r="T99" i="11"/>
  <c r="X99" i="11"/>
  <c r="T34" i="6" s="1"/>
  <c r="U99" i="11"/>
  <c r="AD99" i="11" s="1"/>
  <c r="AD34" i="6" s="1"/>
  <c r="Z98" i="11"/>
  <c r="V33" i="6" s="1"/>
  <c r="AA106" i="11"/>
  <c r="Z84" i="11"/>
  <c r="V19" i="6" s="1"/>
  <c r="Z77" i="11"/>
  <c r="AA83" i="11"/>
  <c r="X18" i="6" s="1"/>
  <c r="AA82" i="11"/>
  <c r="AA81" i="11"/>
  <c r="AC81" i="11" s="1"/>
  <c r="AE81" i="11" s="1"/>
  <c r="AA80" i="11"/>
  <c r="AC80" i="11" s="1"/>
  <c r="AE80" i="11" s="1"/>
  <c r="I28" i="3"/>
  <c r="T73" i="11"/>
  <c r="X73" i="11"/>
  <c r="Y73" i="11"/>
  <c r="U73" i="11"/>
  <c r="AD73" i="11" s="1"/>
  <c r="J73" i="11"/>
  <c r="K73" i="11" s="1"/>
  <c r="S74" i="11"/>
  <c r="AF74" i="11" s="1"/>
  <c r="S76" i="11"/>
  <c r="J74" i="11"/>
  <c r="Y72" i="11"/>
  <c r="L72" i="11"/>
  <c r="U72" i="11"/>
  <c r="AD72" i="11" s="1"/>
  <c r="X72" i="11"/>
  <c r="AF72" i="11"/>
  <c r="T72" i="11"/>
  <c r="U69" i="11"/>
  <c r="AD69" i="11" s="1"/>
  <c r="T69" i="11"/>
  <c r="X69" i="11"/>
  <c r="Y69" i="11"/>
  <c r="S58" i="11"/>
  <c r="Y58" i="11" s="1"/>
  <c r="J61" i="11"/>
  <c r="K61" i="11" s="1"/>
  <c r="L61" i="11" s="1"/>
  <c r="M61" i="11" s="1"/>
  <c r="N61" i="11" s="1"/>
  <c r="O61" i="11" s="1"/>
  <c r="J60" i="11"/>
  <c r="K60" i="11" s="1"/>
  <c r="L60" i="11" s="1"/>
  <c r="M60" i="11" s="1"/>
  <c r="N60" i="11" s="1"/>
  <c r="O60" i="11" s="1"/>
  <c r="S59" i="11"/>
  <c r="X61" i="11"/>
  <c r="U61" i="11"/>
  <c r="AD61" i="11" s="1"/>
  <c r="Y61" i="11"/>
  <c r="Z61" i="11" s="1"/>
  <c r="AA61" i="11" s="1"/>
  <c r="T60" i="11"/>
  <c r="AF60" i="11"/>
  <c r="U60" i="11"/>
  <c r="AD60" i="11" s="1"/>
  <c r="X60" i="11"/>
  <c r="T61" i="11"/>
  <c r="V93" i="12" l="1"/>
  <c r="AG28" i="6" s="1"/>
  <c r="AS28" i="6" s="1"/>
  <c r="R28" i="6"/>
  <c r="AC100" i="11"/>
  <c r="W99" i="11"/>
  <c r="R34" i="6" s="1"/>
  <c r="V98" i="12"/>
  <c r="AB73" i="11"/>
  <c r="W73" i="11"/>
  <c r="AB102" i="11"/>
  <c r="W102" i="11"/>
  <c r="V102" i="12" s="1"/>
  <c r="AG36" i="6" s="1"/>
  <c r="AS36" i="6" s="1"/>
  <c r="AB60" i="11"/>
  <c r="W60" i="11"/>
  <c r="AB72" i="11"/>
  <c r="W72" i="11"/>
  <c r="AB61" i="11"/>
  <c r="W61" i="11"/>
  <c r="AB75" i="11"/>
  <c r="W75" i="11"/>
  <c r="V75" i="12" s="1"/>
  <c r="AB69" i="11"/>
  <c r="W69" i="11"/>
  <c r="AB70" i="11"/>
  <c r="W70" i="11"/>
  <c r="V70" i="12" s="1"/>
  <c r="D11" i="3"/>
  <c r="AC82" i="11"/>
  <c r="AA102" i="11"/>
  <c r="AC102" i="11" s="1"/>
  <c r="AC83" i="11"/>
  <c r="AB18" i="6" s="1"/>
  <c r="AC68" i="11"/>
  <c r="AB16" i="6" s="1"/>
  <c r="AE87" i="11"/>
  <c r="AE105" i="11"/>
  <c r="M731" i="13"/>
  <c r="Q731" i="13" s="1"/>
  <c r="M744" i="13"/>
  <c r="Q744" i="13" s="1"/>
  <c r="M736" i="13"/>
  <c r="Q736" i="13" s="1"/>
  <c r="AC92" i="11"/>
  <c r="M72" i="11"/>
  <c r="N72" i="11" s="1"/>
  <c r="O72" i="11" s="1"/>
  <c r="D21" i="2"/>
  <c r="AE100" i="11"/>
  <c r="M730" i="13"/>
  <c r="Q730" i="13" s="1"/>
  <c r="AE89" i="11"/>
  <c r="AE97" i="11"/>
  <c r="AE95" i="11"/>
  <c r="M734" i="13"/>
  <c r="Q734" i="13" s="1"/>
  <c r="AC61" i="11"/>
  <c r="AE61" i="11" s="1"/>
  <c r="M701" i="13" s="1"/>
  <c r="Q701" i="13" s="1"/>
  <c r="AC106" i="11"/>
  <c r="M725" i="13"/>
  <c r="Q725" i="13" s="1"/>
  <c r="M726" i="13"/>
  <c r="Q726" i="13" s="1"/>
  <c r="L73" i="11"/>
  <c r="D23" i="3"/>
  <c r="K74" i="11"/>
  <c r="L74" i="11" s="1"/>
  <c r="M74" i="11" s="1"/>
  <c r="N74" i="11" s="1"/>
  <c r="O74" i="11" s="1"/>
  <c r="D23" i="2"/>
  <c r="AE88" i="11"/>
  <c r="M98" i="11"/>
  <c r="N98" i="11" s="1"/>
  <c r="O98" i="11" s="1"/>
  <c r="G33" i="6" s="1"/>
  <c r="D46" i="2"/>
  <c r="O100" i="11"/>
  <c r="G35" i="6" s="1"/>
  <c r="D48" i="2"/>
  <c r="AE103" i="11"/>
  <c r="AB99" i="11"/>
  <c r="Z34" i="6" s="1"/>
  <c r="P34" i="6"/>
  <c r="Z99" i="11"/>
  <c r="V34" i="6" s="1"/>
  <c r="AA93" i="11"/>
  <c r="X28" i="6" s="1"/>
  <c r="AA98" i="11"/>
  <c r="X33" i="6" s="1"/>
  <c r="AA84" i="11"/>
  <c r="X19" i="6" s="1"/>
  <c r="Z73" i="11"/>
  <c r="AA77" i="11"/>
  <c r="AC77" i="11" s="1"/>
  <c r="AE77" i="11" s="1"/>
  <c r="Y76" i="11"/>
  <c r="Y74" i="11"/>
  <c r="T74" i="11"/>
  <c r="X74" i="11"/>
  <c r="U74" i="11"/>
  <c r="AD74" i="11" s="1"/>
  <c r="X76" i="11"/>
  <c r="AF76" i="11"/>
  <c r="U76" i="11"/>
  <c r="AD76" i="11" s="1"/>
  <c r="T76" i="11"/>
  <c r="AA75" i="11"/>
  <c r="AC75" i="11" s="1"/>
  <c r="AE75" i="11" s="1"/>
  <c r="Z72" i="11"/>
  <c r="Z69" i="11"/>
  <c r="Z58" i="11"/>
  <c r="AF59" i="11"/>
  <c r="AF58" i="11"/>
  <c r="U58" i="11"/>
  <c r="AD58" i="11" s="1"/>
  <c r="T58" i="11"/>
  <c r="X58" i="11"/>
  <c r="U59" i="11"/>
  <c r="AD59" i="11" s="1"/>
  <c r="T59" i="11"/>
  <c r="X59" i="11"/>
  <c r="Y59" i="11"/>
  <c r="Q65" i="11"/>
  <c r="P65" i="11"/>
  <c r="I65" i="11"/>
  <c r="J65" i="11" s="1"/>
  <c r="K65" i="11" s="1"/>
  <c r="L65" i="11" s="1"/>
  <c r="M65" i="11" s="1"/>
  <c r="N65" i="11" s="1"/>
  <c r="O65" i="11" s="1"/>
  <c r="H65" i="11"/>
  <c r="F705" i="13" s="1"/>
  <c r="Q64" i="11"/>
  <c r="P64" i="11"/>
  <c r="H64" i="11"/>
  <c r="F704" i="13" s="1"/>
  <c r="Q63" i="11"/>
  <c r="P63" i="11"/>
  <c r="H63" i="11"/>
  <c r="F703" i="13" s="1"/>
  <c r="Q62" i="11"/>
  <c r="P62" i="11"/>
  <c r="H62" i="11"/>
  <c r="Q57" i="11"/>
  <c r="I10" i="6" s="1"/>
  <c r="P57" i="11"/>
  <c r="H57" i="11"/>
  <c r="Q56" i="11"/>
  <c r="P56" i="11"/>
  <c r="H56" i="11"/>
  <c r="Q55" i="11"/>
  <c r="I8" i="6" s="1"/>
  <c r="P55" i="11"/>
  <c r="H55" i="11"/>
  <c r="Q54" i="11"/>
  <c r="I7" i="6" s="1"/>
  <c r="P54" i="11"/>
  <c r="H54" i="11"/>
  <c r="Q53" i="11"/>
  <c r="P53" i="11"/>
  <c r="H53" i="11"/>
  <c r="Q52" i="11"/>
  <c r="P52" i="11"/>
  <c r="H52" i="11"/>
  <c r="Q51" i="11"/>
  <c r="P51" i="11"/>
  <c r="H51" i="11"/>
  <c r="F691" i="13" s="1"/>
  <c r="Q50" i="11"/>
  <c r="P50" i="11"/>
  <c r="H50" i="11"/>
  <c r="F690" i="13" s="1"/>
  <c r="Q49" i="11"/>
  <c r="P49" i="11"/>
  <c r="H49" i="11"/>
  <c r="F689" i="13" s="1"/>
  <c r="Q48" i="11"/>
  <c r="P48" i="11"/>
  <c r="H48" i="11"/>
  <c r="F688" i="13" s="1"/>
  <c r="Q47" i="11"/>
  <c r="P47" i="11"/>
  <c r="H47" i="11"/>
  <c r="F687" i="13" s="1"/>
  <c r="Q46" i="11"/>
  <c r="P46" i="11"/>
  <c r="H46" i="11"/>
  <c r="F686" i="13" s="1"/>
  <c r="Q45" i="11"/>
  <c r="P45" i="11"/>
  <c r="H45" i="11"/>
  <c r="F685" i="13" s="1"/>
  <c r="Q44" i="11"/>
  <c r="P44" i="11"/>
  <c r="H44" i="11"/>
  <c r="F684" i="13" s="1"/>
  <c r="Q43" i="11"/>
  <c r="P43" i="11"/>
  <c r="H43" i="11"/>
  <c r="F683" i="13" s="1"/>
  <c r="Q42" i="11"/>
  <c r="P42" i="11"/>
  <c r="I42" i="11"/>
  <c r="J42" i="11" s="1"/>
  <c r="K42" i="11" s="1"/>
  <c r="L42" i="11" s="1"/>
  <c r="M42" i="11" s="1"/>
  <c r="N42" i="11" s="1"/>
  <c r="O42" i="11" s="1"/>
  <c r="H42" i="11"/>
  <c r="F682" i="13" s="1"/>
  <c r="S64" i="12"/>
  <c r="R64" i="12"/>
  <c r="G64" i="12"/>
  <c r="F64" i="12"/>
  <c r="C16" i="3" s="1"/>
  <c r="E64" i="12"/>
  <c r="D64" i="12"/>
  <c r="C64" i="12"/>
  <c r="B64" i="12"/>
  <c r="S63" i="12"/>
  <c r="R63" i="12"/>
  <c r="G63" i="12"/>
  <c r="F63" i="12"/>
  <c r="C15" i="3" s="1"/>
  <c r="E63" i="12"/>
  <c r="D63" i="12"/>
  <c r="C63" i="12"/>
  <c r="B63" i="12"/>
  <c r="S62" i="12"/>
  <c r="R62" i="12"/>
  <c r="G62" i="12"/>
  <c r="F62" i="12"/>
  <c r="C14" i="3" s="1"/>
  <c r="E62" i="12"/>
  <c r="D62" i="12"/>
  <c r="C62" i="12"/>
  <c r="B62" i="12"/>
  <c r="S61" i="12"/>
  <c r="R61" i="12"/>
  <c r="G61" i="12"/>
  <c r="F61" i="12"/>
  <c r="C13" i="3" s="1"/>
  <c r="E61" i="12"/>
  <c r="D61" i="12"/>
  <c r="C61" i="12"/>
  <c r="B61" i="12"/>
  <c r="S56" i="12"/>
  <c r="R56" i="12"/>
  <c r="G56" i="12"/>
  <c r="F56" i="12"/>
  <c r="E56" i="12"/>
  <c r="D56" i="12"/>
  <c r="C56" i="12"/>
  <c r="B56" i="12"/>
  <c r="S55" i="12"/>
  <c r="R55" i="12"/>
  <c r="G55" i="12"/>
  <c r="F55" i="12"/>
  <c r="E55" i="12"/>
  <c r="D55" i="12"/>
  <c r="C55" i="12"/>
  <c r="B55" i="12"/>
  <c r="S54" i="12"/>
  <c r="R54" i="12"/>
  <c r="G54" i="12"/>
  <c r="F54" i="12"/>
  <c r="E54" i="12"/>
  <c r="D54" i="12"/>
  <c r="C54" i="12"/>
  <c r="B54" i="12"/>
  <c r="S53" i="12"/>
  <c r="R53" i="12"/>
  <c r="G53" i="12"/>
  <c r="F53" i="12"/>
  <c r="E53" i="12"/>
  <c r="D53" i="12"/>
  <c r="C53" i="12"/>
  <c r="B53" i="12"/>
  <c r="S52" i="12"/>
  <c r="R52" i="12"/>
  <c r="G52" i="12"/>
  <c r="F52" i="12"/>
  <c r="E52" i="12"/>
  <c r="D52" i="12"/>
  <c r="C52" i="12"/>
  <c r="B52" i="12"/>
  <c r="S51" i="12"/>
  <c r="R51" i="12"/>
  <c r="G51" i="12"/>
  <c r="F51" i="12"/>
  <c r="E51" i="12"/>
  <c r="D51" i="12"/>
  <c r="C51" i="12"/>
  <c r="B51" i="12"/>
  <c r="S50" i="12"/>
  <c r="R50" i="12"/>
  <c r="G50" i="12"/>
  <c r="F50" i="12"/>
  <c r="E50" i="12"/>
  <c r="D50" i="12"/>
  <c r="C50" i="12"/>
  <c r="B50" i="12"/>
  <c r="S49" i="12"/>
  <c r="R49" i="12"/>
  <c r="G49" i="12"/>
  <c r="F49" i="12"/>
  <c r="E49" i="12"/>
  <c r="D49" i="12"/>
  <c r="C49" i="12"/>
  <c r="B49" i="12"/>
  <c r="S48" i="12"/>
  <c r="R48" i="12"/>
  <c r="G48" i="12"/>
  <c r="F48" i="12"/>
  <c r="E48" i="12"/>
  <c r="D48" i="12"/>
  <c r="C48" i="12"/>
  <c r="B48" i="12"/>
  <c r="S47" i="12"/>
  <c r="R47" i="12"/>
  <c r="G47" i="12"/>
  <c r="F47" i="12"/>
  <c r="E47" i="12"/>
  <c r="D47" i="12"/>
  <c r="C47" i="12"/>
  <c r="B47" i="12"/>
  <c r="S46" i="12"/>
  <c r="R46" i="12"/>
  <c r="G46" i="12"/>
  <c r="F46" i="12"/>
  <c r="E46" i="12"/>
  <c r="D46" i="12"/>
  <c r="C46" i="12"/>
  <c r="B46" i="12"/>
  <c r="S45" i="12"/>
  <c r="R45" i="12"/>
  <c r="G45" i="12"/>
  <c r="F45" i="12"/>
  <c r="E45" i="12"/>
  <c r="D45" i="12"/>
  <c r="C45" i="12"/>
  <c r="B45" i="12"/>
  <c r="S44" i="12"/>
  <c r="R44" i="12"/>
  <c r="G44" i="12"/>
  <c r="F44" i="12"/>
  <c r="E44" i="12"/>
  <c r="D44" i="12"/>
  <c r="C44" i="12"/>
  <c r="B44" i="12"/>
  <c r="S43" i="12"/>
  <c r="R43" i="12"/>
  <c r="G43" i="12"/>
  <c r="F43" i="12"/>
  <c r="E43" i="12"/>
  <c r="D43" i="12"/>
  <c r="C43" i="12"/>
  <c r="B43" i="12"/>
  <c r="S42" i="12"/>
  <c r="R42" i="12"/>
  <c r="G42" i="12"/>
  <c r="F42" i="12"/>
  <c r="E42" i="12"/>
  <c r="D42" i="12"/>
  <c r="C42" i="12"/>
  <c r="B42" i="12"/>
  <c r="S41" i="12"/>
  <c r="R41" i="12"/>
  <c r="G41" i="12"/>
  <c r="F41" i="12"/>
  <c r="E41" i="12"/>
  <c r="D41" i="12"/>
  <c r="C41" i="12"/>
  <c r="B41" i="12"/>
  <c r="B9" i="3"/>
  <c r="AG33" i="6" l="1"/>
  <c r="AS33" i="6" s="1"/>
  <c r="AB59" i="11"/>
  <c r="W59" i="11"/>
  <c r="AB58" i="11"/>
  <c r="W58" i="11"/>
  <c r="AB76" i="11"/>
  <c r="W76" i="11"/>
  <c r="AB74" i="11"/>
  <c r="W74" i="11"/>
  <c r="I6" i="6"/>
  <c r="I9" i="6"/>
  <c r="F697" i="13"/>
  <c r="D697" i="13" s="1"/>
  <c r="D14" i="6"/>
  <c r="E14" i="6"/>
  <c r="D12" i="6"/>
  <c r="E12" i="6"/>
  <c r="D9" i="6"/>
  <c r="E9" i="6"/>
  <c r="D10" i="6"/>
  <c r="E10" i="6"/>
  <c r="D13" i="6"/>
  <c r="E13" i="6"/>
  <c r="D11" i="6"/>
  <c r="E11" i="6"/>
  <c r="D16" i="3"/>
  <c r="M743" i="13"/>
  <c r="Q743" i="13" s="1"/>
  <c r="AE68" i="11"/>
  <c r="AF16" i="6" s="1"/>
  <c r="M740" i="13"/>
  <c r="Q740" i="13" s="1"/>
  <c r="C15" i="2"/>
  <c r="D15" i="2" s="1"/>
  <c r="K9" i="6"/>
  <c r="K11" i="6"/>
  <c r="K12" i="6"/>
  <c r="K13" i="6"/>
  <c r="K14" i="6"/>
  <c r="M735" i="13"/>
  <c r="Q735" i="13" s="1"/>
  <c r="AE92" i="11"/>
  <c r="M745" i="13"/>
  <c r="Q745" i="13" s="1"/>
  <c r="AE83" i="11"/>
  <c r="AF18" i="6" s="1"/>
  <c r="AC93" i="11"/>
  <c r="C13" i="2"/>
  <c r="AE106" i="11"/>
  <c r="M737" i="13"/>
  <c r="Q737" i="13" s="1"/>
  <c r="AE102" i="11"/>
  <c r="AC98" i="11"/>
  <c r="C14" i="2"/>
  <c r="AC84" i="11"/>
  <c r="AB19" i="6" s="1"/>
  <c r="K10" i="6"/>
  <c r="M728" i="13"/>
  <c r="Q728" i="13" s="1"/>
  <c r="M73" i="11"/>
  <c r="N73" i="11" s="1"/>
  <c r="O73" i="11" s="1"/>
  <c r="D22" i="2"/>
  <c r="M729" i="13"/>
  <c r="Q729" i="13" s="1"/>
  <c r="M727" i="13"/>
  <c r="Q727" i="13" s="1"/>
  <c r="AE82" i="11"/>
  <c r="AF17" i="6" s="1"/>
  <c r="D686" i="13"/>
  <c r="P686" i="13"/>
  <c r="F694" i="13"/>
  <c r="D683" i="13"/>
  <c r="P683" i="13"/>
  <c r="D691" i="13"/>
  <c r="P691" i="13"/>
  <c r="D689" i="13"/>
  <c r="P689" i="13"/>
  <c r="P697" i="13"/>
  <c r="F696" i="13"/>
  <c r="D704" i="13"/>
  <c r="P704" i="13"/>
  <c r="D682" i="13"/>
  <c r="P682" i="13"/>
  <c r="D687" i="13"/>
  <c r="P687" i="13"/>
  <c r="F695" i="13"/>
  <c r="D688" i="13"/>
  <c r="P688" i="13"/>
  <c r="D684" i="13"/>
  <c r="P684" i="13"/>
  <c r="F692" i="13"/>
  <c r="I62" i="11"/>
  <c r="S62" i="11" s="1"/>
  <c r="Y62" i="11" s="1"/>
  <c r="Z62" i="11" s="1"/>
  <c r="F702" i="13"/>
  <c r="D690" i="13"/>
  <c r="P690" i="13"/>
  <c r="D685" i="13"/>
  <c r="P685" i="13"/>
  <c r="F693" i="13"/>
  <c r="D705" i="13"/>
  <c r="P705" i="13"/>
  <c r="D703" i="13"/>
  <c r="P703" i="13"/>
  <c r="AA99" i="11"/>
  <c r="X34" i="6" s="1"/>
  <c r="AA73" i="11"/>
  <c r="AC73" i="11" s="1"/>
  <c r="AE73" i="11" s="1"/>
  <c r="M721" i="13"/>
  <c r="Q721" i="13" s="1"/>
  <c r="M720" i="13"/>
  <c r="Q720" i="13" s="1"/>
  <c r="Z76" i="11"/>
  <c r="Z74" i="11"/>
  <c r="AA72" i="11"/>
  <c r="AC72" i="11" s="1"/>
  <c r="AE72" i="11" s="1"/>
  <c r="AA69" i="11"/>
  <c r="AC69" i="11" s="1"/>
  <c r="AE69" i="11" s="1"/>
  <c r="J13" i="3"/>
  <c r="I13" i="3"/>
  <c r="J14" i="3"/>
  <c r="J13" i="2"/>
  <c r="J15" i="3"/>
  <c r="J14" i="2"/>
  <c r="J15" i="2"/>
  <c r="J16" i="3"/>
  <c r="I13" i="2"/>
  <c r="I14" i="2"/>
  <c r="I15" i="2"/>
  <c r="I57" i="11"/>
  <c r="S57" i="11" s="1"/>
  <c r="AF57" i="11" s="1"/>
  <c r="I64" i="11"/>
  <c r="I63" i="11"/>
  <c r="S63" i="11" s="1"/>
  <c r="AF63" i="11" s="1"/>
  <c r="I14" i="3"/>
  <c r="I16" i="3"/>
  <c r="I15" i="3"/>
  <c r="Z59" i="11"/>
  <c r="AA58" i="11"/>
  <c r="AC58" i="11" s="1"/>
  <c r="AE58" i="11" s="1"/>
  <c r="S65" i="11"/>
  <c r="AF65" i="11" s="1"/>
  <c r="J62" i="11"/>
  <c r="K62" i="11" s="1"/>
  <c r="L62" i="11" s="1"/>
  <c r="M62" i="11" s="1"/>
  <c r="N62" i="11" s="1"/>
  <c r="O62" i="11" s="1"/>
  <c r="I44" i="11"/>
  <c r="S44" i="11" s="1"/>
  <c r="Y44" i="11" s="1"/>
  <c r="I48" i="11"/>
  <c r="S48" i="11" s="1"/>
  <c r="Y48" i="11" s="1"/>
  <c r="I52" i="11"/>
  <c r="J52" i="11" s="1"/>
  <c r="K52" i="11" s="1"/>
  <c r="L52" i="11" s="1"/>
  <c r="M52" i="11" s="1"/>
  <c r="N52" i="11" s="1"/>
  <c r="O52" i="11" s="1"/>
  <c r="G9" i="6" s="1"/>
  <c r="I56" i="11"/>
  <c r="J56" i="11" s="1"/>
  <c r="K56" i="11" s="1"/>
  <c r="L56" i="11" s="1"/>
  <c r="M56" i="11" s="1"/>
  <c r="N56" i="11" s="1"/>
  <c r="O56" i="11" s="1"/>
  <c r="G13" i="6" s="1"/>
  <c r="I46" i="11"/>
  <c r="S46" i="11" s="1"/>
  <c r="Y46" i="11" s="1"/>
  <c r="I50" i="11"/>
  <c r="S50" i="11" s="1"/>
  <c r="Y50" i="11" s="1"/>
  <c r="I54" i="11"/>
  <c r="S54" i="11" s="1"/>
  <c r="Y54" i="11" s="1"/>
  <c r="S42" i="11"/>
  <c r="Y42" i="11" s="1"/>
  <c r="I45" i="11"/>
  <c r="S45" i="11" s="1"/>
  <c r="U45" i="11" s="1"/>
  <c r="AD45" i="11" s="1"/>
  <c r="I47" i="11"/>
  <c r="S47" i="11" s="1"/>
  <c r="U47" i="11" s="1"/>
  <c r="AD47" i="11" s="1"/>
  <c r="I51" i="11"/>
  <c r="S51" i="11" s="1"/>
  <c r="AF51" i="11" s="1"/>
  <c r="I53" i="11"/>
  <c r="S53" i="11" s="1"/>
  <c r="AF53" i="11" s="1"/>
  <c r="I43" i="11"/>
  <c r="J43" i="11" s="1"/>
  <c r="K43" i="11" s="1"/>
  <c r="L43" i="11" s="1"/>
  <c r="M43" i="11" s="1"/>
  <c r="N43" i="11" s="1"/>
  <c r="O43" i="11" s="1"/>
  <c r="I49" i="11"/>
  <c r="S49" i="11" s="1"/>
  <c r="AF49" i="11" s="1"/>
  <c r="I55" i="11"/>
  <c r="S55" i="11" s="1"/>
  <c r="AF55" i="11" s="1"/>
  <c r="J57" i="11"/>
  <c r="K57" i="11" s="1"/>
  <c r="L57" i="11" s="1"/>
  <c r="M57" i="11" s="1"/>
  <c r="N57" i="11" s="1"/>
  <c r="O57" i="11" s="1"/>
  <c r="G14" i="6" s="1"/>
  <c r="B7" i="3"/>
  <c r="G147" i="12"/>
  <c r="F147" i="12"/>
  <c r="E147" i="12"/>
  <c r="D147" i="12"/>
  <c r="C147" i="12"/>
  <c r="B147" i="12"/>
  <c r="G146" i="12"/>
  <c r="F146" i="12"/>
  <c r="E146" i="12"/>
  <c r="D146" i="12"/>
  <c r="C146" i="12"/>
  <c r="B146" i="12"/>
  <c r="G145" i="12"/>
  <c r="F145" i="12"/>
  <c r="E145" i="12"/>
  <c r="D145" i="12"/>
  <c r="C145" i="12"/>
  <c r="B145" i="12"/>
  <c r="G144" i="12"/>
  <c r="F144" i="12"/>
  <c r="E144" i="12"/>
  <c r="D144" i="12"/>
  <c r="C144" i="12"/>
  <c r="B144" i="12"/>
  <c r="G143" i="12"/>
  <c r="F143" i="12"/>
  <c r="E143" i="12"/>
  <c r="D143" i="12"/>
  <c r="C143" i="12"/>
  <c r="B143" i="12"/>
  <c r="G67" i="12"/>
  <c r="F67" i="12"/>
  <c r="E67" i="12"/>
  <c r="D67" i="12"/>
  <c r="C67" i="12"/>
  <c r="B67" i="12"/>
  <c r="G66" i="12"/>
  <c r="F66" i="12"/>
  <c r="E66" i="12"/>
  <c r="D66" i="12"/>
  <c r="C66" i="12"/>
  <c r="B66" i="12"/>
  <c r="G65" i="12"/>
  <c r="F65" i="12"/>
  <c r="C17" i="3" s="1"/>
  <c r="E65" i="12"/>
  <c r="D65" i="12"/>
  <c r="C65" i="12"/>
  <c r="B65" i="12"/>
  <c r="G40" i="12"/>
  <c r="F40" i="12"/>
  <c r="C10" i="3" s="1"/>
  <c r="E40" i="12"/>
  <c r="D40" i="12"/>
  <c r="C40" i="12"/>
  <c r="B40" i="12"/>
  <c r="G39" i="12"/>
  <c r="F39" i="12"/>
  <c r="C9" i="3" s="1"/>
  <c r="E39" i="12"/>
  <c r="D39" i="12"/>
  <c r="C39" i="12"/>
  <c r="B39" i="12"/>
  <c r="G38" i="12"/>
  <c r="J8" i="3" s="1"/>
  <c r="F38" i="12"/>
  <c r="C8" i="3" s="1"/>
  <c r="E38" i="12"/>
  <c r="D38" i="12"/>
  <c r="C38" i="12"/>
  <c r="B38" i="12"/>
  <c r="I10" i="2" s="1"/>
  <c r="S147" i="12"/>
  <c r="R147" i="12"/>
  <c r="S146" i="12"/>
  <c r="R146" i="12"/>
  <c r="S145" i="12"/>
  <c r="R145" i="12"/>
  <c r="S144" i="12"/>
  <c r="R144" i="12"/>
  <c r="S143" i="12"/>
  <c r="R143" i="12"/>
  <c r="S67" i="12"/>
  <c r="R67" i="12"/>
  <c r="C17" i="2" s="1"/>
  <c r="S66" i="12"/>
  <c r="R66" i="12"/>
  <c r="S65" i="12"/>
  <c r="R65" i="12"/>
  <c r="S40" i="12"/>
  <c r="R40" i="12"/>
  <c r="S39" i="12"/>
  <c r="R39" i="12"/>
  <c r="S38" i="12"/>
  <c r="R38" i="12"/>
  <c r="Q78" i="11"/>
  <c r="P78" i="11"/>
  <c r="I78" i="11"/>
  <c r="J78" i="11" s="1"/>
  <c r="H78" i="11"/>
  <c r="F718" i="13" s="1"/>
  <c r="Q67" i="11"/>
  <c r="I11" i="6" s="1"/>
  <c r="P67" i="11"/>
  <c r="H67" i="11"/>
  <c r="Q66" i="11"/>
  <c r="P66" i="11"/>
  <c r="H66" i="11"/>
  <c r="F706" i="13" s="1"/>
  <c r="Q41" i="11"/>
  <c r="P41" i="11"/>
  <c r="H41" i="11"/>
  <c r="Q40" i="11"/>
  <c r="P40" i="11"/>
  <c r="H40" i="11"/>
  <c r="F680" i="13" s="1"/>
  <c r="Q39" i="11"/>
  <c r="P39" i="11"/>
  <c r="H39" i="11"/>
  <c r="D7" i="6" s="1"/>
  <c r="S153" i="12"/>
  <c r="R153" i="12"/>
  <c r="G153" i="12"/>
  <c r="F153" i="12"/>
  <c r="E153" i="12"/>
  <c r="D153" i="12"/>
  <c r="C153" i="12"/>
  <c r="B153" i="12"/>
  <c r="S152" i="12"/>
  <c r="R152" i="12"/>
  <c r="G152" i="12"/>
  <c r="F152" i="12"/>
  <c r="E152" i="12"/>
  <c r="D152" i="12"/>
  <c r="C152" i="12"/>
  <c r="B152" i="12"/>
  <c r="S151" i="12"/>
  <c r="R151" i="12"/>
  <c r="G151" i="12"/>
  <c r="F151" i="12"/>
  <c r="E151" i="12"/>
  <c r="D151" i="12"/>
  <c r="C151" i="12"/>
  <c r="B151" i="12"/>
  <c r="S150" i="12"/>
  <c r="R150" i="12"/>
  <c r="G150" i="12"/>
  <c r="F150" i="12"/>
  <c r="E150" i="12"/>
  <c r="D150" i="12"/>
  <c r="C150" i="12"/>
  <c r="B150" i="12"/>
  <c r="S149" i="12"/>
  <c r="R149" i="12"/>
  <c r="G149" i="12"/>
  <c r="F149" i="12"/>
  <c r="E149" i="12"/>
  <c r="D149" i="12"/>
  <c r="C149" i="12"/>
  <c r="B149" i="12"/>
  <c r="S148" i="12"/>
  <c r="R148" i="12"/>
  <c r="G148" i="12"/>
  <c r="F148" i="12"/>
  <c r="E148" i="12"/>
  <c r="D148" i="12"/>
  <c r="C148" i="12"/>
  <c r="B148" i="12"/>
  <c r="S37" i="12"/>
  <c r="R37" i="12"/>
  <c r="G37" i="12"/>
  <c r="F37" i="12"/>
  <c r="C7" i="3" s="1"/>
  <c r="E37" i="12"/>
  <c r="D37" i="12"/>
  <c r="C37" i="12"/>
  <c r="B37" i="12"/>
  <c r="S36" i="12"/>
  <c r="R36" i="12"/>
  <c r="G36" i="12"/>
  <c r="F36" i="12"/>
  <c r="E36" i="12"/>
  <c r="D36" i="12"/>
  <c r="C36" i="12"/>
  <c r="B36" i="12"/>
  <c r="S35" i="12"/>
  <c r="R35" i="12"/>
  <c r="G35" i="12"/>
  <c r="F35" i="12"/>
  <c r="E35" i="12"/>
  <c r="D35" i="12"/>
  <c r="C35" i="12"/>
  <c r="B35" i="12"/>
  <c r="S34" i="12"/>
  <c r="R34" i="12"/>
  <c r="G34" i="12"/>
  <c r="F34" i="12"/>
  <c r="E34" i="12"/>
  <c r="D34" i="12"/>
  <c r="C34" i="12"/>
  <c r="B34" i="12"/>
  <c r="S33" i="12"/>
  <c r="R33" i="12"/>
  <c r="G33" i="12"/>
  <c r="F33" i="12"/>
  <c r="E33" i="12"/>
  <c r="D33" i="12"/>
  <c r="C33" i="12"/>
  <c r="B33" i="12"/>
  <c r="S32" i="12"/>
  <c r="R32" i="12"/>
  <c r="G32" i="12"/>
  <c r="F32" i="12"/>
  <c r="E32" i="12"/>
  <c r="D32" i="12"/>
  <c r="C32" i="12"/>
  <c r="B32" i="12"/>
  <c r="Q38" i="11"/>
  <c r="P38" i="11"/>
  <c r="I38" i="11"/>
  <c r="S38" i="11" s="1"/>
  <c r="AF38" i="11" s="1"/>
  <c r="H38" i="11"/>
  <c r="F678" i="13" s="1"/>
  <c r="Q37" i="11"/>
  <c r="P37" i="11"/>
  <c r="H37" i="11"/>
  <c r="Q36" i="11"/>
  <c r="P36" i="11"/>
  <c r="H36" i="11"/>
  <c r="Q35" i="11"/>
  <c r="P35" i="11"/>
  <c r="I35" i="11"/>
  <c r="S35" i="11" s="1"/>
  <c r="X35" i="11" s="1"/>
  <c r="H35" i="11"/>
  <c r="F675" i="13" s="1"/>
  <c r="Q34" i="11"/>
  <c r="P34" i="11"/>
  <c r="I34" i="11"/>
  <c r="S34" i="11" s="1"/>
  <c r="AF34" i="11" s="1"/>
  <c r="H34" i="11"/>
  <c r="F674" i="13" s="1"/>
  <c r="Q33" i="11"/>
  <c r="P33" i="11"/>
  <c r="I33" i="11"/>
  <c r="S33" i="11" s="1"/>
  <c r="X33" i="11" s="1"/>
  <c r="H33" i="11"/>
  <c r="F673" i="13" s="1"/>
  <c r="B12" i="3"/>
  <c r="H27" i="11"/>
  <c r="F667" i="13" s="1"/>
  <c r="I27" i="11"/>
  <c r="J27" i="11" s="1"/>
  <c r="K27" i="11" s="1"/>
  <c r="L27" i="11" s="1"/>
  <c r="M27" i="11" s="1"/>
  <c r="N27" i="11" s="1"/>
  <c r="O27" i="11" s="1"/>
  <c r="P27" i="11"/>
  <c r="Q27" i="11"/>
  <c r="H28" i="11"/>
  <c r="F668" i="13" s="1"/>
  <c r="I28" i="11"/>
  <c r="J28" i="11" s="1"/>
  <c r="K28" i="11" s="1"/>
  <c r="L28" i="11" s="1"/>
  <c r="M28" i="11" s="1"/>
  <c r="N28" i="11" s="1"/>
  <c r="O28" i="11" s="1"/>
  <c r="P28" i="11"/>
  <c r="Q28" i="11"/>
  <c r="H29" i="11"/>
  <c r="F669" i="13" s="1"/>
  <c r="I29" i="11"/>
  <c r="J29" i="11" s="1"/>
  <c r="K29" i="11" s="1"/>
  <c r="L29" i="11" s="1"/>
  <c r="M29" i="11" s="1"/>
  <c r="N29" i="11" s="1"/>
  <c r="O29" i="11" s="1"/>
  <c r="P29" i="11"/>
  <c r="Q29" i="11"/>
  <c r="H30" i="11"/>
  <c r="F670" i="13" s="1"/>
  <c r="I30" i="11"/>
  <c r="J30" i="11" s="1"/>
  <c r="K30" i="11" s="1"/>
  <c r="L30" i="11" s="1"/>
  <c r="M30" i="11" s="1"/>
  <c r="N30" i="11" s="1"/>
  <c r="O30" i="11" s="1"/>
  <c r="P30" i="11"/>
  <c r="Q30" i="11"/>
  <c r="H31" i="11"/>
  <c r="F671" i="13" s="1"/>
  <c r="I31" i="11"/>
  <c r="S31" i="11" s="1"/>
  <c r="T31" i="11" s="1"/>
  <c r="P31" i="11"/>
  <c r="Q31" i="11"/>
  <c r="H32" i="11"/>
  <c r="F672" i="13" s="1"/>
  <c r="I32" i="11"/>
  <c r="J32" i="11" s="1"/>
  <c r="K32" i="11" s="1"/>
  <c r="L32" i="11" s="1"/>
  <c r="M32" i="11" s="1"/>
  <c r="N32" i="11" s="1"/>
  <c r="O32" i="11" s="1"/>
  <c r="P32" i="11"/>
  <c r="Q32" i="11"/>
  <c r="Q11" i="11"/>
  <c r="P11" i="11"/>
  <c r="H11" i="11"/>
  <c r="S10" i="12"/>
  <c r="R10" i="12"/>
  <c r="G10" i="12"/>
  <c r="F10" i="12"/>
  <c r="E10" i="12"/>
  <c r="D10" i="12"/>
  <c r="C10" i="12"/>
  <c r="B10" i="12"/>
  <c r="S17" i="12"/>
  <c r="R17" i="12"/>
  <c r="G17" i="12"/>
  <c r="F17" i="12"/>
  <c r="E17" i="12"/>
  <c r="D17" i="12"/>
  <c r="C17" i="12"/>
  <c r="B17" i="12"/>
  <c r="S16" i="12"/>
  <c r="R16" i="12"/>
  <c r="G16" i="12"/>
  <c r="F16" i="12"/>
  <c r="E16" i="12"/>
  <c r="D16" i="12"/>
  <c r="C16" i="12"/>
  <c r="B16" i="12"/>
  <c r="S15" i="12"/>
  <c r="R15" i="12"/>
  <c r="G15" i="12"/>
  <c r="F15" i="12"/>
  <c r="E15" i="12"/>
  <c r="D15" i="12"/>
  <c r="C15" i="12"/>
  <c r="B15" i="12"/>
  <c r="S14" i="12"/>
  <c r="R14" i="12"/>
  <c r="G14" i="12"/>
  <c r="F14" i="12"/>
  <c r="E14" i="12"/>
  <c r="D14" i="12"/>
  <c r="C14" i="12"/>
  <c r="B14" i="12"/>
  <c r="S13" i="12"/>
  <c r="R13" i="12"/>
  <c r="G13" i="12"/>
  <c r="F13" i="12"/>
  <c r="E13" i="12"/>
  <c r="D13" i="12"/>
  <c r="C13" i="12"/>
  <c r="B13" i="12"/>
  <c r="S12" i="12"/>
  <c r="R12" i="12"/>
  <c r="G12" i="12"/>
  <c r="F12" i="12"/>
  <c r="E12" i="12"/>
  <c r="D12" i="12"/>
  <c r="C12" i="12"/>
  <c r="B12" i="12"/>
  <c r="S11" i="12"/>
  <c r="R11" i="12"/>
  <c r="G11" i="12"/>
  <c r="F11" i="12"/>
  <c r="E11" i="12"/>
  <c r="D11" i="12"/>
  <c r="C11" i="12"/>
  <c r="B11" i="12"/>
  <c r="S9" i="12"/>
  <c r="R9" i="12"/>
  <c r="G9" i="12"/>
  <c r="F9" i="12"/>
  <c r="E9" i="12"/>
  <c r="D9" i="12"/>
  <c r="C9" i="12"/>
  <c r="B9" i="12"/>
  <c r="S8" i="12"/>
  <c r="R8" i="12"/>
  <c r="G8" i="12"/>
  <c r="F8" i="12"/>
  <c r="E8" i="12"/>
  <c r="D8" i="12"/>
  <c r="C8" i="12"/>
  <c r="B8" i="12"/>
  <c r="S7" i="12"/>
  <c r="R7" i="12"/>
  <c r="G7" i="12"/>
  <c r="F7" i="12"/>
  <c r="E7" i="12"/>
  <c r="D7" i="12"/>
  <c r="C7" i="12"/>
  <c r="B7" i="12"/>
  <c r="S6" i="12"/>
  <c r="R6" i="12"/>
  <c r="G6" i="12"/>
  <c r="F6" i="12"/>
  <c r="E6" i="12"/>
  <c r="D6" i="12"/>
  <c r="C6" i="12"/>
  <c r="B6" i="12"/>
  <c r="S5" i="12"/>
  <c r="R5" i="12"/>
  <c r="G5" i="12"/>
  <c r="F5" i="12"/>
  <c r="E5" i="12"/>
  <c r="D5" i="12"/>
  <c r="C5" i="12"/>
  <c r="B5" i="12"/>
  <c r="Q15" i="11"/>
  <c r="P15" i="11"/>
  <c r="H15" i="11"/>
  <c r="Q14" i="11"/>
  <c r="P14" i="11"/>
  <c r="H14" i="11"/>
  <c r="Q13" i="11"/>
  <c r="P13" i="11"/>
  <c r="H13" i="11"/>
  <c r="Q12" i="11"/>
  <c r="P12" i="11"/>
  <c r="H12" i="11"/>
  <c r="Q10" i="11"/>
  <c r="P10" i="11"/>
  <c r="H10" i="11"/>
  <c r="Q9" i="11"/>
  <c r="P9" i="11"/>
  <c r="H9" i="11"/>
  <c r="Q8" i="11"/>
  <c r="P8" i="11"/>
  <c r="H8" i="11"/>
  <c r="Q7" i="11"/>
  <c r="P7" i="11"/>
  <c r="H7" i="11"/>
  <c r="Q6" i="11"/>
  <c r="P6" i="11"/>
  <c r="H6" i="11"/>
  <c r="S25" i="12"/>
  <c r="R25" i="12"/>
  <c r="G25" i="12"/>
  <c r="F25" i="12"/>
  <c r="E25" i="12"/>
  <c r="D25" i="12"/>
  <c r="C25" i="12"/>
  <c r="B25" i="12"/>
  <c r="S24" i="12"/>
  <c r="R24" i="12"/>
  <c r="G24" i="12"/>
  <c r="F24" i="12"/>
  <c r="E24" i="12"/>
  <c r="D24" i="12"/>
  <c r="C24" i="12"/>
  <c r="B24" i="12"/>
  <c r="S23" i="12"/>
  <c r="R23" i="12"/>
  <c r="G23" i="12"/>
  <c r="F23" i="12"/>
  <c r="E23" i="12"/>
  <c r="D23" i="12"/>
  <c r="C23" i="12"/>
  <c r="B23" i="12"/>
  <c r="S22" i="12"/>
  <c r="R22" i="12"/>
  <c r="G22" i="12"/>
  <c r="F22" i="12"/>
  <c r="E22" i="12"/>
  <c r="D22" i="12"/>
  <c r="C22" i="12"/>
  <c r="B22" i="12"/>
  <c r="S21" i="12"/>
  <c r="R21" i="12"/>
  <c r="G21" i="12"/>
  <c r="F21" i="12"/>
  <c r="E21" i="12"/>
  <c r="D21" i="12"/>
  <c r="C21" i="12"/>
  <c r="B21" i="12"/>
  <c r="S20" i="12"/>
  <c r="R20" i="12"/>
  <c r="G20" i="12"/>
  <c r="F20" i="12"/>
  <c r="E20" i="12"/>
  <c r="D20" i="12"/>
  <c r="C20" i="12"/>
  <c r="B20" i="12"/>
  <c r="S19" i="12"/>
  <c r="R19" i="12"/>
  <c r="G19" i="12"/>
  <c r="F19" i="12"/>
  <c r="E19" i="12"/>
  <c r="D19" i="12"/>
  <c r="C19" i="12"/>
  <c r="B19" i="12"/>
  <c r="S18" i="12"/>
  <c r="R18" i="12"/>
  <c r="G18" i="12"/>
  <c r="F18" i="12"/>
  <c r="E18" i="12"/>
  <c r="D18" i="12"/>
  <c r="C18" i="12"/>
  <c r="B18" i="12"/>
  <c r="Q23" i="11"/>
  <c r="P23" i="11"/>
  <c r="I23" i="11"/>
  <c r="S23" i="11" s="1"/>
  <c r="AF23" i="11" s="1"/>
  <c r="H23" i="11"/>
  <c r="F663" i="13" s="1"/>
  <c r="Q22" i="11"/>
  <c r="P22" i="11"/>
  <c r="I22" i="11"/>
  <c r="S22" i="11" s="1"/>
  <c r="X22" i="11" s="1"/>
  <c r="H22" i="11"/>
  <c r="F662" i="13" s="1"/>
  <c r="Q21" i="11"/>
  <c r="P21" i="11"/>
  <c r="I21" i="11"/>
  <c r="S21" i="11" s="1"/>
  <c r="AF21" i="11" s="1"/>
  <c r="H21" i="11"/>
  <c r="F661" i="13" s="1"/>
  <c r="Q20" i="11"/>
  <c r="P20" i="11"/>
  <c r="I20" i="11"/>
  <c r="J20" i="11" s="1"/>
  <c r="K20" i="11" s="1"/>
  <c r="L20" i="11" s="1"/>
  <c r="M20" i="11" s="1"/>
  <c r="N20" i="11" s="1"/>
  <c r="O20" i="11" s="1"/>
  <c r="H20" i="11"/>
  <c r="F660" i="13" s="1"/>
  <c r="Q19" i="11"/>
  <c r="P19" i="11"/>
  <c r="I19" i="11"/>
  <c r="J19" i="11" s="1"/>
  <c r="K19" i="11" s="1"/>
  <c r="L19" i="11" s="1"/>
  <c r="M19" i="11" s="1"/>
  <c r="N19" i="11" s="1"/>
  <c r="O19" i="11" s="1"/>
  <c r="H19" i="11"/>
  <c r="F659" i="13" s="1"/>
  <c r="Q18" i="11"/>
  <c r="P18" i="11"/>
  <c r="I18" i="11"/>
  <c r="J18" i="11" s="1"/>
  <c r="K18" i="11" s="1"/>
  <c r="L18" i="11" s="1"/>
  <c r="M18" i="11" s="1"/>
  <c r="N18" i="11" s="1"/>
  <c r="O18" i="11" s="1"/>
  <c r="H18" i="11"/>
  <c r="F658" i="13" s="1"/>
  <c r="Q17" i="11"/>
  <c r="P17" i="11"/>
  <c r="H17" i="11"/>
  <c r="Q16" i="11"/>
  <c r="P16" i="11"/>
  <c r="H16" i="11"/>
  <c r="F641" i="13"/>
  <c r="F640" i="13"/>
  <c r="F639" i="13"/>
  <c r="AB47" i="11" l="1"/>
  <c r="W47" i="11"/>
  <c r="AB45" i="11"/>
  <c r="W45" i="11"/>
  <c r="T62" i="11"/>
  <c r="U62" i="11"/>
  <c r="AD62" i="11" s="1"/>
  <c r="AF62" i="11"/>
  <c r="D15" i="6"/>
  <c r="E15" i="6"/>
  <c r="D8" i="6"/>
  <c r="E8" i="6"/>
  <c r="X62" i="11"/>
  <c r="M732" i="13"/>
  <c r="Q732" i="13" s="1"/>
  <c r="M746" i="13"/>
  <c r="Q746" i="13" s="1"/>
  <c r="L11" i="6"/>
  <c r="D13" i="3"/>
  <c r="AE98" i="11"/>
  <c r="L10" i="6"/>
  <c r="K15" i="6"/>
  <c r="AC99" i="11"/>
  <c r="AB34" i="6" s="1"/>
  <c r="M742" i="13"/>
  <c r="Q742" i="13" s="1"/>
  <c r="L12" i="6"/>
  <c r="C11" i="2"/>
  <c r="C16" i="2"/>
  <c r="AE93" i="11"/>
  <c r="K7" i="6"/>
  <c r="L7" i="6"/>
  <c r="C12" i="2"/>
  <c r="L14" i="6"/>
  <c r="M708" i="13"/>
  <c r="Q708" i="13" s="1"/>
  <c r="AE84" i="11"/>
  <c r="AF19" i="6" s="1"/>
  <c r="K8" i="6"/>
  <c r="C9" i="2"/>
  <c r="D9" i="2" s="1"/>
  <c r="C10" i="2"/>
  <c r="D10" i="2" s="1"/>
  <c r="I8" i="3"/>
  <c r="D8" i="3"/>
  <c r="I9" i="3"/>
  <c r="D659" i="13"/>
  <c r="P659" i="13"/>
  <c r="I7" i="11"/>
  <c r="S7" i="11" s="1"/>
  <c r="X7" i="11" s="1"/>
  <c r="F647" i="13"/>
  <c r="D673" i="13"/>
  <c r="P673" i="13"/>
  <c r="I10" i="11"/>
  <c r="F650" i="13"/>
  <c r="D680" i="13"/>
  <c r="P680" i="13"/>
  <c r="D675" i="13"/>
  <c r="P675" i="13"/>
  <c r="F645" i="13"/>
  <c r="I14" i="11"/>
  <c r="J14" i="11" s="1"/>
  <c r="K14" i="11" s="1"/>
  <c r="L14" i="11" s="1"/>
  <c r="M14" i="11" s="1"/>
  <c r="N14" i="11" s="1"/>
  <c r="O14" i="11" s="1"/>
  <c r="F654" i="13"/>
  <c r="D672" i="13"/>
  <c r="P672" i="13"/>
  <c r="D670" i="13"/>
  <c r="P670" i="13"/>
  <c r="D668" i="13"/>
  <c r="P668" i="13"/>
  <c r="D678" i="13"/>
  <c r="P678" i="13"/>
  <c r="F707" i="13"/>
  <c r="D702" i="13"/>
  <c r="P702" i="13"/>
  <c r="D695" i="13"/>
  <c r="P695" i="13"/>
  <c r="D696" i="13"/>
  <c r="P696" i="13"/>
  <c r="D661" i="13"/>
  <c r="P661" i="13"/>
  <c r="D640" i="13"/>
  <c r="P640" i="13"/>
  <c r="I8" i="11"/>
  <c r="S8" i="11" s="1"/>
  <c r="AF8" i="11" s="1"/>
  <c r="F648" i="13"/>
  <c r="D658" i="13"/>
  <c r="P658" i="13"/>
  <c r="D660" i="13"/>
  <c r="P660" i="13"/>
  <c r="D662" i="13"/>
  <c r="P662" i="13"/>
  <c r="F643" i="13"/>
  <c r="I12" i="11"/>
  <c r="F652" i="13"/>
  <c r="D674" i="13"/>
  <c r="P674" i="13"/>
  <c r="I36" i="11"/>
  <c r="S36" i="11" s="1"/>
  <c r="AF36" i="11" s="1"/>
  <c r="F676" i="13"/>
  <c r="F681" i="13"/>
  <c r="D693" i="13"/>
  <c r="P693" i="13"/>
  <c r="D692" i="13"/>
  <c r="P692" i="13"/>
  <c r="D694" i="13"/>
  <c r="P694" i="13"/>
  <c r="D663" i="13"/>
  <c r="P663" i="13"/>
  <c r="I11" i="11"/>
  <c r="F651" i="13"/>
  <c r="D718" i="13"/>
  <c r="P718" i="13"/>
  <c r="I17" i="11"/>
  <c r="F657" i="13"/>
  <c r="F642" i="13"/>
  <c r="I6" i="11"/>
  <c r="F646" i="13"/>
  <c r="I15" i="11"/>
  <c r="F655" i="13"/>
  <c r="I16" i="11"/>
  <c r="S16" i="11" s="1"/>
  <c r="X16" i="11" s="1"/>
  <c r="F656" i="13"/>
  <c r="I9" i="11"/>
  <c r="S9" i="11" s="1"/>
  <c r="X9" i="11" s="1"/>
  <c r="F649" i="13"/>
  <c r="D671" i="13"/>
  <c r="P671" i="13"/>
  <c r="D669" i="13"/>
  <c r="P669" i="13"/>
  <c r="D667" i="13"/>
  <c r="P667" i="13"/>
  <c r="I39" i="11"/>
  <c r="J39" i="11" s="1"/>
  <c r="K39" i="11" s="1"/>
  <c r="L39" i="11" s="1"/>
  <c r="M39" i="11" s="1"/>
  <c r="N39" i="11" s="1"/>
  <c r="O39" i="11" s="1"/>
  <c r="G7" i="6" s="1"/>
  <c r="F679" i="13"/>
  <c r="D639" i="13"/>
  <c r="P639" i="13"/>
  <c r="D641" i="13"/>
  <c r="P641" i="13"/>
  <c r="F644" i="13"/>
  <c r="I13" i="11"/>
  <c r="F653" i="13"/>
  <c r="I37" i="11"/>
  <c r="S37" i="11" s="1"/>
  <c r="X37" i="11" s="1"/>
  <c r="F677" i="13"/>
  <c r="D706" i="13"/>
  <c r="P706" i="13"/>
  <c r="M722" i="13"/>
  <c r="Q722" i="13" s="1"/>
  <c r="M723" i="13"/>
  <c r="Q723" i="13" s="1"/>
  <c r="M717" i="13"/>
  <c r="Q717" i="13" s="1"/>
  <c r="I12" i="2"/>
  <c r="AA76" i="11"/>
  <c r="AC76" i="11" s="1"/>
  <c r="AE76" i="11" s="1"/>
  <c r="AA74" i="11"/>
  <c r="AC74" i="11" s="1"/>
  <c r="AE74" i="11" s="1"/>
  <c r="M715" i="13"/>
  <c r="Q715" i="13" s="1"/>
  <c r="M712" i="13"/>
  <c r="Q712" i="13" s="1"/>
  <c r="S78" i="11"/>
  <c r="AA62" i="11"/>
  <c r="AC62" i="11" s="1"/>
  <c r="AE62" i="11" s="1"/>
  <c r="J17" i="2"/>
  <c r="J18" i="3"/>
  <c r="I20" i="2"/>
  <c r="I17" i="2"/>
  <c r="C21" i="3"/>
  <c r="D21" i="3" s="1"/>
  <c r="C18" i="3"/>
  <c r="D20" i="2"/>
  <c r="Z54" i="11"/>
  <c r="V11" i="6" s="1"/>
  <c r="Z50" i="11"/>
  <c r="Z48" i="11"/>
  <c r="Z46" i="11"/>
  <c r="Z44" i="11"/>
  <c r="Z42" i="11"/>
  <c r="I16" i="2"/>
  <c r="S64" i="11"/>
  <c r="U57" i="11"/>
  <c r="AD57" i="11" s="1"/>
  <c r="AD14" i="6" s="1"/>
  <c r="Y57" i="11"/>
  <c r="X57" i="11"/>
  <c r="T14" i="6" s="1"/>
  <c r="T57" i="11"/>
  <c r="J64" i="11"/>
  <c r="K64" i="11" s="1"/>
  <c r="L64" i="11" s="1"/>
  <c r="M64" i="11" s="1"/>
  <c r="Y63" i="11"/>
  <c r="X63" i="11"/>
  <c r="J21" i="3"/>
  <c r="J20" i="2"/>
  <c r="U63" i="11"/>
  <c r="AD63" i="11" s="1"/>
  <c r="J17" i="3"/>
  <c r="J16" i="2"/>
  <c r="T63" i="11"/>
  <c r="J63" i="11"/>
  <c r="K63" i="11" s="1"/>
  <c r="L63" i="11" s="1"/>
  <c r="M63" i="11" s="1"/>
  <c r="I67" i="11"/>
  <c r="J67" i="11" s="1"/>
  <c r="K67" i="11" s="1"/>
  <c r="L67" i="11" s="1"/>
  <c r="M67" i="11" s="1"/>
  <c r="N67" i="11" s="1"/>
  <c r="O67" i="11" s="1"/>
  <c r="G15" i="6" s="1"/>
  <c r="I66" i="11"/>
  <c r="I40" i="11"/>
  <c r="J40" i="11" s="1"/>
  <c r="K40" i="11" s="1"/>
  <c r="L40" i="11" s="1"/>
  <c r="M40" i="11" s="1"/>
  <c r="N40" i="11" s="1"/>
  <c r="O40" i="11" s="1"/>
  <c r="U65" i="11"/>
  <c r="AD65" i="11" s="1"/>
  <c r="T65" i="11"/>
  <c r="Y65" i="11"/>
  <c r="AA59" i="11"/>
  <c r="AC59" i="11" s="1"/>
  <c r="AE59" i="11" s="1"/>
  <c r="X65" i="11"/>
  <c r="I17" i="3"/>
  <c r="I11" i="2"/>
  <c r="Y47" i="11"/>
  <c r="T48" i="11"/>
  <c r="T51" i="11"/>
  <c r="U48" i="11"/>
  <c r="AD48" i="11" s="1"/>
  <c r="T46" i="11"/>
  <c r="U54" i="11"/>
  <c r="AD54" i="11" s="1"/>
  <c r="AD11" i="6" s="1"/>
  <c r="U51" i="11"/>
  <c r="AD51" i="11" s="1"/>
  <c r="AF46" i="11"/>
  <c r="J49" i="11"/>
  <c r="U42" i="11"/>
  <c r="AD42" i="11" s="1"/>
  <c r="X46" i="11"/>
  <c r="J46" i="11"/>
  <c r="Y49" i="11"/>
  <c r="J44" i="11"/>
  <c r="X42" i="11"/>
  <c r="AF44" i="11"/>
  <c r="T45" i="11"/>
  <c r="T44" i="11"/>
  <c r="X45" i="11"/>
  <c r="X44" i="11"/>
  <c r="AF42" i="11"/>
  <c r="AF45" i="11"/>
  <c r="T42" i="11"/>
  <c r="U44" i="11"/>
  <c r="AD44" i="11" s="1"/>
  <c r="Y45" i="11"/>
  <c r="X50" i="11"/>
  <c r="U46" i="11"/>
  <c r="AD46" i="11" s="1"/>
  <c r="J45" i="11"/>
  <c r="Y51" i="11"/>
  <c r="Y53" i="11"/>
  <c r="J51" i="11"/>
  <c r="T53" i="11"/>
  <c r="X51" i="11"/>
  <c r="S43" i="11"/>
  <c r="S52" i="11"/>
  <c r="L9" i="6" s="1"/>
  <c r="J47" i="11"/>
  <c r="J53" i="11"/>
  <c r="S56" i="11"/>
  <c r="L13" i="6" s="1"/>
  <c r="I10" i="3"/>
  <c r="I9" i="2"/>
  <c r="J12" i="2"/>
  <c r="J10" i="3"/>
  <c r="X48" i="11"/>
  <c r="AF48" i="11"/>
  <c r="U53" i="11"/>
  <c r="AD53" i="11" s="1"/>
  <c r="AD10" i="6" s="1"/>
  <c r="X53" i="11"/>
  <c r="T10" i="6" s="1"/>
  <c r="J48" i="11"/>
  <c r="T55" i="11"/>
  <c r="U55" i="11"/>
  <c r="AD55" i="11" s="1"/>
  <c r="AD12" i="6" s="1"/>
  <c r="Y55" i="11"/>
  <c r="I41" i="11"/>
  <c r="S41" i="11" s="1"/>
  <c r="X41" i="11" s="1"/>
  <c r="T8" i="6" s="1"/>
  <c r="AF54" i="11"/>
  <c r="T49" i="11"/>
  <c r="U50" i="11"/>
  <c r="AD50" i="11" s="1"/>
  <c r="T54" i="11"/>
  <c r="U49" i="11"/>
  <c r="AD49" i="11" s="1"/>
  <c r="X49" i="11"/>
  <c r="J55" i="11"/>
  <c r="AF47" i="11"/>
  <c r="X47" i="11"/>
  <c r="T47" i="11"/>
  <c r="J54" i="11"/>
  <c r="J50" i="11"/>
  <c r="AF50" i="11"/>
  <c r="X54" i="11"/>
  <c r="T11" i="6" s="1"/>
  <c r="T50" i="11"/>
  <c r="X55" i="11"/>
  <c r="T12" i="6" s="1"/>
  <c r="J10" i="2"/>
  <c r="J7" i="3"/>
  <c r="J11" i="2"/>
  <c r="J9" i="3"/>
  <c r="J9" i="2"/>
  <c r="S40" i="11"/>
  <c r="AF40" i="11" s="1"/>
  <c r="I7" i="3"/>
  <c r="J38" i="11"/>
  <c r="K38" i="11" s="1"/>
  <c r="L38" i="11" s="1"/>
  <c r="M38" i="11" s="1"/>
  <c r="N38" i="11" s="1"/>
  <c r="O38" i="11" s="1"/>
  <c r="D7" i="3" s="1"/>
  <c r="J36" i="11"/>
  <c r="K36" i="11" s="1"/>
  <c r="L36" i="11" s="1"/>
  <c r="M36" i="11" s="1"/>
  <c r="N36" i="11" s="1"/>
  <c r="O36" i="11" s="1"/>
  <c r="J35" i="11"/>
  <c r="K35" i="11" s="1"/>
  <c r="L35" i="11" s="1"/>
  <c r="M35" i="11" s="1"/>
  <c r="N35" i="11" s="1"/>
  <c r="O35" i="11" s="1"/>
  <c r="J34" i="11"/>
  <c r="K34" i="11" s="1"/>
  <c r="L34" i="11" s="1"/>
  <c r="M34" i="11" s="1"/>
  <c r="N34" i="11" s="1"/>
  <c r="O34" i="11" s="1"/>
  <c r="X34" i="11"/>
  <c r="J33" i="11"/>
  <c r="K33" i="11" s="1"/>
  <c r="L33" i="11" s="1"/>
  <c r="M33" i="11" s="1"/>
  <c r="N33" i="11" s="1"/>
  <c r="O33" i="11" s="1"/>
  <c r="U34" i="11"/>
  <c r="AD34" i="11" s="1"/>
  <c r="T33" i="11"/>
  <c r="Y33" i="11"/>
  <c r="AF33" i="11"/>
  <c r="T35" i="11"/>
  <c r="Y35" i="11"/>
  <c r="U38" i="11"/>
  <c r="AD38" i="11" s="1"/>
  <c r="AF35" i="11"/>
  <c r="X38" i="11"/>
  <c r="Y34" i="11"/>
  <c r="Y38" i="11"/>
  <c r="U33" i="11"/>
  <c r="AD33" i="11" s="1"/>
  <c r="U35" i="11"/>
  <c r="AD35" i="11" s="1"/>
  <c r="T34" i="11"/>
  <c r="T38" i="11"/>
  <c r="J31" i="11"/>
  <c r="K31" i="11" s="1"/>
  <c r="L31" i="11" s="1"/>
  <c r="M31" i="11" s="1"/>
  <c r="N31" i="11" s="1"/>
  <c r="O31" i="11" s="1"/>
  <c r="S20" i="11"/>
  <c r="X20" i="11" s="1"/>
  <c r="S29" i="11"/>
  <c r="U29" i="11" s="1"/>
  <c r="AD29" i="11" s="1"/>
  <c r="S19" i="11"/>
  <c r="AF19" i="11" s="1"/>
  <c r="J22" i="11"/>
  <c r="K22" i="11" s="1"/>
  <c r="L22" i="11" s="1"/>
  <c r="M22" i="11" s="1"/>
  <c r="N22" i="11" s="1"/>
  <c r="O22" i="11" s="1"/>
  <c r="S18" i="11"/>
  <c r="X18" i="11" s="1"/>
  <c r="S28" i="11"/>
  <c r="U28" i="11" s="1"/>
  <c r="AD28" i="11" s="1"/>
  <c r="S30" i="11"/>
  <c r="X30" i="11" s="1"/>
  <c r="J23" i="11"/>
  <c r="K23" i="11" s="1"/>
  <c r="L23" i="11" s="1"/>
  <c r="M23" i="11" s="1"/>
  <c r="N23" i="11" s="1"/>
  <c r="O23" i="11" s="1"/>
  <c r="S27" i="11"/>
  <c r="X27" i="11" s="1"/>
  <c r="J21" i="11"/>
  <c r="K21" i="11" s="1"/>
  <c r="L21" i="11" s="1"/>
  <c r="M21" i="11" s="1"/>
  <c r="N21" i="11" s="1"/>
  <c r="O21" i="11" s="1"/>
  <c r="S32" i="11"/>
  <c r="Y31" i="11"/>
  <c r="AF31" i="11"/>
  <c r="X31" i="11"/>
  <c r="U31" i="11"/>
  <c r="AD31" i="11" s="1"/>
  <c r="S11" i="11"/>
  <c r="T11" i="11" s="1"/>
  <c r="J11" i="11"/>
  <c r="K11" i="11" s="1"/>
  <c r="L11" i="11" s="1"/>
  <c r="M11" i="11" s="1"/>
  <c r="N11" i="11" s="1"/>
  <c r="O11" i="11" s="1"/>
  <c r="S14" i="11"/>
  <c r="X14" i="11" s="1"/>
  <c r="J10" i="11"/>
  <c r="K10" i="11" s="1"/>
  <c r="L10" i="11" s="1"/>
  <c r="M10" i="11" s="1"/>
  <c r="N10" i="11" s="1"/>
  <c r="O10" i="11" s="1"/>
  <c r="S10" i="11"/>
  <c r="AF10" i="11" s="1"/>
  <c r="J15" i="11"/>
  <c r="K15" i="11" s="1"/>
  <c r="L15" i="11" s="1"/>
  <c r="M15" i="11" s="1"/>
  <c r="N15" i="11" s="1"/>
  <c r="O15" i="11" s="1"/>
  <c r="S15" i="11"/>
  <c r="AF15" i="11" s="1"/>
  <c r="S13" i="11"/>
  <c r="AF13" i="11" s="1"/>
  <c r="J13" i="11"/>
  <c r="K13" i="11" s="1"/>
  <c r="L13" i="11" s="1"/>
  <c r="M13" i="11" s="1"/>
  <c r="N13" i="11" s="1"/>
  <c r="O13" i="11" s="1"/>
  <c r="S12" i="11"/>
  <c r="X12" i="11" s="1"/>
  <c r="J12" i="11"/>
  <c r="K12" i="11" s="1"/>
  <c r="L12" i="11" s="1"/>
  <c r="M12" i="11" s="1"/>
  <c r="N12" i="11" s="1"/>
  <c r="O12" i="11" s="1"/>
  <c r="J17" i="11"/>
  <c r="K17" i="11" s="1"/>
  <c r="L17" i="11" s="1"/>
  <c r="M17" i="11" s="1"/>
  <c r="N17" i="11" s="1"/>
  <c r="O17" i="11" s="1"/>
  <c r="S17" i="11"/>
  <c r="AF17" i="11" s="1"/>
  <c r="S6" i="11"/>
  <c r="AF6" i="11" s="1"/>
  <c r="J6" i="11"/>
  <c r="K6" i="11" s="1"/>
  <c r="L6" i="11" s="1"/>
  <c r="M6" i="11" s="1"/>
  <c r="N6" i="11" s="1"/>
  <c r="O6" i="11" s="1"/>
  <c r="J16" i="11"/>
  <c r="K16" i="11" s="1"/>
  <c r="L16" i="11" s="1"/>
  <c r="M16" i="11" s="1"/>
  <c r="N16" i="11" s="1"/>
  <c r="O16" i="11" s="1"/>
  <c r="J9" i="11"/>
  <c r="K9" i="11" s="1"/>
  <c r="L9" i="11" s="1"/>
  <c r="M9" i="11" s="1"/>
  <c r="N9" i="11" s="1"/>
  <c r="O9" i="11" s="1"/>
  <c r="J7" i="11"/>
  <c r="K7" i="11" s="1"/>
  <c r="L7" i="11" s="1"/>
  <c r="M7" i="11" s="1"/>
  <c r="N7" i="11" s="1"/>
  <c r="O7" i="11" s="1"/>
  <c r="J8" i="11"/>
  <c r="K8" i="11" s="1"/>
  <c r="L8" i="11" s="1"/>
  <c r="M8" i="11" s="1"/>
  <c r="N8" i="11" s="1"/>
  <c r="O8" i="11" s="1"/>
  <c r="Y22" i="11"/>
  <c r="U21" i="11"/>
  <c r="AD21" i="11" s="1"/>
  <c r="U23" i="11"/>
  <c r="AD23" i="11" s="1"/>
  <c r="X21" i="11"/>
  <c r="X23" i="11"/>
  <c r="Y21" i="11"/>
  <c r="Y23" i="11"/>
  <c r="T22" i="11"/>
  <c r="AF22" i="11"/>
  <c r="U22" i="11"/>
  <c r="AD22" i="11" s="1"/>
  <c r="T21" i="11"/>
  <c r="T23" i="11"/>
  <c r="F634" i="13"/>
  <c r="F633" i="13"/>
  <c r="F632" i="13"/>
  <c r="F631" i="13"/>
  <c r="F630" i="13"/>
  <c r="F629" i="13"/>
  <c r="F628" i="13"/>
  <c r="F627" i="13"/>
  <c r="F626" i="13"/>
  <c r="F625" i="13"/>
  <c r="F624" i="13"/>
  <c r="F622" i="13"/>
  <c r="P5" i="11"/>
  <c r="G6" i="6" s="1"/>
  <c r="I5" i="11"/>
  <c r="J5" i="11" s="1"/>
  <c r="K5" i="11" s="1"/>
  <c r="L5" i="11" s="1"/>
  <c r="M5" i="11" s="1"/>
  <c r="N5" i="11" s="1"/>
  <c r="O5" i="11" s="1"/>
  <c r="F613" i="13"/>
  <c r="F612" i="13"/>
  <c r="F611" i="13"/>
  <c r="F610" i="13"/>
  <c r="F609" i="13"/>
  <c r="F608" i="13"/>
  <c r="F607" i="13"/>
  <c r="F606" i="13"/>
  <c r="F605" i="13"/>
  <c r="F604" i="13"/>
  <c r="S4" i="12"/>
  <c r="R4" i="12"/>
  <c r="G4" i="12"/>
  <c r="F4" i="12"/>
  <c r="C6" i="3" s="1"/>
  <c r="E4" i="12"/>
  <c r="D4" i="12"/>
  <c r="C4" i="12"/>
  <c r="B4" i="12"/>
  <c r="F601" i="13"/>
  <c r="F600" i="13"/>
  <c r="F599" i="13"/>
  <c r="F598" i="13"/>
  <c r="F597" i="13"/>
  <c r="F596" i="13"/>
  <c r="F595" i="13"/>
  <c r="F594" i="13"/>
  <c r="F593" i="13"/>
  <c r="F592" i="13"/>
  <c r="F591" i="13"/>
  <c r="F635" i="13"/>
  <c r="F616" i="13"/>
  <c r="W55" i="11" l="1"/>
  <c r="R12" i="6" s="1"/>
  <c r="W57" i="11"/>
  <c r="R14" i="6" s="1"/>
  <c r="W54" i="11"/>
  <c r="R11" i="6" s="1"/>
  <c r="W53" i="11"/>
  <c r="R10" i="6" s="1"/>
  <c r="X36" i="11"/>
  <c r="U16" i="11"/>
  <c r="AD16" i="11" s="1"/>
  <c r="AF16" i="11"/>
  <c r="T16" i="11"/>
  <c r="Y16" i="11"/>
  <c r="Z16" i="11" s="1"/>
  <c r="AB29" i="11"/>
  <c r="W29" i="11"/>
  <c r="AB46" i="11"/>
  <c r="W46" i="11"/>
  <c r="AB42" i="11"/>
  <c r="W42" i="11"/>
  <c r="AB34" i="11"/>
  <c r="W34" i="11"/>
  <c r="AB62" i="11"/>
  <c r="W62" i="11"/>
  <c r="AB31" i="11"/>
  <c r="W31" i="11"/>
  <c r="AB38" i="11"/>
  <c r="W38" i="11"/>
  <c r="AB49" i="11"/>
  <c r="W49" i="11"/>
  <c r="AB44" i="11"/>
  <c r="W44" i="11"/>
  <c r="AB63" i="11"/>
  <c r="W63" i="11"/>
  <c r="AB22" i="11"/>
  <c r="W22" i="11"/>
  <c r="AB28" i="11"/>
  <c r="W28" i="11"/>
  <c r="AB51" i="11"/>
  <c r="W51" i="11"/>
  <c r="AB21" i="11"/>
  <c r="W21" i="11"/>
  <c r="AB35" i="11"/>
  <c r="W35" i="11"/>
  <c r="AB50" i="11"/>
  <c r="W50" i="11"/>
  <c r="AB33" i="11"/>
  <c r="W33" i="11"/>
  <c r="AB65" i="11"/>
  <c r="W65" i="11"/>
  <c r="AB23" i="11"/>
  <c r="W23" i="11"/>
  <c r="AB48" i="11"/>
  <c r="W48" i="11"/>
  <c r="Y36" i="11"/>
  <c r="Z36" i="11" s="1"/>
  <c r="T36" i="11"/>
  <c r="M738" i="13"/>
  <c r="Q738" i="13" s="1"/>
  <c r="D6" i="3"/>
  <c r="U36" i="11"/>
  <c r="AD36" i="11" s="1"/>
  <c r="D6" i="6"/>
  <c r="E6" i="6"/>
  <c r="M733" i="13"/>
  <c r="Q733" i="13" s="1"/>
  <c r="Y7" i="11"/>
  <c r="Z7" i="11" s="1"/>
  <c r="T8" i="11"/>
  <c r="Y8" i="11"/>
  <c r="Z8" i="11" s="1"/>
  <c r="X8" i="11"/>
  <c r="U8" i="11"/>
  <c r="AD8" i="11" s="1"/>
  <c r="U7" i="11"/>
  <c r="AD7" i="11" s="1"/>
  <c r="AF9" i="11"/>
  <c r="Y9" i="11"/>
  <c r="Z9" i="11" s="1"/>
  <c r="D9" i="3"/>
  <c r="T9" i="11"/>
  <c r="AF7" i="11"/>
  <c r="S39" i="11"/>
  <c r="X39" i="11" s="1"/>
  <c r="T7" i="6" s="1"/>
  <c r="T7" i="11"/>
  <c r="U9" i="11"/>
  <c r="AD9" i="11" s="1"/>
  <c r="L8" i="6"/>
  <c r="AE99" i="11"/>
  <c r="AF34" i="6" s="1"/>
  <c r="K6" i="6"/>
  <c r="Y37" i="11"/>
  <c r="Z37" i="11" s="1"/>
  <c r="AA37" i="11" s="1"/>
  <c r="C6" i="2"/>
  <c r="D6" i="2" s="1"/>
  <c r="AB55" i="11"/>
  <c r="Z12" i="6" s="1"/>
  <c r="P12" i="6"/>
  <c r="P14" i="6"/>
  <c r="AB57" i="11"/>
  <c r="Z14" i="6" s="1"/>
  <c r="D11" i="2"/>
  <c r="D17" i="2"/>
  <c r="AF37" i="11"/>
  <c r="AB54" i="11"/>
  <c r="Z11" i="6" s="1"/>
  <c r="P11" i="6"/>
  <c r="N63" i="11"/>
  <c r="D14" i="3"/>
  <c r="D18" i="3"/>
  <c r="U37" i="11"/>
  <c r="AD37" i="11" s="1"/>
  <c r="AB53" i="11"/>
  <c r="Z10" i="6" s="1"/>
  <c r="P10" i="6"/>
  <c r="N64" i="11"/>
  <c r="D15" i="3"/>
  <c r="T37" i="11"/>
  <c r="J37" i="11"/>
  <c r="K37" i="11" s="1"/>
  <c r="L37" i="11" s="1"/>
  <c r="M37" i="11" s="1"/>
  <c r="N37" i="11" s="1"/>
  <c r="O37" i="11" s="1"/>
  <c r="D677" i="13"/>
  <c r="P677" i="13"/>
  <c r="D646" i="13"/>
  <c r="P646" i="13"/>
  <c r="D653" i="13"/>
  <c r="P653" i="13"/>
  <c r="D679" i="13"/>
  <c r="P679" i="13"/>
  <c r="D649" i="13"/>
  <c r="P649" i="13"/>
  <c r="D642" i="13"/>
  <c r="P642" i="13"/>
  <c r="D681" i="13"/>
  <c r="P681" i="13"/>
  <c r="D643" i="13"/>
  <c r="P643" i="13"/>
  <c r="D648" i="13"/>
  <c r="P648" i="13"/>
  <c r="D645" i="13"/>
  <c r="P645" i="13"/>
  <c r="D650" i="13"/>
  <c r="P650" i="13"/>
  <c r="D651" i="13"/>
  <c r="P651" i="13"/>
  <c r="D652" i="13"/>
  <c r="P652" i="13"/>
  <c r="D654" i="13"/>
  <c r="P654" i="13"/>
  <c r="D644" i="13"/>
  <c r="P644" i="13"/>
  <c r="D656" i="13"/>
  <c r="P656" i="13"/>
  <c r="D657" i="13"/>
  <c r="P657" i="13"/>
  <c r="D676" i="13"/>
  <c r="P676" i="13"/>
  <c r="D647" i="13"/>
  <c r="P647" i="13"/>
  <c r="F620" i="13"/>
  <c r="D655" i="13"/>
  <c r="P655" i="13"/>
  <c r="D707" i="13"/>
  <c r="P707" i="13"/>
  <c r="D622" i="13"/>
  <c r="P622" i="13"/>
  <c r="D625" i="13"/>
  <c r="P625" i="13"/>
  <c r="D627" i="13"/>
  <c r="P627" i="13"/>
  <c r="D629" i="13"/>
  <c r="P629" i="13"/>
  <c r="D631" i="13"/>
  <c r="P631" i="13"/>
  <c r="D633" i="13"/>
  <c r="P633" i="13"/>
  <c r="D635" i="13"/>
  <c r="P635" i="13"/>
  <c r="F623" i="13"/>
  <c r="F621" i="13"/>
  <c r="D624" i="13"/>
  <c r="P624" i="13"/>
  <c r="D626" i="13"/>
  <c r="P626" i="13"/>
  <c r="D628" i="13"/>
  <c r="P628" i="13"/>
  <c r="D630" i="13"/>
  <c r="P630" i="13"/>
  <c r="D632" i="13"/>
  <c r="P632" i="13"/>
  <c r="D634" i="13"/>
  <c r="P634" i="13"/>
  <c r="F589" i="13"/>
  <c r="F617" i="13"/>
  <c r="F602" i="13"/>
  <c r="F590" i="13"/>
  <c r="P604" i="13"/>
  <c r="D604" i="13"/>
  <c r="D606" i="13"/>
  <c r="P606" i="13"/>
  <c r="D608" i="13"/>
  <c r="P608" i="13"/>
  <c r="D610" i="13"/>
  <c r="P610" i="13"/>
  <c r="D612" i="13"/>
  <c r="P612" i="13"/>
  <c r="F614" i="13"/>
  <c r="D594" i="13"/>
  <c r="P594" i="13"/>
  <c r="P598" i="13"/>
  <c r="D598" i="13"/>
  <c r="F603" i="13"/>
  <c r="D593" i="13"/>
  <c r="P593" i="13"/>
  <c r="P595" i="13"/>
  <c r="D595" i="13"/>
  <c r="D597" i="13"/>
  <c r="P597" i="13"/>
  <c r="D601" i="13"/>
  <c r="P601" i="13"/>
  <c r="D591" i="13"/>
  <c r="P591" i="13"/>
  <c r="D599" i="13"/>
  <c r="P599" i="13"/>
  <c r="F615" i="13"/>
  <c r="D616" i="13"/>
  <c r="P616" i="13"/>
  <c r="F619" i="13"/>
  <c r="D596" i="13"/>
  <c r="P596" i="13"/>
  <c r="D600" i="13"/>
  <c r="P600" i="13"/>
  <c r="F618" i="13"/>
  <c r="D605" i="13"/>
  <c r="P605" i="13"/>
  <c r="D607" i="13"/>
  <c r="P607" i="13"/>
  <c r="D609" i="13"/>
  <c r="P609" i="13"/>
  <c r="D611" i="13"/>
  <c r="P611" i="13"/>
  <c r="D613" i="13"/>
  <c r="P613" i="13"/>
  <c r="D592" i="13"/>
  <c r="P592" i="13"/>
  <c r="M724" i="13"/>
  <c r="Q724" i="13" s="1"/>
  <c r="M713" i="13"/>
  <c r="Q713" i="13" s="1"/>
  <c r="AF78" i="11"/>
  <c r="K78" i="11"/>
  <c r="D28" i="3" s="1"/>
  <c r="M714" i="13"/>
  <c r="Q714" i="13" s="1"/>
  <c r="U78" i="11"/>
  <c r="AD78" i="11" s="1"/>
  <c r="T78" i="11"/>
  <c r="X78" i="11"/>
  <c r="Y78" i="11"/>
  <c r="M709" i="13"/>
  <c r="Q709" i="13" s="1"/>
  <c r="Z38" i="11"/>
  <c r="Z63" i="11"/>
  <c r="Z65" i="11"/>
  <c r="Y64" i="11"/>
  <c r="M702" i="13"/>
  <c r="Q702" i="13" s="1"/>
  <c r="I21" i="3"/>
  <c r="I18" i="3"/>
  <c r="Z57" i="11"/>
  <c r="V14" i="6" s="1"/>
  <c r="Z55" i="11"/>
  <c r="V12" i="6" s="1"/>
  <c r="AA54" i="11"/>
  <c r="X11" i="6" s="1"/>
  <c r="Z53" i="11"/>
  <c r="V10" i="6" s="1"/>
  <c r="Z51" i="11"/>
  <c r="AA50" i="11"/>
  <c r="AC50" i="11" s="1"/>
  <c r="AE50" i="11" s="1"/>
  <c r="Z49" i="11"/>
  <c r="AA48" i="11"/>
  <c r="AC48" i="11" s="1"/>
  <c r="AE48" i="11" s="1"/>
  <c r="Z47" i="11"/>
  <c r="AA46" i="11"/>
  <c r="AC46" i="11" s="1"/>
  <c r="AE46" i="11" s="1"/>
  <c r="Z45" i="11"/>
  <c r="AA44" i="11"/>
  <c r="AC44" i="11" s="1"/>
  <c r="AE44" i="11" s="1"/>
  <c r="AA42" i="11"/>
  <c r="AC42" i="11" s="1"/>
  <c r="AE42" i="11" s="1"/>
  <c r="AF43" i="11"/>
  <c r="T64" i="11"/>
  <c r="X64" i="11"/>
  <c r="AF64" i="11"/>
  <c r="U64" i="11"/>
  <c r="AD64" i="11" s="1"/>
  <c r="J66" i="11"/>
  <c r="K66" i="11" s="1"/>
  <c r="S66" i="11"/>
  <c r="S67" i="11"/>
  <c r="L15" i="6" s="1"/>
  <c r="M698" i="13"/>
  <c r="Q698" i="13" s="1"/>
  <c r="K54" i="11"/>
  <c r="K55" i="11"/>
  <c r="K49" i="11"/>
  <c r="K50" i="11"/>
  <c r="K51" i="11"/>
  <c r="K48" i="11"/>
  <c r="K53" i="11"/>
  <c r="K47" i="11"/>
  <c r="K46" i="11"/>
  <c r="K45" i="11"/>
  <c r="K44" i="11"/>
  <c r="J41" i="11"/>
  <c r="Y41" i="11"/>
  <c r="U41" i="11"/>
  <c r="AD41" i="11" s="1"/>
  <c r="AD8" i="6" s="1"/>
  <c r="AF41" i="11"/>
  <c r="U40" i="11"/>
  <c r="AD40" i="11" s="1"/>
  <c r="T41" i="11"/>
  <c r="J6" i="3"/>
  <c r="Y52" i="11"/>
  <c r="U52" i="11"/>
  <c r="AD52" i="11" s="1"/>
  <c r="AD9" i="6" s="1"/>
  <c r="AF52" i="11"/>
  <c r="X52" i="11"/>
  <c r="T9" i="6" s="1"/>
  <c r="T52" i="11"/>
  <c r="U43" i="11"/>
  <c r="AD43" i="11" s="1"/>
  <c r="X43" i="11"/>
  <c r="Y56" i="11"/>
  <c r="T56" i="11"/>
  <c r="U56" i="11"/>
  <c r="AD56" i="11" s="1"/>
  <c r="AD13" i="6" s="1"/>
  <c r="AF56" i="11"/>
  <c r="X56" i="11"/>
  <c r="T13" i="6" s="1"/>
  <c r="Y43" i="11"/>
  <c r="T43" i="11"/>
  <c r="Z31" i="11"/>
  <c r="X40" i="11"/>
  <c r="Y40" i="11"/>
  <c r="T40" i="11"/>
  <c r="Z35" i="11"/>
  <c r="Z23" i="11"/>
  <c r="Z22" i="11"/>
  <c r="Z21" i="11"/>
  <c r="Z33" i="11"/>
  <c r="Z34" i="11"/>
  <c r="T20" i="11"/>
  <c r="X19" i="11"/>
  <c r="T19" i="11"/>
  <c r="Y19" i="11"/>
  <c r="U19" i="11"/>
  <c r="AD19" i="11" s="1"/>
  <c r="AF20" i="11"/>
  <c r="U20" i="11"/>
  <c r="AD20" i="11" s="1"/>
  <c r="U18" i="11"/>
  <c r="AD18" i="11" s="1"/>
  <c r="Y20" i="11"/>
  <c r="AF18" i="11"/>
  <c r="T18" i="11"/>
  <c r="Y18" i="11"/>
  <c r="AF30" i="11"/>
  <c r="AF27" i="11"/>
  <c r="Y30" i="11"/>
  <c r="AF29" i="11"/>
  <c r="T30" i="11"/>
  <c r="U30" i="11"/>
  <c r="AD30" i="11" s="1"/>
  <c r="X28" i="11"/>
  <c r="X29" i="11"/>
  <c r="T29" i="11"/>
  <c r="Y11" i="11"/>
  <c r="Y29" i="11"/>
  <c r="T10" i="11"/>
  <c r="U14" i="11"/>
  <c r="AD14" i="11" s="1"/>
  <c r="Y28" i="11"/>
  <c r="T28" i="11"/>
  <c r="T14" i="11"/>
  <c r="AF28" i="11"/>
  <c r="U11" i="11"/>
  <c r="AD11" i="11" s="1"/>
  <c r="Y32" i="11"/>
  <c r="U32" i="11"/>
  <c r="AD32" i="11" s="1"/>
  <c r="X32" i="11"/>
  <c r="Y27" i="11"/>
  <c r="X11" i="11"/>
  <c r="AF11" i="11"/>
  <c r="AF32" i="11"/>
  <c r="T32" i="11"/>
  <c r="U27" i="11"/>
  <c r="AD27" i="11" s="1"/>
  <c r="T27" i="11"/>
  <c r="Y10" i="11"/>
  <c r="Y17" i="11"/>
  <c r="Z17" i="11" s="1"/>
  <c r="AA17" i="11" s="1"/>
  <c r="AF14" i="11"/>
  <c r="T15" i="11"/>
  <c r="T17" i="11"/>
  <c r="X10" i="11"/>
  <c r="U10" i="11"/>
  <c r="AD10" i="11" s="1"/>
  <c r="X17" i="11"/>
  <c r="X13" i="11"/>
  <c r="T13" i="11"/>
  <c r="Y13" i="11"/>
  <c r="U13" i="11"/>
  <c r="AD13" i="11" s="1"/>
  <c r="U17" i="11"/>
  <c r="AD17" i="11" s="1"/>
  <c r="Y14" i="11"/>
  <c r="Y15" i="11"/>
  <c r="X15" i="11"/>
  <c r="U15" i="11"/>
  <c r="AD15" i="11" s="1"/>
  <c r="T6" i="11"/>
  <c r="X6" i="11"/>
  <c r="U6" i="11"/>
  <c r="AD6" i="11" s="1"/>
  <c r="Y6" i="11"/>
  <c r="AF12" i="11"/>
  <c r="U12" i="11"/>
  <c r="AD12" i="11" s="1"/>
  <c r="T12" i="11"/>
  <c r="Y12" i="11"/>
  <c r="I6" i="2"/>
  <c r="S5" i="11"/>
  <c r="AF5" i="11" s="1"/>
  <c r="J6" i="2"/>
  <c r="I6" i="3"/>
  <c r="M614" i="13"/>
  <c r="Q614" i="13" s="1"/>
  <c r="C8" i="2"/>
  <c r="F637" i="13"/>
  <c r="F636" i="13"/>
  <c r="F588" i="13"/>
  <c r="F587" i="13"/>
  <c r="F585" i="13"/>
  <c r="M584" i="13"/>
  <c r="Q584" i="13" s="1"/>
  <c r="F584" i="13"/>
  <c r="W16" i="11" l="1"/>
  <c r="W56" i="11"/>
  <c r="R13" i="6" s="1"/>
  <c r="W52" i="11"/>
  <c r="R9" i="6" s="1"/>
  <c r="AB16" i="11"/>
  <c r="AB30" i="11"/>
  <c r="W30" i="11"/>
  <c r="AB78" i="11"/>
  <c r="W78" i="11"/>
  <c r="AB37" i="11"/>
  <c r="W37" i="11"/>
  <c r="V36" i="12" s="1"/>
  <c r="W41" i="11"/>
  <c r="R8" i="6" s="1"/>
  <c r="AB15" i="11"/>
  <c r="W15" i="11"/>
  <c r="AB14" i="11"/>
  <c r="W14" i="11"/>
  <c r="AB13" i="11"/>
  <c r="W13" i="11"/>
  <c r="AB32" i="11"/>
  <c r="W32" i="11"/>
  <c r="AB18" i="11"/>
  <c r="W18" i="11"/>
  <c r="AB27" i="11"/>
  <c r="W27" i="11"/>
  <c r="AB20" i="11"/>
  <c r="W20" i="11"/>
  <c r="AB9" i="11"/>
  <c r="W9" i="11"/>
  <c r="AB7" i="11"/>
  <c r="W7" i="11"/>
  <c r="AB6" i="11"/>
  <c r="W6" i="11"/>
  <c r="AB12" i="11"/>
  <c r="W12" i="11"/>
  <c r="AB10" i="11"/>
  <c r="W10" i="11"/>
  <c r="AB64" i="11"/>
  <c r="W64" i="11"/>
  <c r="AB11" i="11"/>
  <c r="W11" i="11"/>
  <c r="AB43" i="11"/>
  <c r="W43" i="11"/>
  <c r="AB8" i="11"/>
  <c r="W8" i="11"/>
  <c r="AB36" i="11"/>
  <c r="W36" i="11"/>
  <c r="AB17" i="11"/>
  <c r="W17" i="11"/>
  <c r="AB19" i="11"/>
  <c r="W19" i="11"/>
  <c r="AB40" i="11"/>
  <c r="W40" i="11"/>
  <c r="AF39" i="11"/>
  <c r="Y5" i="11"/>
  <c r="T5" i="11"/>
  <c r="X5" i="11"/>
  <c r="T6" i="6" s="1"/>
  <c r="M739" i="13"/>
  <c r="Q739" i="13" s="1"/>
  <c r="T39" i="11"/>
  <c r="U39" i="11"/>
  <c r="AD39" i="11" s="1"/>
  <c r="Y39" i="11"/>
  <c r="P8" i="6"/>
  <c r="AB41" i="11"/>
  <c r="AC37" i="11"/>
  <c r="AE37" i="11" s="1"/>
  <c r="M677" i="13" s="1"/>
  <c r="Q677" i="13" s="1"/>
  <c r="AC17" i="11"/>
  <c r="AE17" i="11" s="1"/>
  <c r="M657" i="13" s="1"/>
  <c r="Q657" i="13" s="1"/>
  <c r="AB56" i="11"/>
  <c r="Z13" i="6" s="1"/>
  <c r="P13" i="6"/>
  <c r="AB52" i="11"/>
  <c r="Z9" i="6" s="1"/>
  <c r="P9" i="6"/>
  <c r="O63" i="11"/>
  <c r="D13" i="2"/>
  <c r="L6" i="6"/>
  <c r="O64" i="11"/>
  <c r="D14" i="2"/>
  <c r="C7" i="2"/>
  <c r="D7" i="2" s="1"/>
  <c r="L66" i="11"/>
  <c r="D17" i="3"/>
  <c r="AC54" i="11"/>
  <c r="AB11" i="6" s="1"/>
  <c r="F638" i="13"/>
  <c r="D620" i="13"/>
  <c r="P620" i="13"/>
  <c r="D637" i="13"/>
  <c r="P637" i="13"/>
  <c r="D623" i="13"/>
  <c r="P623" i="13"/>
  <c r="D621" i="13"/>
  <c r="P621" i="13"/>
  <c r="D636" i="13"/>
  <c r="P636" i="13"/>
  <c r="D588" i="13"/>
  <c r="P588" i="13"/>
  <c r="D585" i="13"/>
  <c r="P585" i="13"/>
  <c r="D615" i="13"/>
  <c r="P615" i="13"/>
  <c r="D590" i="13"/>
  <c r="P590" i="13"/>
  <c r="D584" i="13"/>
  <c r="P584" i="13"/>
  <c r="D587" i="13"/>
  <c r="P587" i="13"/>
  <c r="D602" i="13"/>
  <c r="P602" i="13"/>
  <c r="D619" i="13"/>
  <c r="P619" i="13"/>
  <c r="D614" i="13"/>
  <c r="P614" i="13"/>
  <c r="D617" i="13"/>
  <c r="P617" i="13"/>
  <c r="D618" i="13"/>
  <c r="P618" i="13"/>
  <c r="D603" i="13"/>
  <c r="P603" i="13"/>
  <c r="D589" i="13"/>
  <c r="P589" i="13"/>
  <c r="M716" i="13"/>
  <c r="Q716" i="13" s="1"/>
  <c r="Z41" i="11"/>
  <c r="V8" i="6" s="1"/>
  <c r="K41" i="11"/>
  <c r="D10" i="3" s="1"/>
  <c r="Z78" i="11"/>
  <c r="L78" i="11"/>
  <c r="D26" i="2" s="1"/>
  <c r="X67" i="11"/>
  <c r="T15" i="6" s="1"/>
  <c r="Z14" i="11"/>
  <c r="Z15" i="11"/>
  <c r="AA38" i="11"/>
  <c r="AC38" i="11" s="1"/>
  <c r="AE38" i="11" s="1"/>
  <c r="AA63" i="11"/>
  <c r="AC63" i="11" s="1"/>
  <c r="AE63" i="11" s="1"/>
  <c r="AA65" i="11"/>
  <c r="AC65" i="11" s="1"/>
  <c r="AE65" i="11" s="1"/>
  <c r="Z64" i="11"/>
  <c r="AF66" i="11"/>
  <c r="AA57" i="11"/>
  <c r="X14" i="6" s="1"/>
  <c r="Z56" i="11"/>
  <c r="V13" i="6" s="1"/>
  <c r="AA55" i="11"/>
  <c r="X12" i="6" s="1"/>
  <c r="AA53" i="11"/>
  <c r="X10" i="6" s="1"/>
  <c r="Z52" i="11"/>
  <c r="V9" i="6" s="1"/>
  <c r="AA51" i="11"/>
  <c r="AC51" i="11" s="1"/>
  <c r="AE51" i="11" s="1"/>
  <c r="AA49" i="11"/>
  <c r="AC49" i="11" s="1"/>
  <c r="AE49" i="11" s="1"/>
  <c r="AA47" i="11"/>
  <c r="AC47" i="11" s="1"/>
  <c r="AE47" i="11" s="1"/>
  <c r="AA45" i="11"/>
  <c r="AC45" i="11" s="1"/>
  <c r="AE45" i="11" s="1"/>
  <c r="Z43" i="11"/>
  <c r="M682" i="13"/>
  <c r="Q682" i="13" s="1"/>
  <c r="Z40" i="11"/>
  <c r="Z6" i="11"/>
  <c r="T67" i="11"/>
  <c r="U66" i="11"/>
  <c r="AD66" i="11" s="1"/>
  <c r="AF67" i="11"/>
  <c r="U67" i="11"/>
  <c r="AD67" i="11" s="1"/>
  <c r="AD15" i="6" s="1"/>
  <c r="Y66" i="11"/>
  <c r="X66" i="11"/>
  <c r="T66" i="11"/>
  <c r="Y67" i="11"/>
  <c r="M699" i="13"/>
  <c r="Q699" i="13" s="1"/>
  <c r="L51" i="11"/>
  <c r="L55" i="11"/>
  <c r="L54" i="11"/>
  <c r="L53" i="11"/>
  <c r="L50" i="11"/>
  <c r="L49" i="11"/>
  <c r="L48" i="11"/>
  <c r="L47" i="11"/>
  <c r="L46" i="11"/>
  <c r="L45" i="11"/>
  <c r="L44" i="11"/>
  <c r="Z12" i="11"/>
  <c r="Z13" i="11"/>
  <c r="AA16" i="11"/>
  <c r="AC16" i="11" s="1"/>
  <c r="AE16" i="11" s="1"/>
  <c r="Z11" i="11"/>
  <c r="Z10" i="11"/>
  <c r="AA7" i="11"/>
  <c r="AC7" i="11" s="1"/>
  <c r="AE7" i="11" s="1"/>
  <c r="AA9" i="11"/>
  <c r="AC9" i="11" s="1"/>
  <c r="AE9" i="11" s="1"/>
  <c r="AA8" i="11"/>
  <c r="AC8" i="11" s="1"/>
  <c r="AE8" i="11" s="1"/>
  <c r="AA36" i="11"/>
  <c r="AC36" i="11" s="1"/>
  <c r="AE36" i="11" s="1"/>
  <c r="J8" i="2"/>
  <c r="AA31" i="11"/>
  <c r="AC31" i="11" s="1"/>
  <c r="AE31" i="11" s="1"/>
  <c r="Z30" i="11"/>
  <c r="Z29" i="11"/>
  <c r="Z28" i="11"/>
  <c r="Z27" i="11"/>
  <c r="Z32" i="11"/>
  <c r="AA35" i="11"/>
  <c r="AC35" i="11" s="1"/>
  <c r="AE35" i="11" s="1"/>
  <c r="Z20" i="11"/>
  <c r="AA23" i="11"/>
  <c r="AC23" i="11" s="1"/>
  <c r="AE23" i="11" s="1"/>
  <c r="AA22" i="11"/>
  <c r="AC22" i="11" s="1"/>
  <c r="AE22" i="11" s="1"/>
  <c r="AA21" i="11"/>
  <c r="AC21" i="11" s="1"/>
  <c r="AE21" i="11" s="1"/>
  <c r="AA33" i="11"/>
  <c r="AC33" i="11" s="1"/>
  <c r="AE33" i="11" s="1"/>
  <c r="AA34" i="11"/>
  <c r="AC34" i="11" s="1"/>
  <c r="AE34" i="11" s="1"/>
  <c r="Z19" i="11"/>
  <c r="Z18" i="11"/>
  <c r="I7" i="2"/>
  <c r="I8" i="2"/>
  <c r="D8" i="2"/>
  <c r="U5" i="11"/>
  <c r="AD5" i="11" s="1"/>
  <c r="AD6" i="6" s="1"/>
  <c r="J7" i="2"/>
  <c r="W67" i="11" l="1"/>
  <c r="R15" i="6" s="1"/>
  <c r="W5" i="11"/>
  <c r="R6" i="6" s="1"/>
  <c r="AB39" i="11"/>
  <c r="Z7" i="6" s="1"/>
  <c r="W39" i="11"/>
  <c r="AB66" i="11"/>
  <c r="W66" i="11"/>
  <c r="Z39" i="11"/>
  <c r="AC53" i="11"/>
  <c r="AB10" i="6" s="1"/>
  <c r="M66" i="11"/>
  <c r="N66" i="11" s="1"/>
  <c r="O66" i="11" s="1"/>
  <c r="D16" i="2"/>
  <c r="AC55" i="11"/>
  <c r="AB12" i="6" s="1"/>
  <c r="M638" i="13"/>
  <c r="Q638" i="13" s="1"/>
  <c r="AB67" i="11"/>
  <c r="Z15" i="6" s="1"/>
  <c r="P15" i="6"/>
  <c r="AC57" i="11"/>
  <c r="AB14" i="6" s="1"/>
  <c r="AB5" i="11"/>
  <c r="Z6" i="6" s="1"/>
  <c r="P6" i="6"/>
  <c r="AE54" i="11"/>
  <c r="AF11" i="6" s="1"/>
  <c r="D638" i="13"/>
  <c r="P638" i="13"/>
  <c r="M603" i="13"/>
  <c r="Q603" i="13" s="1"/>
  <c r="AA41" i="11"/>
  <c r="X8" i="6" s="1"/>
  <c r="L41" i="11"/>
  <c r="D12" i="2" s="1"/>
  <c r="AA78" i="11"/>
  <c r="AC78" i="11" s="1"/>
  <c r="AE78" i="11" s="1"/>
  <c r="M78" i="11"/>
  <c r="N78" i="11" s="1"/>
  <c r="O78" i="11" s="1"/>
  <c r="Z67" i="11"/>
  <c r="V15" i="6" s="1"/>
  <c r="Z5" i="11"/>
  <c r="V6" i="6" s="1"/>
  <c r="AA14" i="11"/>
  <c r="AC14" i="11" s="1"/>
  <c r="AE14" i="11" s="1"/>
  <c r="AA15" i="11"/>
  <c r="AC15" i="11" s="1"/>
  <c r="AE15" i="11" s="1"/>
  <c r="Z66" i="11"/>
  <c r="AA64" i="11"/>
  <c r="AC64" i="11" s="1"/>
  <c r="AE64" i="11" s="1"/>
  <c r="AA56" i="11"/>
  <c r="X13" i="6" s="1"/>
  <c r="AA52" i="11"/>
  <c r="X9" i="6" s="1"/>
  <c r="M690" i="13"/>
  <c r="Q690" i="13" s="1"/>
  <c r="M688" i="13"/>
  <c r="Q688" i="13" s="1"/>
  <c r="M686" i="13"/>
  <c r="Q686" i="13" s="1"/>
  <c r="M684" i="13"/>
  <c r="Q684" i="13" s="1"/>
  <c r="AA43" i="11"/>
  <c r="AC43" i="11" s="1"/>
  <c r="AE43" i="11" s="1"/>
  <c r="AA40" i="11"/>
  <c r="AC40" i="11" s="1"/>
  <c r="AE40" i="11" s="1"/>
  <c r="AA6" i="11"/>
  <c r="AC6" i="11" s="1"/>
  <c r="AE6" i="11" s="1"/>
  <c r="M53" i="11"/>
  <c r="M54" i="11"/>
  <c r="M55" i="11"/>
  <c r="M51" i="11"/>
  <c r="M50" i="11"/>
  <c r="M49" i="11"/>
  <c r="M48" i="11"/>
  <c r="M47" i="11"/>
  <c r="M46" i="11"/>
  <c r="M45" i="11"/>
  <c r="M44" i="11"/>
  <c r="AA12" i="11"/>
  <c r="AC12" i="11" s="1"/>
  <c r="AE12" i="11" s="1"/>
  <c r="AA13" i="11"/>
  <c r="AC13" i="11" s="1"/>
  <c r="AE13" i="11" s="1"/>
  <c r="AA11" i="11"/>
  <c r="AC11" i="11" s="1"/>
  <c r="AE11" i="11" s="1"/>
  <c r="AA10" i="11"/>
  <c r="AC10" i="11" s="1"/>
  <c r="AE10" i="11" s="1"/>
  <c r="AA30" i="11"/>
  <c r="AC30" i="11" s="1"/>
  <c r="AE30" i="11" s="1"/>
  <c r="AA29" i="11"/>
  <c r="AC29" i="11" s="1"/>
  <c r="AE29" i="11" s="1"/>
  <c r="AA28" i="11"/>
  <c r="AC28" i="11" s="1"/>
  <c r="AE28" i="11" s="1"/>
  <c r="AA27" i="11"/>
  <c r="AC27" i="11" s="1"/>
  <c r="AE27" i="11" s="1"/>
  <c r="AA32" i="11"/>
  <c r="AC32" i="11" s="1"/>
  <c r="AE32" i="11" s="1"/>
  <c r="AA20" i="11"/>
  <c r="AC20" i="11" s="1"/>
  <c r="AE20" i="11" s="1"/>
  <c r="M673" i="13"/>
  <c r="Q673" i="13" s="1"/>
  <c r="AA19" i="11"/>
  <c r="AC19" i="11" s="1"/>
  <c r="AE19" i="11" s="1"/>
  <c r="AA18" i="11"/>
  <c r="AC18" i="11" s="1"/>
  <c r="AE18" i="11" s="1"/>
  <c r="F573" i="13"/>
  <c r="F572" i="13"/>
  <c r="F571" i="13"/>
  <c r="F570" i="13"/>
  <c r="F569" i="13"/>
  <c r="F568" i="13"/>
  <c r="F567" i="13"/>
  <c r="F566" i="13"/>
  <c r="F565" i="13"/>
  <c r="F564" i="13"/>
  <c r="F563" i="13"/>
  <c r="F562" i="13"/>
  <c r="F561" i="13"/>
  <c r="F560" i="13"/>
  <c r="F559" i="13"/>
  <c r="F558" i="13"/>
  <c r="F557" i="13"/>
  <c r="F575" i="13"/>
  <c r="F574" i="13"/>
  <c r="F580" i="13"/>
  <c r="F579" i="13"/>
  <c r="F578" i="13"/>
  <c r="F577" i="13"/>
  <c r="F576" i="13"/>
  <c r="V38" i="12" l="1"/>
  <c r="AG7" i="6" s="1"/>
  <c r="AS7" i="6" s="1"/>
  <c r="R7" i="6"/>
  <c r="AA39" i="11"/>
  <c r="X7" i="6" s="1"/>
  <c r="V7" i="6"/>
  <c r="AE55" i="11"/>
  <c r="AF12" i="6" s="1"/>
  <c r="AC41" i="11"/>
  <c r="AB8" i="6" s="1"/>
  <c r="AC52" i="11"/>
  <c r="AB9" i="6" s="1"/>
  <c r="AC56" i="11"/>
  <c r="AB13" i="6" s="1"/>
  <c r="AE53" i="11"/>
  <c r="AF10" i="6" s="1"/>
  <c r="AE57" i="11"/>
  <c r="AF14" i="6" s="1"/>
  <c r="F556" i="13"/>
  <c r="D564" i="13"/>
  <c r="P564" i="13"/>
  <c r="F536" i="13"/>
  <c r="F540" i="13"/>
  <c r="F542" i="13"/>
  <c r="F551" i="13"/>
  <c r="D559" i="13"/>
  <c r="P559" i="13"/>
  <c r="D567" i="13"/>
  <c r="P567" i="13"/>
  <c r="D572" i="13"/>
  <c r="P572" i="13"/>
  <c r="D577" i="13"/>
  <c r="P577" i="13"/>
  <c r="F538" i="13"/>
  <c r="F541" i="13"/>
  <c r="D557" i="13"/>
  <c r="P557" i="13"/>
  <c r="D565" i="13"/>
  <c r="P565" i="13"/>
  <c r="D570" i="13"/>
  <c r="P570" i="13"/>
  <c r="D574" i="13"/>
  <c r="P574" i="13"/>
  <c r="F545" i="13"/>
  <c r="F554" i="13"/>
  <c r="F548" i="13"/>
  <c r="F543" i="13"/>
  <c r="F552" i="13"/>
  <c r="D560" i="13"/>
  <c r="P560" i="13"/>
  <c r="D573" i="13"/>
  <c r="P573" i="13"/>
  <c r="D579" i="13"/>
  <c r="P579" i="13"/>
  <c r="F537" i="13"/>
  <c r="F546" i="13"/>
  <c r="F555" i="13"/>
  <c r="D563" i="13"/>
  <c r="P563" i="13"/>
  <c r="D568" i="13"/>
  <c r="P568" i="13"/>
  <c r="F539" i="13"/>
  <c r="D575" i="13"/>
  <c r="P575" i="13"/>
  <c r="F550" i="13"/>
  <c r="D558" i="13"/>
  <c r="P558" i="13"/>
  <c r="D566" i="13"/>
  <c r="P566" i="13"/>
  <c r="D571" i="13"/>
  <c r="P571" i="13"/>
  <c r="D562" i="13"/>
  <c r="P562" i="13"/>
  <c r="D576" i="13"/>
  <c r="P576" i="13"/>
  <c r="D578" i="13"/>
  <c r="P578" i="13"/>
  <c r="D580" i="13"/>
  <c r="P580" i="13"/>
  <c r="F549" i="13"/>
  <c r="F544" i="13"/>
  <c r="F553" i="13"/>
  <c r="D561" i="13"/>
  <c r="P561" i="13"/>
  <c r="F547" i="13"/>
  <c r="D569" i="13"/>
  <c r="P569" i="13"/>
  <c r="M694" i="13"/>
  <c r="Q694" i="13" s="1"/>
  <c r="M648" i="13"/>
  <c r="Q648" i="13" s="1"/>
  <c r="M41" i="11"/>
  <c r="N41" i="11" s="1"/>
  <c r="O41" i="11" s="1"/>
  <c r="G8" i="6" s="1"/>
  <c r="M656" i="13"/>
  <c r="Q656" i="13" s="1"/>
  <c r="AA67" i="11"/>
  <c r="X15" i="6" s="1"/>
  <c r="AA5" i="11"/>
  <c r="X6" i="6" s="1"/>
  <c r="M647" i="13"/>
  <c r="Q647" i="13" s="1"/>
  <c r="M705" i="13"/>
  <c r="Q705" i="13" s="1"/>
  <c r="M703" i="13"/>
  <c r="Q703" i="13" s="1"/>
  <c r="M649" i="13"/>
  <c r="Q649" i="13" s="1"/>
  <c r="M678" i="13"/>
  <c r="Q678" i="13" s="1"/>
  <c r="M655" i="13"/>
  <c r="Q655" i="13" s="1"/>
  <c r="M674" i="13"/>
  <c r="Q674" i="13" s="1"/>
  <c r="AA66" i="11"/>
  <c r="AC66" i="11" s="1"/>
  <c r="AE66" i="11" s="1"/>
  <c r="M691" i="13"/>
  <c r="Q691" i="13" s="1"/>
  <c r="M689" i="13"/>
  <c r="Q689" i="13" s="1"/>
  <c r="M687" i="13"/>
  <c r="Q687" i="13" s="1"/>
  <c r="M685" i="13"/>
  <c r="Q685" i="13" s="1"/>
  <c r="N55" i="11"/>
  <c r="N54" i="11"/>
  <c r="N53" i="11"/>
  <c r="N50" i="11"/>
  <c r="N51" i="11"/>
  <c r="N46" i="11"/>
  <c r="N47" i="11"/>
  <c r="N48" i="11"/>
  <c r="N49" i="11"/>
  <c r="N45" i="11"/>
  <c r="N44" i="11"/>
  <c r="M652" i="13"/>
  <c r="Q652" i="13" s="1"/>
  <c r="M645" i="13"/>
  <c r="Q645" i="13" s="1"/>
  <c r="M675" i="13"/>
  <c r="Q675" i="13" s="1"/>
  <c r="M676" i="13"/>
  <c r="Q676" i="13" s="1"/>
  <c r="M671" i="13"/>
  <c r="Q671" i="13" s="1"/>
  <c r="M663" i="13"/>
  <c r="Q663" i="13" s="1"/>
  <c r="M662" i="13"/>
  <c r="Q662" i="13" s="1"/>
  <c r="M661" i="13"/>
  <c r="Q661" i="13" s="1"/>
  <c r="M641" i="13"/>
  <c r="Q641" i="13" s="1"/>
  <c r="M640" i="13"/>
  <c r="Q640" i="13" s="1"/>
  <c r="M639" i="13"/>
  <c r="Q639" i="13" s="1"/>
  <c r="M642" i="13"/>
  <c r="Q642" i="13" s="1"/>
  <c r="M658" i="13"/>
  <c r="Q658" i="13" s="1"/>
  <c r="M629" i="13"/>
  <c r="Q629" i="13" s="1"/>
  <c r="M617" i="13"/>
  <c r="Q617" i="13" s="1"/>
  <c r="M589" i="13"/>
  <c r="Q589" i="13" s="1"/>
  <c r="M574" i="13"/>
  <c r="Q574" i="13" s="1"/>
  <c r="AC39" i="11" l="1"/>
  <c r="AB7" i="6" s="1"/>
  <c r="AE41" i="11"/>
  <c r="AC5" i="11"/>
  <c r="AB6" i="6" s="1"/>
  <c r="AE52" i="11"/>
  <c r="AF9" i="6" s="1"/>
  <c r="AC67" i="11"/>
  <c r="AB15" i="6" s="1"/>
  <c r="AE56" i="11"/>
  <c r="AF13" i="6" s="1"/>
  <c r="D555" i="13"/>
  <c r="P555" i="13"/>
  <c r="D548" i="13"/>
  <c r="P548" i="13"/>
  <c r="D538" i="13"/>
  <c r="P538" i="13"/>
  <c r="D536" i="13"/>
  <c r="P536" i="13"/>
  <c r="D547" i="13"/>
  <c r="P547" i="13"/>
  <c r="D550" i="13"/>
  <c r="P550" i="13"/>
  <c r="D543" i="13"/>
  <c r="P543" i="13"/>
  <c r="P541" i="13"/>
  <c r="D541" i="13"/>
  <c r="D549" i="13"/>
  <c r="P549" i="13"/>
  <c r="D540" i="13"/>
  <c r="P540" i="13"/>
  <c r="D553" i="13"/>
  <c r="P553" i="13"/>
  <c r="D539" i="13"/>
  <c r="P539" i="13"/>
  <c r="D546" i="13"/>
  <c r="P546" i="13"/>
  <c r="D554" i="13"/>
  <c r="P554" i="13"/>
  <c r="D551" i="13"/>
  <c r="P551" i="13"/>
  <c r="D544" i="13"/>
  <c r="P544" i="13"/>
  <c r="P537" i="13"/>
  <c r="D537" i="13"/>
  <c r="D552" i="13"/>
  <c r="P552" i="13"/>
  <c r="D545" i="13"/>
  <c r="P545" i="13"/>
  <c r="D542" i="13"/>
  <c r="P542" i="13"/>
  <c r="D556" i="13"/>
  <c r="P556" i="13"/>
  <c r="M693" i="13"/>
  <c r="Q693" i="13" s="1"/>
  <c r="M695" i="13"/>
  <c r="Q695" i="13" s="1"/>
  <c r="M697" i="13"/>
  <c r="Q697" i="13" s="1"/>
  <c r="M646" i="13"/>
  <c r="Q646" i="13" s="1"/>
  <c r="M718" i="13"/>
  <c r="Q718" i="13" s="1"/>
  <c r="M651" i="13"/>
  <c r="Q651" i="13" s="1"/>
  <c r="M650" i="13"/>
  <c r="Q650" i="13" s="1"/>
  <c r="M704" i="13"/>
  <c r="Q704" i="13" s="1"/>
  <c r="M654" i="13"/>
  <c r="Q654" i="13" s="1"/>
  <c r="M653" i="13"/>
  <c r="Q653" i="13" s="1"/>
  <c r="M680" i="13"/>
  <c r="Q680" i="13" s="1"/>
  <c r="M683" i="13"/>
  <c r="Q683" i="13" s="1"/>
  <c r="O54" i="11"/>
  <c r="G11" i="6" s="1"/>
  <c r="O55" i="11"/>
  <c r="G12" i="6" s="1"/>
  <c r="O51" i="11"/>
  <c r="O50" i="11"/>
  <c r="O53" i="11"/>
  <c r="G10" i="6" s="1"/>
  <c r="O49" i="11"/>
  <c r="O48" i="11"/>
  <c r="O47" i="11"/>
  <c r="O46" i="11"/>
  <c r="O45" i="11"/>
  <c r="O44" i="11"/>
  <c r="M644" i="13"/>
  <c r="Q644" i="13" s="1"/>
  <c r="M643" i="13"/>
  <c r="Q643" i="13" s="1"/>
  <c r="M670" i="13"/>
  <c r="Q670" i="13" s="1"/>
  <c r="M669" i="13"/>
  <c r="Q669" i="13" s="1"/>
  <c r="M672" i="13"/>
  <c r="Q672" i="13" s="1"/>
  <c r="M668" i="13"/>
  <c r="Q668" i="13" s="1"/>
  <c r="M667" i="13"/>
  <c r="Q667" i="13" s="1"/>
  <c r="M660" i="13"/>
  <c r="Q660" i="13" s="1"/>
  <c r="M635" i="13"/>
  <c r="Q635" i="13" s="1"/>
  <c r="M633" i="13"/>
  <c r="Q633" i="13" s="1"/>
  <c r="M632" i="13"/>
  <c r="Q632" i="13" s="1"/>
  <c r="M659" i="13"/>
  <c r="Q659" i="13" s="1"/>
  <c r="M627" i="13"/>
  <c r="Q627" i="13" s="1"/>
  <c r="M626" i="13"/>
  <c r="Q626" i="13" s="1"/>
  <c r="M625" i="13"/>
  <c r="Q625" i="13" s="1"/>
  <c r="M624" i="13"/>
  <c r="Q624" i="13" s="1"/>
  <c r="M595" i="13"/>
  <c r="Q595" i="13" s="1"/>
  <c r="M593" i="13"/>
  <c r="Q593" i="13" s="1"/>
  <c r="M615" i="13"/>
  <c r="Q615" i="13" s="1"/>
  <c r="M616" i="13"/>
  <c r="Q616" i="13" s="1"/>
  <c r="M623" i="13"/>
  <c r="Q623" i="13" s="1"/>
  <c r="M618" i="13"/>
  <c r="Q618" i="13" s="1"/>
  <c r="M597" i="13"/>
  <c r="Q597" i="13" s="1"/>
  <c r="M592" i="13"/>
  <c r="Q592" i="13" s="1"/>
  <c r="M591" i="13"/>
  <c r="Q591" i="13" s="1"/>
  <c r="M604" i="13"/>
  <c r="Q604" i="13" s="1"/>
  <c r="M606" i="13"/>
  <c r="Q606" i="13" s="1"/>
  <c r="M610" i="13"/>
  <c r="Q610" i="13" s="1"/>
  <c r="M607" i="13"/>
  <c r="Q607" i="13" s="1"/>
  <c r="M608" i="13"/>
  <c r="Q608" i="13" s="1"/>
  <c r="M612" i="13"/>
  <c r="Q612" i="13" s="1"/>
  <c r="M609" i="13"/>
  <c r="Q609" i="13" s="1"/>
  <c r="M599" i="13"/>
  <c r="Q599" i="13" s="1"/>
  <c r="M602" i="13"/>
  <c r="Q602" i="13" s="1"/>
  <c r="M601" i="13"/>
  <c r="Q601" i="13" s="1"/>
  <c r="M590" i="13"/>
  <c r="Q590" i="13" s="1"/>
  <c r="M575" i="13"/>
  <c r="Q575" i="13" s="1"/>
  <c r="M567" i="13"/>
  <c r="Q567" i="13" s="1"/>
  <c r="M572" i="13"/>
  <c r="Q572" i="13" s="1"/>
  <c r="M573" i="13"/>
  <c r="Q573" i="13" s="1"/>
  <c r="F532" i="13"/>
  <c r="F531" i="13"/>
  <c r="F530" i="13"/>
  <c r="F529" i="13"/>
  <c r="F528" i="13"/>
  <c r="AE39" i="11" l="1"/>
  <c r="AF7" i="6" s="1"/>
  <c r="M681" i="13"/>
  <c r="Q681" i="13" s="1"/>
  <c r="AE5" i="11"/>
  <c r="AF6" i="6" s="1"/>
  <c r="AE67" i="11"/>
  <c r="AF15" i="6" s="1"/>
  <c r="D532" i="13"/>
  <c r="P532" i="13"/>
  <c r="D529" i="13"/>
  <c r="P529" i="13"/>
  <c r="D530" i="13"/>
  <c r="P530" i="13"/>
  <c r="D528" i="13"/>
  <c r="P528" i="13"/>
  <c r="D531" i="13"/>
  <c r="P531" i="13"/>
  <c r="M692" i="13"/>
  <c r="Q692" i="13" s="1"/>
  <c r="M696" i="13"/>
  <c r="Q696" i="13" s="1"/>
  <c r="M706" i="13"/>
  <c r="Q706" i="13" s="1"/>
  <c r="M634" i="13"/>
  <c r="Q634" i="13" s="1"/>
  <c r="M631" i="13"/>
  <c r="Q631" i="13" s="1"/>
  <c r="M630" i="13"/>
  <c r="Q630" i="13" s="1"/>
  <c r="M622" i="13"/>
  <c r="Q622" i="13" s="1"/>
  <c r="M621" i="13"/>
  <c r="Q621" i="13" s="1"/>
  <c r="M628" i="13"/>
  <c r="Q628" i="13" s="1"/>
  <c r="M619" i="13"/>
  <c r="Q619" i="13" s="1"/>
  <c r="M596" i="13"/>
  <c r="Q596" i="13" s="1"/>
  <c r="M594" i="13"/>
  <c r="Q594" i="13" s="1"/>
  <c r="M611" i="13"/>
  <c r="Q611" i="13" s="1"/>
  <c r="M613" i="13"/>
  <c r="Q613" i="13" s="1"/>
  <c r="M605" i="13"/>
  <c r="Q605" i="13" s="1"/>
  <c r="M565" i="13"/>
  <c r="Q565" i="13" s="1"/>
  <c r="M564" i="13"/>
  <c r="Q564" i="13" s="1"/>
  <c r="M600" i="13"/>
  <c r="Q600" i="13" s="1"/>
  <c r="M598" i="13"/>
  <c r="Q598" i="13" s="1"/>
  <c r="M588" i="13"/>
  <c r="Q588" i="13" s="1"/>
  <c r="M585" i="13"/>
  <c r="Q585" i="13" s="1"/>
  <c r="M571" i="13"/>
  <c r="Q571" i="13" s="1"/>
  <c r="M570" i="13"/>
  <c r="Q570" i="13" s="1"/>
  <c r="M560" i="13"/>
  <c r="Q560" i="13" s="1"/>
  <c r="M563" i="13"/>
  <c r="Q563" i="13" s="1"/>
  <c r="M558" i="13"/>
  <c r="Q558" i="13" s="1"/>
  <c r="M561" i="13"/>
  <c r="Q561" i="13" s="1"/>
  <c r="M562" i="13"/>
  <c r="Q562" i="13" s="1"/>
  <c r="M559" i="13"/>
  <c r="Q559" i="13" s="1"/>
  <c r="M569" i="13"/>
  <c r="Q569" i="13" s="1"/>
  <c r="M568" i="13"/>
  <c r="Q568" i="13" s="1"/>
  <c r="M566" i="13"/>
  <c r="Q566" i="13" s="1"/>
  <c r="F583" i="13"/>
  <c r="F582" i="13"/>
  <c r="F581" i="13"/>
  <c r="F535" i="13"/>
  <c r="F534" i="13"/>
  <c r="F533" i="13"/>
  <c r="F527" i="13"/>
  <c r="F524" i="13"/>
  <c r="F523" i="13"/>
  <c r="F522" i="13"/>
  <c r="F521" i="13"/>
  <c r="F516" i="13"/>
  <c r="F512" i="13"/>
  <c r="F511" i="13"/>
  <c r="F495" i="13"/>
  <c r="F491" i="13"/>
  <c r="F477" i="13"/>
  <c r="AC101" i="15"/>
  <c r="Y101" i="15"/>
  <c r="W101" i="15"/>
  <c r="U101" i="15"/>
  <c r="S101" i="15"/>
  <c r="Q101" i="15"/>
  <c r="O101" i="15"/>
  <c r="N101" i="15"/>
  <c r="M101" i="15"/>
  <c r="H101" i="15"/>
  <c r="F101" i="15"/>
  <c r="D101" i="15"/>
  <c r="B101" i="15"/>
  <c r="AC100" i="15"/>
  <c r="Y100" i="15"/>
  <c r="W100" i="15"/>
  <c r="U100" i="15"/>
  <c r="S100" i="15"/>
  <c r="Q100" i="15"/>
  <c r="O100" i="15"/>
  <c r="N100" i="15"/>
  <c r="M100" i="15"/>
  <c r="H100" i="15"/>
  <c r="F100" i="15"/>
  <c r="D100" i="15"/>
  <c r="B100" i="15"/>
  <c r="AC99" i="15"/>
  <c r="Y99" i="15"/>
  <c r="W99" i="15"/>
  <c r="U99" i="15"/>
  <c r="S99" i="15"/>
  <c r="Q99" i="15"/>
  <c r="O99" i="15"/>
  <c r="N99" i="15"/>
  <c r="M99" i="15"/>
  <c r="H99" i="15"/>
  <c r="F99" i="15"/>
  <c r="D99" i="15"/>
  <c r="B99" i="15"/>
  <c r="AC98" i="15"/>
  <c r="Y98" i="15"/>
  <c r="W98" i="15"/>
  <c r="U98" i="15"/>
  <c r="S98" i="15"/>
  <c r="Q98" i="15"/>
  <c r="P98" i="15"/>
  <c r="O98" i="15"/>
  <c r="N98" i="15"/>
  <c r="M98" i="15"/>
  <c r="H98" i="15"/>
  <c r="F98" i="15"/>
  <c r="E98" i="15"/>
  <c r="D98" i="15"/>
  <c r="B98" i="15"/>
  <c r="AC97" i="15"/>
  <c r="Y97" i="15"/>
  <c r="W97" i="15"/>
  <c r="U97" i="15"/>
  <c r="S97" i="15"/>
  <c r="Q97" i="15"/>
  <c r="O97" i="15"/>
  <c r="N97" i="15"/>
  <c r="M97" i="15"/>
  <c r="H97" i="15"/>
  <c r="F97" i="15"/>
  <c r="D97" i="15"/>
  <c r="B97" i="15"/>
  <c r="AC96" i="15"/>
  <c r="Y96" i="15"/>
  <c r="W96" i="15"/>
  <c r="U96" i="15"/>
  <c r="S96" i="15"/>
  <c r="Q96" i="15"/>
  <c r="O96" i="15"/>
  <c r="N96" i="15"/>
  <c r="M96" i="15"/>
  <c r="H96" i="15"/>
  <c r="F96" i="15"/>
  <c r="D96" i="15"/>
  <c r="B96" i="15"/>
  <c r="AC95" i="15"/>
  <c r="Y95" i="15"/>
  <c r="W95" i="15"/>
  <c r="U95" i="15"/>
  <c r="S95" i="15"/>
  <c r="Q95" i="15"/>
  <c r="O95" i="15"/>
  <c r="N95" i="15"/>
  <c r="M95" i="15"/>
  <c r="H95" i="15"/>
  <c r="F95" i="15"/>
  <c r="D95" i="15"/>
  <c r="B95" i="15"/>
  <c r="AC94" i="15"/>
  <c r="Y94" i="15"/>
  <c r="W94" i="15"/>
  <c r="U94" i="15"/>
  <c r="S94" i="15"/>
  <c r="Q94" i="15"/>
  <c r="O94" i="15"/>
  <c r="N94" i="15"/>
  <c r="M94" i="15"/>
  <c r="H94" i="15"/>
  <c r="F94" i="15"/>
  <c r="D94" i="15"/>
  <c r="B94" i="15"/>
  <c r="AC93" i="15"/>
  <c r="Y93" i="15"/>
  <c r="W93" i="15"/>
  <c r="U93" i="15"/>
  <c r="S93" i="15"/>
  <c r="Q93" i="15"/>
  <c r="O93" i="15"/>
  <c r="N93" i="15"/>
  <c r="M93" i="15"/>
  <c r="H93" i="15"/>
  <c r="F93" i="15"/>
  <c r="D93" i="15"/>
  <c r="B93" i="15"/>
  <c r="AC92" i="15"/>
  <c r="Y92" i="15"/>
  <c r="W92" i="15"/>
  <c r="U92" i="15"/>
  <c r="S92" i="15"/>
  <c r="Q92" i="15"/>
  <c r="O92" i="15"/>
  <c r="N92" i="15"/>
  <c r="M92" i="15"/>
  <c r="H92" i="15"/>
  <c r="F92" i="15"/>
  <c r="D92" i="15"/>
  <c r="B92" i="15"/>
  <c r="AC91" i="15"/>
  <c r="Y91" i="15"/>
  <c r="W91" i="15"/>
  <c r="U91" i="15"/>
  <c r="S91" i="15"/>
  <c r="Q91" i="15"/>
  <c r="O91" i="15"/>
  <c r="N91" i="15"/>
  <c r="M91" i="15"/>
  <c r="H91" i="15"/>
  <c r="F91" i="15"/>
  <c r="D91" i="15"/>
  <c r="B91" i="15"/>
  <c r="AC90" i="15"/>
  <c r="Y90" i="15"/>
  <c r="W90" i="15"/>
  <c r="U90" i="15"/>
  <c r="S90" i="15"/>
  <c r="Q90" i="15"/>
  <c r="O90" i="15"/>
  <c r="N90" i="15"/>
  <c r="M90" i="15"/>
  <c r="H90" i="15"/>
  <c r="F90" i="15"/>
  <c r="D90" i="15"/>
  <c r="B90" i="15"/>
  <c r="AC89" i="15"/>
  <c r="Y89" i="15"/>
  <c r="W89" i="15"/>
  <c r="U89" i="15"/>
  <c r="S89" i="15"/>
  <c r="Q89" i="15"/>
  <c r="O89" i="15"/>
  <c r="N89" i="15"/>
  <c r="M89" i="15"/>
  <c r="H89" i="15"/>
  <c r="F89" i="15"/>
  <c r="D89" i="15"/>
  <c r="B89" i="15"/>
  <c r="AC88" i="15"/>
  <c r="Y88" i="15"/>
  <c r="W88" i="15"/>
  <c r="U88" i="15"/>
  <c r="S88" i="15"/>
  <c r="Q88" i="15"/>
  <c r="O88" i="15"/>
  <c r="N88" i="15"/>
  <c r="M88" i="15"/>
  <c r="H88" i="15"/>
  <c r="F88" i="15"/>
  <c r="D88" i="15"/>
  <c r="B88" i="15"/>
  <c r="AC87" i="15"/>
  <c r="Y87" i="15"/>
  <c r="W87" i="15"/>
  <c r="U87" i="15"/>
  <c r="S87" i="15"/>
  <c r="Q87" i="15"/>
  <c r="O87" i="15"/>
  <c r="N87" i="15"/>
  <c r="M87" i="15"/>
  <c r="H87" i="15"/>
  <c r="F87" i="15"/>
  <c r="D87" i="15"/>
  <c r="B87" i="15"/>
  <c r="AC86" i="15"/>
  <c r="Y86" i="15"/>
  <c r="W86" i="15"/>
  <c r="U86" i="15"/>
  <c r="S86" i="15"/>
  <c r="Q86" i="15"/>
  <c r="O86" i="15"/>
  <c r="N86" i="15"/>
  <c r="M86" i="15"/>
  <c r="H86" i="15"/>
  <c r="F86" i="15"/>
  <c r="D86" i="15"/>
  <c r="B86" i="15"/>
  <c r="AC85" i="15"/>
  <c r="Z85" i="15"/>
  <c r="Y85" i="15"/>
  <c r="W85" i="15"/>
  <c r="U85" i="15"/>
  <c r="S85" i="15"/>
  <c r="Q85" i="15"/>
  <c r="P85" i="15"/>
  <c r="O85" i="15"/>
  <c r="N85" i="15"/>
  <c r="M85" i="15"/>
  <c r="H85" i="15"/>
  <c r="F85" i="15"/>
  <c r="E85" i="15"/>
  <c r="D85" i="15"/>
  <c r="B85" i="15"/>
  <c r="AC84" i="15"/>
  <c r="Y84" i="15"/>
  <c r="W84" i="15"/>
  <c r="U84" i="15"/>
  <c r="S84" i="15"/>
  <c r="Q84" i="15"/>
  <c r="O84" i="15"/>
  <c r="N84" i="15"/>
  <c r="M84" i="15"/>
  <c r="H84" i="15"/>
  <c r="F84" i="15"/>
  <c r="D84" i="15"/>
  <c r="B84" i="15"/>
  <c r="AC83" i="15"/>
  <c r="Y83" i="15"/>
  <c r="W83" i="15"/>
  <c r="U83" i="15"/>
  <c r="S83" i="15"/>
  <c r="Q83" i="15"/>
  <c r="O83" i="15"/>
  <c r="N83" i="15"/>
  <c r="M83" i="15"/>
  <c r="H83" i="15"/>
  <c r="F83" i="15"/>
  <c r="D83" i="15"/>
  <c r="B83" i="15"/>
  <c r="AC82" i="15"/>
  <c r="Y82" i="15"/>
  <c r="W82" i="15"/>
  <c r="U82" i="15"/>
  <c r="S82" i="15"/>
  <c r="Q82" i="15"/>
  <c r="O82" i="15"/>
  <c r="N82" i="15"/>
  <c r="M82" i="15"/>
  <c r="H82" i="15"/>
  <c r="F82" i="15"/>
  <c r="D82" i="15"/>
  <c r="B82" i="15"/>
  <c r="AC81" i="15"/>
  <c r="Y81" i="15"/>
  <c r="W81" i="15"/>
  <c r="U81" i="15"/>
  <c r="S81" i="15"/>
  <c r="Q81" i="15"/>
  <c r="O81" i="15"/>
  <c r="N81" i="15"/>
  <c r="M81" i="15"/>
  <c r="H81" i="15"/>
  <c r="F81" i="15"/>
  <c r="D81" i="15"/>
  <c r="B81" i="15"/>
  <c r="AC80" i="15"/>
  <c r="Y80" i="15"/>
  <c r="W80" i="15"/>
  <c r="U80" i="15"/>
  <c r="S80" i="15"/>
  <c r="Q80" i="15"/>
  <c r="O80" i="15"/>
  <c r="N80" i="15"/>
  <c r="M80" i="15"/>
  <c r="H80" i="15"/>
  <c r="F80" i="15"/>
  <c r="D80" i="15"/>
  <c r="B80" i="15"/>
  <c r="AC79" i="15"/>
  <c r="Y79" i="15"/>
  <c r="W79" i="15"/>
  <c r="U79" i="15"/>
  <c r="S79" i="15"/>
  <c r="Q79" i="15"/>
  <c r="O79" i="15"/>
  <c r="N79" i="15"/>
  <c r="M79" i="15"/>
  <c r="H79" i="15"/>
  <c r="F79" i="15"/>
  <c r="D79" i="15"/>
  <c r="B79" i="15"/>
  <c r="AC78" i="15"/>
  <c r="Y78" i="15"/>
  <c r="W78" i="15"/>
  <c r="U78" i="15"/>
  <c r="S78" i="15"/>
  <c r="Q78" i="15"/>
  <c r="O78" i="15"/>
  <c r="N78" i="15"/>
  <c r="M78" i="15"/>
  <c r="H78" i="15"/>
  <c r="F78" i="15"/>
  <c r="D78" i="15"/>
  <c r="B78" i="15"/>
  <c r="AC77" i="15"/>
  <c r="Y77" i="15"/>
  <c r="W77" i="15"/>
  <c r="U77" i="15"/>
  <c r="S77" i="15"/>
  <c r="Q77" i="15"/>
  <c r="O77" i="15"/>
  <c r="N77" i="15"/>
  <c r="M77" i="15"/>
  <c r="H77" i="15"/>
  <c r="F77" i="15"/>
  <c r="D77" i="15"/>
  <c r="B77" i="15"/>
  <c r="AC76" i="15"/>
  <c r="Y76" i="15"/>
  <c r="W76" i="15"/>
  <c r="U76" i="15"/>
  <c r="S76" i="15"/>
  <c r="Q76" i="15"/>
  <c r="O76" i="15"/>
  <c r="N76" i="15"/>
  <c r="M76" i="15"/>
  <c r="H76" i="15"/>
  <c r="F76" i="15"/>
  <c r="D76" i="15"/>
  <c r="B76" i="15"/>
  <c r="AC75" i="15"/>
  <c r="Y75" i="15"/>
  <c r="W75" i="15"/>
  <c r="U75" i="15"/>
  <c r="S75" i="15"/>
  <c r="Q75" i="15"/>
  <c r="O75" i="15"/>
  <c r="N75" i="15"/>
  <c r="M75" i="15"/>
  <c r="H75" i="15"/>
  <c r="F75" i="15"/>
  <c r="D75" i="15"/>
  <c r="B75" i="15"/>
  <c r="AC74" i="15"/>
  <c r="Y74" i="15"/>
  <c r="W74" i="15"/>
  <c r="U74" i="15"/>
  <c r="S74" i="15"/>
  <c r="Q74" i="15"/>
  <c r="O74" i="15"/>
  <c r="N74" i="15"/>
  <c r="M74" i="15"/>
  <c r="H74" i="15"/>
  <c r="F74" i="15"/>
  <c r="D74" i="15"/>
  <c r="B74" i="15"/>
  <c r="AC73" i="15"/>
  <c r="Y73" i="15"/>
  <c r="W73" i="15"/>
  <c r="U73" i="15"/>
  <c r="S73" i="15"/>
  <c r="Q73" i="15"/>
  <c r="O73" i="15"/>
  <c r="N73" i="15"/>
  <c r="M73" i="15"/>
  <c r="H73" i="15"/>
  <c r="F73" i="15"/>
  <c r="D73" i="15"/>
  <c r="B73" i="15"/>
  <c r="AC72" i="15"/>
  <c r="Y72" i="15"/>
  <c r="W72" i="15"/>
  <c r="U72" i="15"/>
  <c r="S72" i="15"/>
  <c r="Q72" i="15"/>
  <c r="O72" i="15"/>
  <c r="N72" i="15"/>
  <c r="M72" i="15"/>
  <c r="H72" i="15"/>
  <c r="F72" i="15"/>
  <c r="D72" i="15"/>
  <c r="B72" i="15"/>
  <c r="AC71" i="15"/>
  <c r="Y71" i="15"/>
  <c r="W71" i="15"/>
  <c r="U71" i="15"/>
  <c r="S71" i="15"/>
  <c r="Q71" i="15"/>
  <c r="O71" i="15"/>
  <c r="N71" i="15"/>
  <c r="M71" i="15"/>
  <c r="H71" i="15"/>
  <c r="F71" i="15"/>
  <c r="D71" i="15"/>
  <c r="B71" i="15"/>
  <c r="AC70" i="15"/>
  <c r="Y70" i="15"/>
  <c r="W70" i="15"/>
  <c r="U70" i="15"/>
  <c r="S70" i="15"/>
  <c r="Q70" i="15"/>
  <c r="O70" i="15"/>
  <c r="N70" i="15"/>
  <c r="M70" i="15"/>
  <c r="H70" i="15"/>
  <c r="F70" i="15"/>
  <c r="D70" i="15"/>
  <c r="B70" i="15"/>
  <c r="AC69" i="15"/>
  <c r="Y69" i="15"/>
  <c r="W69" i="15"/>
  <c r="U69" i="15"/>
  <c r="S69" i="15"/>
  <c r="Q69" i="15"/>
  <c r="O69" i="15"/>
  <c r="N69" i="15"/>
  <c r="M69" i="15"/>
  <c r="H69" i="15"/>
  <c r="F69" i="15"/>
  <c r="D69" i="15"/>
  <c r="B69" i="15"/>
  <c r="AC68" i="15"/>
  <c r="Y68" i="15"/>
  <c r="W68" i="15"/>
  <c r="U68" i="15"/>
  <c r="S68" i="15"/>
  <c r="Q68" i="15"/>
  <c r="O68" i="15"/>
  <c r="N68" i="15"/>
  <c r="M68" i="15"/>
  <c r="H68" i="15"/>
  <c r="F68" i="15"/>
  <c r="D68" i="15"/>
  <c r="B68" i="15"/>
  <c r="AC67" i="15"/>
  <c r="Y67" i="15"/>
  <c r="W67" i="15"/>
  <c r="U67" i="15"/>
  <c r="S67" i="15"/>
  <c r="Q67" i="15"/>
  <c r="O67" i="15"/>
  <c r="N67" i="15"/>
  <c r="M67" i="15"/>
  <c r="H67" i="15"/>
  <c r="F67" i="15"/>
  <c r="D67" i="15"/>
  <c r="B67" i="15"/>
  <c r="AC66" i="15"/>
  <c r="Y66" i="15"/>
  <c r="W66" i="15"/>
  <c r="U66" i="15"/>
  <c r="S66" i="15"/>
  <c r="Q66" i="15"/>
  <c r="O66" i="15"/>
  <c r="N66" i="15"/>
  <c r="M66" i="15"/>
  <c r="H66" i="15"/>
  <c r="F66" i="15"/>
  <c r="D66" i="15"/>
  <c r="B66" i="15"/>
  <c r="AC65" i="15"/>
  <c r="Y65" i="15"/>
  <c r="W65" i="15"/>
  <c r="U65" i="15"/>
  <c r="S65" i="15"/>
  <c r="Q65" i="15"/>
  <c r="O65" i="15"/>
  <c r="N65" i="15"/>
  <c r="M65" i="15"/>
  <c r="H65" i="15"/>
  <c r="F65" i="15"/>
  <c r="D65" i="15"/>
  <c r="B65" i="15"/>
  <c r="AC64" i="15"/>
  <c r="Y64" i="15"/>
  <c r="W64" i="15"/>
  <c r="U64" i="15"/>
  <c r="S64" i="15"/>
  <c r="Q64" i="15"/>
  <c r="O64" i="15"/>
  <c r="N64" i="15"/>
  <c r="M64" i="15"/>
  <c r="H64" i="15"/>
  <c r="F64" i="15"/>
  <c r="D64" i="15"/>
  <c r="B64" i="15"/>
  <c r="AC63" i="15"/>
  <c r="Y63" i="15"/>
  <c r="W63" i="15"/>
  <c r="U63" i="15"/>
  <c r="S63" i="15"/>
  <c r="Q63" i="15"/>
  <c r="O63" i="15"/>
  <c r="N63" i="15"/>
  <c r="M63" i="15"/>
  <c r="H63" i="15"/>
  <c r="F63" i="15"/>
  <c r="D63" i="15"/>
  <c r="B63" i="15"/>
  <c r="AC62" i="15"/>
  <c r="Y62" i="15"/>
  <c r="W62" i="15"/>
  <c r="U62" i="15"/>
  <c r="S62" i="15"/>
  <c r="Q62" i="15"/>
  <c r="O62" i="15"/>
  <c r="N62" i="15"/>
  <c r="M62" i="15"/>
  <c r="H62" i="15"/>
  <c r="F62" i="15"/>
  <c r="D62" i="15"/>
  <c r="B62" i="15"/>
  <c r="AC61" i="15"/>
  <c r="Y61" i="15"/>
  <c r="W61" i="15"/>
  <c r="U61" i="15"/>
  <c r="S61" i="15"/>
  <c r="Q61" i="15"/>
  <c r="O61" i="15"/>
  <c r="N61" i="15"/>
  <c r="M61" i="15"/>
  <c r="H61" i="15"/>
  <c r="F61" i="15"/>
  <c r="D61" i="15"/>
  <c r="B61" i="15"/>
  <c r="AC60" i="15"/>
  <c r="Y60" i="15"/>
  <c r="W60" i="15"/>
  <c r="U60" i="15"/>
  <c r="S60" i="15"/>
  <c r="Q60" i="15"/>
  <c r="O60" i="15"/>
  <c r="N60" i="15"/>
  <c r="M60" i="15"/>
  <c r="H60" i="15"/>
  <c r="F60" i="15"/>
  <c r="D60" i="15"/>
  <c r="B60" i="15"/>
  <c r="AC59" i="15"/>
  <c r="Y59" i="15"/>
  <c r="W59" i="15"/>
  <c r="U59" i="15"/>
  <c r="S59" i="15"/>
  <c r="Q59" i="15"/>
  <c r="O59" i="15"/>
  <c r="N59" i="15"/>
  <c r="M59" i="15"/>
  <c r="H59" i="15"/>
  <c r="F59" i="15"/>
  <c r="D59" i="15"/>
  <c r="B59" i="15"/>
  <c r="AC58" i="15"/>
  <c r="Y58" i="15"/>
  <c r="W58" i="15"/>
  <c r="U58" i="15"/>
  <c r="S58" i="15"/>
  <c r="Q58" i="15"/>
  <c r="O58" i="15"/>
  <c r="N58" i="15"/>
  <c r="M58" i="15"/>
  <c r="H58" i="15"/>
  <c r="F58" i="15"/>
  <c r="D58" i="15"/>
  <c r="B58" i="15"/>
  <c r="AC57" i="15"/>
  <c r="Y57" i="15"/>
  <c r="W57" i="15"/>
  <c r="U57" i="15"/>
  <c r="S57" i="15"/>
  <c r="Q57" i="15"/>
  <c r="O57" i="15"/>
  <c r="N57" i="15"/>
  <c r="M57" i="15"/>
  <c r="H57" i="15"/>
  <c r="F57" i="15"/>
  <c r="D57" i="15"/>
  <c r="B57" i="15"/>
  <c r="AC56" i="15"/>
  <c r="Y56" i="15"/>
  <c r="W56" i="15"/>
  <c r="U56" i="15"/>
  <c r="S56" i="15"/>
  <c r="Q56" i="15"/>
  <c r="O56" i="15"/>
  <c r="N56" i="15"/>
  <c r="M56" i="15"/>
  <c r="H56" i="15"/>
  <c r="F56" i="15"/>
  <c r="D56" i="15"/>
  <c r="B56" i="15"/>
  <c r="AC55" i="15"/>
  <c r="Y55" i="15"/>
  <c r="W55" i="15"/>
  <c r="U55" i="15"/>
  <c r="S55" i="15"/>
  <c r="Q55" i="15"/>
  <c r="O55" i="15"/>
  <c r="N55" i="15"/>
  <c r="M55" i="15"/>
  <c r="H55" i="15"/>
  <c r="F55" i="15"/>
  <c r="D55" i="15"/>
  <c r="B55" i="15"/>
  <c r="AC54" i="15"/>
  <c r="Y54" i="15"/>
  <c r="W54" i="15"/>
  <c r="U54" i="15"/>
  <c r="S54" i="15"/>
  <c r="Q54" i="15"/>
  <c r="O54" i="15"/>
  <c r="N54" i="15"/>
  <c r="M54" i="15"/>
  <c r="H54" i="15"/>
  <c r="F54" i="15"/>
  <c r="D54" i="15"/>
  <c r="B54" i="15"/>
  <c r="AC53" i="15"/>
  <c r="Y53" i="15"/>
  <c r="W53" i="15"/>
  <c r="U53" i="15"/>
  <c r="S53" i="15"/>
  <c r="Q53" i="15"/>
  <c r="O53" i="15"/>
  <c r="N53" i="15"/>
  <c r="M53" i="15"/>
  <c r="H53" i="15"/>
  <c r="F53" i="15"/>
  <c r="D53" i="15"/>
  <c r="B53" i="15"/>
  <c r="AC52" i="15"/>
  <c r="Y52" i="15"/>
  <c r="W52" i="15"/>
  <c r="U52" i="15"/>
  <c r="S52" i="15"/>
  <c r="Q52" i="15"/>
  <c r="O52" i="15"/>
  <c r="N52" i="15"/>
  <c r="M52" i="15"/>
  <c r="H52" i="15"/>
  <c r="F52" i="15"/>
  <c r="D52" i="15"/>
  <c r="B52" i="15"/>
  <c r="AC51" i="15"/>
  <c r="Y51" i="15"/>
  <c r="W51" i="15"/>
  <c r="U51" i="15"/>
  <c r="S51" i="15"/>
  <c r="Q51" i="15"/>
  <c r="O51" i="15"/>
  <c r="N51" i="15"/>
  <c r="M51" i="15"/>
  <c r="H51" i="15"/>
  <c r="F51" i="15"/>
  <c r="D51" i="15"/>
  <c r="B51" i="15"/>
  <c r="AC50" i="15"/>
  <c r="Y50" i="15"/>
  <c r="W50" i="15"/>
  <c r="U50" i="15"/>
  <c r="S50" i="15"/>
  <c r="Q50" i="15"/>
  <c r="O50" i="15"/>
  <c r="N50" i="15"/>
  <c r="M50" i="15"/>
  <c r="H50" i="15"/>
  <c r="F50" i="15"/>
  <c r="D50" i="15"/>
  <c r="B50" i="15"/>
  <c r="AC49" i="15"/>
  <c r="Y49" i="15"/>
  <c r="W49" i="15"/>
  <c r="U49" i="15"/>
  <c r="S49" i="15"/>
  <c r="Q49" i="15"/>
  <c r="O49" i="15"/>
  <c r="N49" i="15"/>
  <c r="M49" i="15"/>
  <c r="H49" i="15"/>
  <c r="F49" i="15"/>
  <c r="D49" i="15"/>
  <c r="B49" i="15"/>
  <c r="AC48" i="15"/>
  <c r="Y48" i="15"/>
  <c r="W48" i="15"/>
  <c r="U48" i="15"/>
  <c r="S48" i="15"/>
  <c r="Q48" i="15"/>
  <c r="O48" i="15"/>
  <c r="N48" i="15"/>
  <c r="M48" i="15"/>
  <c r="H48" i="15"/>
  <c r="F48" i="15"/>
  <c r="D48" i="15"/>
  <c r="B48" i="15"/>
  <c r="AC47" i="15"/>
  <c r="Y47" i="15"/>
  <c r="W47" i="15"/>
  <c r="U47" i="15"/>
  <c r="S47" i="15"/>
  <c r="Q47" i="15"/>
  <c r="O47" i="15"/>
  <c r="N47" i="15"/>
  <c r="M47" i="15"/>
  <c r="H47" i="15"/>
  <c r="F47" i="15"/>
  <c r="D47" i="15"/>
  <c r="B47" i="15"/>
  <c r="AC46" i="15"/>
  <c r="Y46" i="15"/>
  <c r="W46" i="15"/>
  <c r="U46" i="15"/>
  <c r="S46" i="15"/>
  <c r="Q46" i="15"/>
  <c r="O46" i="15"/>
  <c r="N46" i="15"/>
  <c r="M46" i="15"/>
  <c r="H46" i="15"/>
  <c r="F46" i="15"/>
  <c r="D46" i="15"/>
  <c r="B46" i="15"/>
  <c r="AC45" i="15"/>
  <c r="Y45" i="15"/>
  <c r="W45" i="15"/>
  <c r="U45" i="15"/>
  <c r="S45" i="15"/>
  <c r="Q45" i="15"/>
  <c r="O45" i="15"/>
  <c r="N45" i="15"/>
  <c r="M45" i="15"/>
  <c r="H45" i="15"/>
  <c r="F45" i="15"/>
  <c r="D45" i="15"/>
  <c r="B45" i="15"/>
  <c r="AC44" i="15"/>
  <c r="Y44" i="15"/>
  <c r="W44" i="15"/>
  <c r="U44" i="15"/>
  <c r="S44" i="15"/>
  <c r="Q44" i="15"/>
  <c r="O44" i="15"/>
  <c r="N44" i="15"/>
  <c r="M44" i="15"/>
  <c r="H44" i="15"/>
  <c r="F44" i="15"/>
  <c r="D44" i="15"/>
  <c r="B44" i="15"/>
  <c r="AC43" i="15"/>
  <c r="Y43" i="15"/>
  <c r="W43" i="15"/>
  <c r="U43" i="15"/>
  <c r="S43" i="15"/>
  <c r="Q43" i="15"/>
  <c r="O43" i="15"/>
  <c r="N43" i="15"/>
  <c r="M43" i="15"/>
  <c r="H43" i="15"/>
  <c r="F43" i="15"/>
  <c r="D43" i="15"/>
  <c r="B43" i="15"/>
  <c r="AC42" i="15"/>
  <c r="Y42" i="15"/>
  <c r="W42" i="15"/>
  <c r="U42" i="15"/>
  <c r="S42" i="15"/>
  <c r="Q42" i="15"/>
  <c r="O42" i="15"/>
  <c r="N42" i="15"/>
  <c r="M42" i="15"/>
  <c r="H42" i="15"/>
  <c r="F42" i="15"/>
  <c r="D42" i="15"/>
  <c r="B42" i="15"/>
  <c r="AC41" i="15"/>
  <c r="Y41" i="15"/>
  <c r="W41" i="15"/>
  <c r="U41" i="15"/>
  <c r="S41" i="15"/>
  <c r="Q41" i="15"/>
  <c r="O41" i="15"/>
  <c r="N41" i="15"/>
  <c r="M41" i="15"/>
  <c r="H41" i="15"/>
  <c r="F41" i="15"/>
  <c r="D41" i="15"/>
  <c r="B41" i="15"/>
  <c r="AC40" i="15"/>
  <c r="Y40" i="15"/>
  <c r="W40" i="15"/>
  <c r="U40" i="15"/>
  <c r="S40" i="15"/>
  <c r="Q40" i="15"/>
  <c r="O40" i="15"/>
  <c r="N40" i="15"/>
  <c r="M40" i="15"/>
  <c r="H40" i="15"/>
  <c r="F40" i="15"/>
  <c r="D40" i="15"/>
  <c r="B40" i="15"/>
  <c r="AC39" i="15"/>
  <c r="Y39" i="15"/>
  <c r="W39" i="15"/>
  <c r="U39" i="15"/>
  <c r="S39" i="15"/>
  <c r="Q39" i="15"/>
  <c r="O39" i="15"/>
  <c r="N39" i="15"/>
  <c r="M39" i="15"/>
  <c r="H39" i="15"/>
  <c r="F39" i="15"/>
  <c r="D39" i="15"/>
  <c r="B39" i="15"/>
  <c r="AC38" i="15"/>
  <c r="Y38" i="15"/>
  <c r="W38" i="15"/>
  <c r="U38" i="15"/>
  <c r="S38" i="15"/>
  <c r="Q38" i="15"/>
  <c r="O38" i="15"/>
  <c r="N38" i="15"/>
  <c r="M38" i="15"/>
  <c r="H38" i="15"/>
  <c r="F38" i="15"/>
  <c r="D38" i="15"/>
  <c r="B38" i="15"/>
  <c r="AC37" i="15"/>
  <c r="Y37" i="15"/>
  <c r="W37" i="15"/>
  <c r="U37" i="15"/>
  <c r="S37" i="15"/>
  <c r="Q37" i="15"/>
  <c r="O37" i="15"/>
  <c r="N37" i="15"/>
  <c r="M37" i="15"/>
  <c r="H37" i="15"/>
  <c r="F37" i="15"/>
  <c r="D37" i="15"/>
  <c r="B37" i="15"/>
  <c r="AC36" i="15"/>
  <c r="Y36" i="15"/>
  <c r="W36" i="15"/>
  <c r="U36" i="15"/>
  <c r="S36" i="15"/>
  <c r="Q36" i="15"/>
  <c r="O36" i="15"/>
  <c r="N36" i="15"/>
  <c r="M36" i="15"/>
  <c r="H36" i="15"/>
  <c r="F36" i="15"/>
  <c r="D36" i="15"/>
  <c r="B36" i="15"/>
  <c r="AC35" i="15"/>
  <c r="Y35" i="15"/>
  <c r="W35" i="15"/>
  <c r="U35" i="15"/>
  <c r="S35" i="15"/>
  <c r="Q35" i="15"/>
  <c r="O35" i="15"/>
  <c r="N35" i="15"/>
  <c r="M35" i="15"/>
  <c r="H35" i="15"/>
  <c r="F35" i="15"/>
  <c r="D35" i="15"/>
  <c r="B35" i="15"/>
  <c r="AC34" i="15"/>
  <c r="Y34" i="15"/>
  <c r="W34" i="15"/>
  <c r="U34" i="15"/>
  <c r="S34" i="15"/>
  <c r="Q34" i="15"/>
  <c r="O34" i="15"/>
  <c r="N34" i="15"/>
  <c r="M34" i="15"/>
  <c r="H34" i="15"/>
  <c r="F34" i="15"/>
  <c r="D34" i="15"/>
  <c r="B34" i="15"/>
  <c r="AC33" i="15"/>
  <c r="Y33" i="15"/>
  <c r="W33" i="15"/>
  <c r="U33" i="15"/>
  <c r="S33" i="15"/>
  <c r="Q33" i="15"/>
  <c r="O33" i="15"/>
  <c r="N33" i="15"/>
  <c r="M33" i="15"/>
  <c r="H33" i="15"/>
  <c r="F33" i="15"/>
  <c r="D33" i="15"/>
  <c r="B33" i="15"/>
  <c r="AC32" i="15"/>
  <c r="Y32" i="15"/>
  <c r="W32" i="15"/>
  <c r="U32" i="15"/>
  <c r="S32" i="15"/>
  <c r="Q32" i="15"/>
  <c r="O32" i="15"/>
  <c r="N32" i="15"/>
  <c r="M32" i="15"/>
  <c r="H32" i="15"/>
  <c r="F32" i="15"/>
  <c r="D32" i="15"/>
  <c r="B32" i="15"/>
  <c r="AC31" i="15"/>
  <c r="Y31" i="15"/>
  <c r="W31" i="15"/>
  <c r="U31" i="15"/>
  <c r="S31" i="15"/>
  <c r="Q31" i="15"/>
  <c r="O31" i="15"/>
  <c r="N31" i="15"/>
  <c r="M31" i="15"/>
  <c r="H31" i="15"/>
  <c r="F31" i="15"/>
  <c r="D31" i="15"/>
  <c r="B31" i="15"/>
  <c r="AC30" i="15"/>
  <c r="Y30" i="15"/>
  <c r="W30" i="15"/>
  <c r="U30" i="15"/>
  <c r="S30" i="15"/>
  <c r="Q30" i="15"/>
  <c r="O30" i="15"/>
  <c r="N30" i="15"/>
  <c r="M30" i="15"/>
  <c r="H30" i="15"/>
  <c r="F30" i="15"/>
  <c r="E30" i="15"/>
  <c r="D30" i="15"/>
  <c r="B30" i="15"/>
  <c r="AC29" i="15"/>
  <c r="Y29" i="15"/>
  <c r="W29" i="15"/>
  <c r="U29" i="15"/>
  <c r="S29" i="15"/>
  <c r="Q29" i="15"/>
  <c r="O29" i="15"/>
  <c r="N29" i="15"/>
  <c r="M29" i="15"/>
  <c r="H29" i="15"/>
  <c r="F29" i="15"/>
  <c r="E29" i="15"/>
  <c r="D29" i="15"/>
  <c r="B29" i="15"/>
  <c r="AC28" i="15"/>
  <c r="Y28" i="15"/>
  <c r="W28" i="15"/>
  <c r="U28" i="15"/>
  <c r="S28" i="15"/>
  <c r="Q28" i="15"/>
  <c r="O28" i="15"/>
  <c r="N28" i="15"/>
  <c r="M28" i="15"/>
  <c r="H28" i="15"/>
  <c r="F28" i="15"/>
  <c r="E28" i="15"/>
  <c r="D28" i="15"/>
  <c r="B28" i="15"/>
  <c r="AC27" i="15"/>
  <c r="Y27" i="15"/>
  <c r="W27" i="15"/>
  <c r="U27" i="15"/>
  <c r="S27" i="15"/>
  <c r="Q27" i="15"/>
  <c r="O27" i="15"/>
  <c r="N27" i="15"/>
  <c r="M27" i="15"/>
  <c r="H27" i="15"/>
  <c r="F27" i="15"/>
  <c r="E27" i="15"/>
  <c r="D27" i="15"/>
  <c r="B27" i="15"/>
  <c r="AC26" i="15"/>
  <c r="Y26" i="15"/>
  <c r="W26" i="15"/>
  <c r="U26" i="15"/>
  <c r="S26" i="15"/>
  <c r="Q26" i="15"/>
  <c r="O26" i="15"/>
  <c r="N26" i="15"/>
  <c r="M26" i="15"/>
  <c r="H26" i="15"/>
  <c r="F26" i="15"/>
  <c r="E26" i="15"/>
  <c r="D26" i="15"/>
  <c r="B26" i="15"/>
  <c r="AC25" i="15"/>
  <c r="Y25" i="15"/>
  <c r="W25" i="15"/>
  <c r="U25" i="15"/>
  <c r="S25" i="15"/>
  <c r="Q25" i="15"/>
  <c r="O25" i="15"/>
  <c r="N25" i="15"/>
  <c r="M25" i="15"/>
  <c r="H25" i="15"/>
  <c r="F25" i="15"/>
  <c r="E25" i="15"/>
  <c r="D25" i="15"/>
  <c r="B25" i="15"/>
  <c r="AC24" i="15"/>
  <c r="Y24" i="15"/>
  <c r="W24" i="15"/>
  <c r="U24" i="15"/>
  <c r="S24" i="15"/>
  <c r="Q24" i="15"/>
  <c r="O24" i="15"/>
  <c r="N24" i="15"/>
  <c r="M24" i="15"/>
  <c r="H24" i="15"/>
  <c r="F24" i="15"/>
  <c r="E24" i="15"/>
  <c r="D24" i="15"/>
  <c r="B24" i="15"/>
  <c r="AC23" i="15"/>
  <c r="Y23" i="15"/>
  <c r="W23" i="15"/>
  <c r="U23" i="15"/>
  <c r="S23" i="15"/>
  <c r="Q23" i="15"/>
  <c r="O23" i="15"/>
  <c r="N23" i="15"/>
  <c r="M23" i="15"/>
  <c r="H23" i="15"/>
  <c r="F23" i="15"/>
  <c r="E23" i="15"/>
  <c r="D23" i="15"/>
  <c r="B23" i="15"/>
  <c r="AC22" i="15"/>
  <c r="Y22" i="15"/>
  <c r="W22" i="15"/>
  <c r="U22" i="15"/>
  <c r="S22" i="15"/>
  <c r="Q22" i="15"/>
  <c r="O22" i="15"/>
  <c r="N22" i="15"/>
  <c r="M22" i="15"/>
  <c r="H22" i="15"/>
  <c r="F22" i="15"/>
  <c r="E22" i="15"/>
  <c r="D22" i="15"/>
  <c r="B22" i="15"/>
  <c r="AC21" i="15"/>
  <c r="Y21" i="15"/>
  <c r="W21" i="15"/>
  <c r="U21" i="15"/>
  <c r="S21" i="15"/>
  <c r="Q21" i="15"/>
  <c r="O21" i="15"/>
  <c r="N21" i="15"/>
  <c r="M21" i="15"/>
  <c r="H21" i="15"/>
  <c r="F21" i="15"/>
  <c r="E21" i="15"/>
  <c r="D21" i="15"/>
  <c r="B21" i="15"/>
  <c r="AC20" i="15"/>
  <c r="Y20" i="15"/>
  <c r="W20" i="15"/>
  <c r="U20" i="15"/>
  <c r="S20" i="15"/>
  <c r="Q20" i="15"/>
  <c r="O20" i="15"/>
  <c r="N20" i="15"/>
  <c r="M20" i="15"/>
  <c r="H20" i="15"/>
  <c r="F20" i="15"/>
  <c r="E20" i="15"/>
  <c r="D20" i="15"/>
  <c r="B20" i="15"/>
  <c r="AC19" i="15"/>
  <c r="Y19" i="15"/>
  <c r="W19" i="15"/>
  <c r="U19" i="15"/>
  <c r="S19" i="15"/>
  <c r="Q19" i="15"/>
  <c r="O19" i="15"/>
  <c r="N19" i="15"/>
  <c r="M19" i="15"/>
  <c r="H19" i="15"/>
  <c r="F19" i="15"/>
  <c r="E19" i="15"/>
  <c r="D19" i="15"/>
  <c r="B19" i="15"/>
  <c r="AC18" i="15"/>
  <c r="Y18" i="15"/>
  <c r="W18" i="15"/>
  <c r="U18" i="15"/>
  <c r="S18" i="15"/>
  <c r="Q18" i="15"/>
  <c r="O18" i="15"/>
  <c r="N18" i="15"/>
  <c r="M18" i="15"/>
  <c r="H18" i="15"/>
  <c r="F18" i="15"/>
  <c r="E18" i="15"/>
  <c r="D18" i="15"/>
  <c r="B18" i="15"/>
  <c r="AC17" i="15"/>
  <c r="Y17" i="15"/>
  <c r="W17" i="15"/>
  <c r="U17" i="15"/>
  <c r="S17" i="15"/>
  <c r="Q17" i="15"/>
  <c r="O17" i="15"/>
  <c r="N17" i="15"/>
  <c r="M17" i="15"/>
  <c r="H17" i="15"/>
  <c r="F17" i="15"/>
  <c r="E17" i="15"/>
  <c r="D17" i="15"/>
  <c r="B17" i="15"/>
  <c r="AC16" i="15"/>
  <c r="Y16" i="15"/>
  <c r="W16" i="15"/>
  <c r="U16" i="15"/>
  <c r="S16" i="15"/>
  <c r="Q16" i="15"/>
  <c r="O16" i="15"/>
  <c r="N16" i="15"/>
  <c r="M16" i="15"/>
  <c r="H16" i="15"/>
  <c r="F16" i="15"/>
  <c r="E16" i="15"/>
  <c r="D16" i="15"/>
  <c r="B16" i="15"/>
  <c r="AC15" i="15"/>
  <c r="Y15" i="15"/>
  <c r="W15" i="15"/>
  <c r="U15" i="15"/>
  <c r="S15" i="15"/>
  <c r="Q15" i="15"/>
  <c r="O15" i="15"/>
  <c r="N15" i="15"/>
  <c r="M15" i="15"/>
  <c r="H15" i="15"/>
  <c r="F15" i="15"/>
  <c r="D15" i="15"/>
  <c r="B15" i="15"/>
  <c r="AC14" i="15"/>
  <c r="Y14" i="15"/>
  <c r="W14" i="15"/>
  <c r="U14" i="15"/>
  <c r="S14" i="15"/>
  <c r="Q14" i="15"/>
  <c r="O14" i="15"/>
  <c r="N14" i="15"/>
  <c r="M14" i="15"/>
  <c r="H14" i="15"/>
  <c r="F14" i="15"/>
  <c r="D14" i="15"/>
  <c r="B14" i="15"/>
  <c r="AC13" i="15"/>
  <c r="Y13" i="15"/>
  <c r="W13" i="15"/>
  <c r="U13" i="15"/>
  <c r="S13" i="15"/>
  <c r="Q13" i="15"/>
  <c r="O13" i="15"/>
  <c r="N13" i="15"/>
  <c r="M13" i="15"/>
  <c r="H13" i="15"/>
  <c r="F13" i="15"/>
  <c r="D13" i="15"/>
  <c r="B13" i="15"/>
  <c r="AC12" i="15"/>
  <c r="Y12" i="15"/>
  <c r="W12" i="15"/>
  <c r="U12" i="15"/>
  <c r="S12" i="15"/>
  <c r="Q12" i="15"/>
  <c r="O12" i="15"/>
  <c r="N12" i="15"/>
  <c r="M12" i="15"/>
  <c r="H12" i="15"/>
  <c r="F12" i="15"/>
  <c r="D12" i="15"/>
  <c r="B12" i="15"/>
  <c r="AC11" i="15"/>
  <c r="Y11" i="15"/>
  <c r="W11" i="15"/>
  <c r="U11" i="15"/>
  <c r="S11" i="15"/>
  <c r="Q11" i="15"/>
  <c r="O11" i="15"/>
  <c r="N11" i="15"/>
  <c r="M11" i="15"/>
  <c r="H11" i="15"/>
  <c r="F11" i="15"/>
  <c r="D11" i="15"/>
  <c r="B11" i="15"/>
  <c r="AC10" i="15"/>
  <c r="Y10" i="15"/>
  <c r="W10" i="15"/>
  <c r="U10" i="15"/>
  <c r="S10" i="15"/>
  <c r="Q10" i="15"/>
  <c r="O10" i="15"/>
  <c r="N10" i="15"/>
  <c r="M10" i="15"/>
  <c r="H10" i="15"/>
  <c r="F10" i="15"/>
  <c r="D10" i="15"/>
  <c r="B10" i="15"/>
  <c r="AC9" i="15"/>
  <c r="Y9" i="15"/>
  <c r="W9" i="15"/>
  <c r="U9" i="15"/>
  <c r="S9" i="15"/>
  <c r="Q9" i="15"/>
  <c r="O9" i="15"/>
  <c r="M9" i="15"/>
  <c r="H9" i="15"/>
  <c r="F9" i="15"/>
  <c r="D9" i="15"/>
  <c r="B9" i="15"/>
  <c r="AC8" i="15"/>
  <c r="Y8" i="15"/>
  <c r="W8" i="15"/>
  <c r="U8" i="15"/>
  <c r="S8" i="15"/>
  <c r="Q8" i="15"/>
  <c r="O8" i="15"/>
  <c r="M8" i="15"/>
  <c r="H8" i="15"/>
  <c r="F8" i="15"/>
  <c r="D8" i="15"/>
  <c r="B8" i="15"/>
  <c r="AC7" i="15"/>
  <c r="Y7" i="15"/>
  <c r="W7" i="15"/>
  <c r="U7" i="15"/>
  <c r="S7" i="15"/>
  <c r="Q7" i="15"/>
  <c r="O7" i="15"/>
  <c r="M7" i="15"/>
  <c r="H7" i="15"/>
  <c r="F7" i="15"/>
  <c r="D7" i="15"/>
  <c r="B7" i="15"/>
  <c r="AC6" i="15"/>
  <c r="Y6" i="15"/>
  <c r="W6" i="15"/>
  <c r="U6" i="15"/>
  <c r="S6" i="15"/>
  <c r="Q6" i="15"/>
  <c r="O6" i="15"/>
  <c r="M6" i="15"/>
  <c r="H6" i="15"/>
  <c r="F6" i="15"/>
  <c r="D6" i="15"/>
  <c r="B6" i="15"/>
  <c r="K100" i="15"/>
  <c r="K99" i="15"/>
  <c r="K98" i="15"/>
  <c r="K97" i="15"/>
  <c r="L85" i="15"/>
  <c r="I97" i="15"/>
  <c r="G97" i="15"/>
  <c r="I96" i="15"/>
  <c r="I95" i="15"/>
  <c r="G95" i="15"/>
  <c r="I94" i="15"/>
  <c r="I93" i="15"/>
  <c r="G93" i="15"/>
  <c r="I92" i="15"/>
  <c r="I91" i="15"/>
  <c r="G91" i="15"/>
  <c r="I90" i="15"/>
  <c r="I89" i="15"/>
  <c r="G89" i="15"/>
  <c r="I88" i="15"/>
  <c r="I87" i="15"/>
  <c r="G87" i="15"/>
  <c r="F422" i="13"/>
  <c r="F421" i="13"/>
  <c r="G99" i="15"/>
  <c r="I98" i="15"/>
  <c r="F418" i="13"/>
  <c r="F417" i="13"/>
  <c r="F416" i="13"/>
  <c r="K78" i="15"/>
  <c r="F413" i="13"/>
  <c r="F412" i="13"/>
  <c r="F411" i="13"/>
  <c r="F410" i="13"/>
  <c r="F409" i="13"/>
  <c r="F408" i="13"/>
  <c r="F407" i="13"/>
  <c r="F406" i="13"/>
  <c r="F404" i="13"/>
  <c r="F403" i="13"/>
  <c r="F402" i="13"/>
  <c r="K46" i="15"/>
  <c r="F415" i="13"/>
  <c r="F400" i="13"/>
  <c r="F398" i="13"/>
  <c r="F397" i="13"/>
  <c r="F395" i="13"/>
  <c r="F394" i="13"/>
  <c r="F393" i="13"/>
  <c r="F391" i="13"/>
  <c r="K62" i="15"/>
  <c r="K61" i="15"/>
  <c r="K60" i="15"/>
  <c r="K59" i="15"/>
  <c r="K58" i="15"/>
  <c r="K57" i="15"/>
  <c r="K56" i="15"/>
  <c r="K55" i="15"/>
  <c r="K53" i="15"/>
  <c r="K52" i="15"/>
  <c r="K51" i="15"/>
  <c r="K50" i="15"/>
  <c r="F390" i="13"/>
  <c r="F389" i="13"/>
  <c r="F388" i="13"/>
  <c r="F385" i="13"/>
  <c r="F384" i="13"/>
  <c r="M679" i="13" l="1"/>
  <c r="Q679" i="13" s="1"/>
  <c r="F480" i="13"/>
  <c r="D384" i="13"/>
  <c r="P384" i="13"/>
  <c r="F392" i="13"/>
  <c r="D395" i="13"/>
  <c r="P395" i="13"/>
  <c r="F436" i="13"/>
  <c r="D402" i="13"/>
  <c r="P402" i="13"/>
  <c r="D410" i="13"/>
  <c r="P410" i="13"/>
  <c r="F433" i="13"/>
  <c r="F426" i="13"/>
  <c r="F441" i="13"/>
  <c r="F489" i="13"/>
  <c r="F443" i="13"/>
  <c r="F452" i="13"/>
  <c r="F460" i="13"/>
  <c r="F467" i="13"/>
  <c r="F490" i="13"/>
  <c r="D495" i="13"/>
  <c r="P495" i="13"/>
  <c r="F500" i="13"/>
  <c r="F517" i="13"/>
  <c r="D524" i="13"/>
  <c r="P524" i="13"/>
  <c r="F387" i="13"/>
  <c r="F502" i="13"/>
  <c r="F401" i="13"/>
  <c r="D408" i="13"/>
  <c r="P408" i="13"/>
  <c r="D417" i="13"/>
  <c r="P417" i="13"/>
  <c r="F432" i="13"/>
  <c r="F439" i="13"/>
  <c r="F487" i="13"/>
  <c r="M481" i="13"/>
  <c r="Q481" i="13" s="1"/>
  <c r="F481" i="13"/>
  <c r="F450" i="13"/>
  <c r="F458" i="13"/>
  <c r="F465" i="13"/>
  <c r="F473" i="13"/>
  <c r="F493" i="13"/>
  <c r="F498" i="13"/>
  <c r="F508" i="13"/>
  <c r="D516" i="13"/>
  <c r="P516" i="13"/>
  <c r="D522" i="13"/>
  <c r="P522" i="13"/>
  <c r="D535" i="13"/>
  <c r="P535" i="13"/>
  <c r="F470" i="13"/>
  <c r="D511" i="13"/>
  <c r="P511" i="13"/>
  <c r="D527" i="13"/>
  <c r="P527" i="13"/>
  <c r="D582" i="13"/>
  <c r="P582" i="13"/>
  <c r="D390" i="13"/>
  <c r="P390" i="13"/>
  <c r="F424" i="13"/>
  <c r="D385" i="13"/>
  <c r="P385" i="13"/>
  <c r="D393" i="13"/>
  <c r="P393" i="13"/>
  <c r="F396" i="13"/>
  <c r="D403" i="13"/>
  <c r="P403" i="13"/>
  <c r="D411" i="13"/>
  <c r="P411" i="13"/>
  <c r="F434" i="13"/>
  <c r="P422" i="13"/>
  <c r="D422" i="13"/>
  <c r="F427" i="13"/>
  <c r="F442" i="13"/>
  <c r="F501" i="13"/>
  <c r="F444" i="13"/>
  <c r="F453" i="13"/>
  <c r="F461" i="13"/>
  <c r="F478" i="13"/>
  <c r="F468" i="13"/>
  <c r="D491" i="13"/>
  <c r="P491" i="13"/>
  <c r="F518" i="13"/>
  <c r="F525" i="13"/>
  <c r="F484" i="13"/>
  <c r="F475" i="13"/>
  <c r="F503" i="13"/>
  <c r="F399" i="13"/>
  <c r="F430" i="13"/>
  <c r="F437" i="13"/>
  <c r="F485" i="13"/>
  <c r="F447" i="13"/>
  <c r="F456" i="13"/>
  <c r="F476" i="13"/>
  <c r="M463" i="13"/>
  <c r="Q463" i="13" s="1"/>
  <c r="F463" i="13"/>
  <c r="F471" i="13"/>
  <c r="F496" i="13"/>
  <c r="F506" i="13"/>
  <c r="F514" i="13"/>
  <c r="D533" i="13"/>
  <c r="P533" i="13"/>
  <c r="D388" i="13"/>
  <c r="P388" i="13"/>
  <c r="D406" i="13"/>
  <c r="P406" i="13"/>
  <c r="F414" i="13"/>
  <c r="F383" i="13"/>
  <c r="D391" i="13"/>
  <c r="P391" i="13"/>
  <c r="D415" i="13"/>
  <c r="P415" i="13"/>
  <c r="D409" i="13"/>
  <c r="P409" i="13"/>
  <c r="D418" i="13"/>
  <c r="P418" i="13"/>
  <c r="F425" i="13"/>
  <c r="F440" i="13"/>
  <c r="F488" i="13"/>
  <c r="M482" i="13"/>
  <c r="Q482" i="13" s="1"/>
  <c r="F482" i="13"/>
  <c r="F451" i="13"/>
  <c r="F459" i="13"/>
  <c r="M466" i="13"/>
  <c r="Q466" i="13" s="1"/>
  <c r="F466" i="13"/>
  <c r="F474" i="13"/>
  <c r="F494" i="13"/>
  <c r="F499" i="13"/>
  <c r="F509" i="13"/>
  <c r="D512" i="13"/>
  <c r="P512" i="13"/>
  <c r="D523" i="13"/>
  <c r="P523" i="13"/>
  <c r="D581" i="13"/>
  <c r="P581" i="13"/>
  <c r="D583" i="13"/>
  <c r="P583" i="13"/>
  <c r="F405" i="13"/>
  <c r="F386" i="13"/>
  <c r="D397" i="13"/>
  <c r="P397" i="13"/>
  <c r="P404" i="13"/>
  <c r="D404" i="13"/>
  <c r="F435" i="13"/>
  <c r="F483" i="13"/>
  <c r="F445" i="13"/>
  <c r="F454" i="13"/>
  <c r="F462" i="13"/>
  <c r="F479" i="13"/>
  <c r="F469" i="13"/>
  <c r="F510" i="13"/>
  <c r="D521" i="13"/>
  <c r="P521" i="13"/>
  <c r="F526" i="13"/>
  <c r="D398" i="13"/>
  <c r="P398" i="13"/>
  <c r="P413" i="13"/>
  <c r="D413" i="13"/>
  <c r="F419" i="13"/>
  <c r="F429" i="13"/>
  <c r="F446" i="13"/>
  <c r="F455" i="13"/>
  <c r="F505" i="13"/>
  <c r="F513" i="13"/>
  <c r="F420" i="13"/>
  <c r="D394" i="13"/>
  <c r="P394" i="13"/>
  <c r="D412" i="13"/>
  <c r="P412" i="13"/>
  <c r="F428" i="13"/>
  <c r="D389" i="13"/>
  <c r="P389" i="13"/>
  <c r="D400" i="13"/>
  <c r="P400" i="13"/>
  <c r="D407" i="13"/>
  <c r="P407" i="13"/>
  <c r="D416" i="13"/>
  <c r="P416" i="13"/>
  <c r="D421" i="13"/>
  <c r="P421" i="13"/>
  <c r="F423" i="13"/>
  <c r="F431" i="13"/>
  <c r="F438" i="13"/>
  <c r="F486" i="13"/>
  <c r="F448" i="13"/>
  <c r="F449" i="13"/>
  <c r="F457" i="13"/>
  <c r="D477" i="13"/>
  <c r="P477" i="13"/>
  <c r="F464" i="13"/>
  <c r="F472" i="13"/>
  <c r="F492" i="13"/>
  <c r="F497" i="13"/>
  <c r="F507" i="13"/>
  <c r="F515" i="13"/>
  <c r="D534" i="13"/>
  <c r="P534" i="13"/>
  <c r="M707" i="13"/>
  <c r="Q707" i="13" s="1"/>
  <c r="M620" i="13"/>
  <c r="Q620" i="13" s="1"/>
  <c r="M636" i="13"/>
  <c r="Q636" i="13" s="1"/>
  <c r="M637" i="13"/>
  <c r="Q637" i="13" s="1"/>
  <c r="M578" i="13"/>
  <c r="Q578" i="13" s="1"/>
  <c r="G101" i="15"/>
  <c r="E101" i="15"/>
  <c r="E97" i="15"/>
  <c r="E93" i="15"/>
  <c r="E94" i="15"/>
  <c r="E95" i="15"/>
  <c r="E88" i="15"/>
  <c r="E89" i="15"/>
  <c r="E90" i="15"/>
  <c r="E91" i="15"/>
  <c r="E99" i="15"/>
  <c r="E100" i="15"/>
  <c r="I101" i="15"/>
  <c r="E92" i="15"/>
  <c r="E96" i="15"/>
  <c r="L97" i="15"/>
  <c r="L99" i="15"/>
  <c r="I50" i="15"/>
  <c r="I59" i="15"/>
  <c r="I71" i="15"/>
  <c r="L86" i="15"/>
  <c r="G50" i="15"/>
  <c r="I51" i="15"/>
  <c r="G54" i="15"/>
  <c r="E58" i="15"/>
  <c r="G59" i="15"/>
  <c r="G82" i="15"/>
  <c r="G85" i="15"/>
  <c r="G88" i="15"/>
  <c r="G92" i="15"/>
  <c r="G96" i="15"/>
  <c r="E53" i="15"/>
  <c r="E52" i="15"/>
  <c r="G53" i="15"/>
  <c r="E56" i="15"/>
  <c r="G57" i="15"/>
  <c r="G58" i="15"/>
  <c r="E61" i="15"/>
  <c r="E65" i="15"/>
  <c r="G66" i="15"/>
  <c r="I67" i="15"/>
  <c r="E81" i="15"/>
  <c r="G68" i="15"/>
  <c r="I69" i="15"/>
  <c r="G72" i="15"/>
  <c r="I73" i="15"/>
  <c r="E75" i="15"/>
  <c r="G76" i="15"/>
  <c r="I77" i="15"/>
  <c r="E79" i="15"/>
  <c r="G80" i="15"/>
  <c r="I82" i="15"/>
  <c r="E84" i="15"/>
  <c r="E50" i="15"/>
  <c r="G51" i="15"/>
  <c r="E59" i="15"/>
  <c r="G62" i="15"/>
  <c r="E66" i="15"/>
  <c r="K70" i="15"/>
  <c r="E71" i="15"/>
  <c r="I81" i="15"/>
  <c r="G100" i="15"/>
  <c r="I55" i="15"/>
  <c r="E57" i="15"/>
  <c r="E62" i="15"/>
  <c r="G63" i="15"/>
  <c r="I64" i="15"/>
  <c r="G67" i="15"/>
  <c r="E68" i="15"/>
  <c r="G69" i="15"/>
  <c r="I70" i="15"/>
  <c r="E72" i="15"/>
  <c r="G73" i="15"/>
  <c r="I74" i="15"/>
  <c r="E76" i="15"/>
  <c r="G77" i="15"/>
  <c r="I78" i="15"/>
  <c r="I83" i="15"/>
  <c r="G90" i="15"/>
  <c r="G94" i="15"/>
  <c r="G86" i="15"/>
  <c r="T51" i="15"/>
  <c r="E51" i="15"/>
  <c r="G52" i="15"/>
  <c r="I53" i="15"/>
  <c r="E55" i="15"/>
  <c r="G56" i="15"/>
  <c r="I57" i="15"/>
  <c r="K54" i="15"/>
  <c r="I58" i="15"/>
  <c r="E60" i="15"/>
  <c r="G61" i="15"/>
  <c r="I62" i="15"/>
  <c r="E64" i="15"/>
  <c r="G65" i="15"/>
  <c r="I66" i="15"/>
  <c r="G81" i="15"/>
  <c r="E70" i="15"/>
  <c r="G71" i="15"/>
  <c r="E74" i="15"/>
  <c r="G75" i="15"/>
  <c r="I76" i="15"/>
  <c r="E78" i="15"/>
  <c r="G79" i="15"/>
  <c r="I80" i="15"/>
  <c r="K68" i="15"/>
  <c r="K69" i="15"/>
  <c r="K71" i="15"/>
  <c r="K72" i="15"/>
  <c r="K73" i="15"/>
  <c r="K74" i="15"/>
  <c r="K75" i="15"/>
  <c r="K79" i="15"/>
  <c r="L80" i="15"/>
  <c r="K80" i="15"/>
  <c r="K82" i="15"/>
  <c r="K83" i="15"/>
  <c r="E83" i="15"/>
  <c r="E86" i="15"/>
  <c r="E87" i="15"/>
  <c r="I54" i="15"/>
  <c r="I60" i="15"/>
  <c r="I63" i="15"/>
  <c r="I68" i="15"/>
  <c r="I72" i="15"/>
  <c r="I75" i="15"/>
  <c r="G78" i="15"/>
  <c r="G84" i="15"/>
  <c r="I52" i="15"/>
  <c r="G55" i="15"/>
  <c r="I56" i="15"/>
  <c r="G60" i="15"/>
  <c r="I61" i="15"/>
  <c r="G64" i="15"/>
  <c r="I65" i="15"/>
  <c r="E67" i="15"/>
  <c r="E69" i="15"/>
  <c r="G70" i="15"/>
  <c r="L73" i="15"/>
  <c r="E73" i="15"/>
  <c r="G74" i="15"/>
  <c r="E77" i="15"/>
  <c r="I79" i="15"/>
  <c r="E82" i="15"/>
  <c r="G83" i="15"/>
  <c r="I84" i="15"/>
  <c r="I99" i="15"/>
  <c r="I100" i="15"/>
  <c r="E54" i="15"/>
  <c r="E63" i="15"/>
  <c r="K77" i="15"/>
  <c r="E80" i="15"/>
  <c r="G98" i="15"/>
  <c r="L98" i="15"/>
  <c r="I85" i="15"/>
  <c r="I86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101" i="15"/>
  <c r="L101" i="15"/>
  <c r="L87" i="15"/>
  <c r="L89" i="15"/>
  <c r="K81" i="15"/>
  <c r="K84" i="15"/>
  <c r="K76" i="15"/>
  <c r="L71" i="15"/>
  <c r="L50" i="15"/>
  <c r="M419" i="13"/>
  <c r="Q419" i="13" s="1"/>
  <c r="T50" i="15"/>
  <c r="K67" i="15"/>
  <c r="K66" i="15"/>
  <c r="K65" i="15"/>
  <c r="K64" i="15"/>
  <c r="K63" i="15"/>
  <c r="K49" i="15"/>
  <c r="K48" i="15"/>
  <c r="K47" i="15"/>
  <c r="K45" i="15"/>
  <c r="F504" i="13"/>
  <c r="F378" i="13"/>
  <c r="F377" i="13"/>
  <c r="F373" i="13"/>
  <c r="F372" i="13"/>
  <c r="F371" i="13"/>
  <c r="F370" i="13"/>
  <c r="K40" i="15"/>
  <c r="K38" i="15"/>
  <c r="K36" i="15"/>
  <c r="K35" i="15"/>
  <c r="K34" i="15"/>
  <c r="K33" i="15"/>
  <c r="K32" i="15"/>
  <c r="F367" i="13"/>
  <c r="F366" i="13"/>
  <c r="F365" i="13"/>
  <c r="F363" i="13"/>
  <c r="K31" i="15"/>
  <c r="K30" i="15"/>
  <c r="K29" i="15"/>
  <c r="K28" i="15"/>
  <c r="K27" i="15"/>
  <c r="K26" i="15"/>
  <c r="K25" i="15"/>
  <c r="K24" i="15"/>
  <c r="K17" i="15"/>
  <c r="K16" i="15"/>
  <c r="K12" i="15"/>
  <c r="K11" i="15"/>
  <c r="K10" i="15"/>
  <c r="F346" i="13"/>
  <c r="F345" i="13"/>
  <c r="F344" i="13"/>
  <c r="F343" i="13"/>
  <c r="F342" i="13"/>
  <c r="F341" i="13"/>
  <c r="L91" i="15" l="1"/>
  <c r="P90" i="15"/>
  <c r="L96" i="15"/>
  <c r="D366" i="13"/>
  <c r="P366" i="13"/>
  <c r="D372" i="13"/>
  <c r="P372" i="13"/>
  <c r="D345" i="13"/>
  <c r="P345" i="13"/>
  <c r="D365" i="13"/>
  <c r="P365" i="13"/>
  <c r="E42" i="15"/>
  <c r="F375" i="13"/>
  <c r="P53" i="15"/>
  <c r="L53" i="15"/>
  <c r="M490" i="13"/>
  <c r="Q490" i="13" s="1"/>
  <c r="L92" i="15"/>
  <c r="D492" i="13"/>
  <c r="P492" i="13"/>
  <c r="D457" i="13"/>
  <c r="P457" i="13"/>
  <c r="D438" i="13"/>
  <c r="P438" i="13"/>
  <c r="D428" i="13"/>
  <c r="P428" i="13"/>
  <c r="D513" i="13"/>
  <c r="P513" i="13"/>
  <c r="D429" i="13"/>
  <c r="P429" i="13"/>
  <c r="D526" i="13"/>
  <c r="P526" i="13"/>
  <c r="D479" i="13"/>
  <c r="P479" i="13"/>
  <c r="D483" i="13"/>
  <c r="P483" i="13"/>
  <c r="D386" i="13"/>
  <c r="P386" i="13"/>
  <c r="D494" i="13"/>
  <c r="P494" i="13"/>
  <c r="D451" i="13"/>
  <c r="P451" i="13"/>
  <c r="D425" i="13"/>
  <c r="P425" i="13"/>
  <c r="D496" i="13"/>
  <c r="P496" i="13"/>
  <c r="D456" i="13"/>
  <c r="P456" i="13"/>
  <c r="D430" i="13"/>
  <c r="P430" i="13"/>
  <c r="D484" i="13"/>
  <c r="P484" i="13"/>
  <c r="D468" i="13"/>
  <c r="P468" i="13"/>
  <c r="D444" i="13"/>
  <c r="P444" i="13"/>
  <c r="D396" i="13"/>
  <c r="P396" i="13"/>
  <c r="D470" i="13"/>
  <c r="P470" i="13"/>
  <c r="P508" i="13"/>
  <c r="D508" i="13"/>
  <c r="D465" i="13"/>
  <c r="P465" i="13"/>
  <c r="D487" i="13"/>
  <c r="P487" i="13"/>
  <c r="D490" i="13"/>
  <c r="P490" i="13"/>
  <c r="D443" i="13"/>
  <c r="P443" i="13"/>
  <c r="D433" i="13"/>
  <c r="P433" i="13"/>
  <c r="D343" i="13"/>
  <c r="P343" i="13"/>
  <c r="D363" i="13"/>
  <c r="P363" i="13"/>
  <c r="D373" i="13"/>
  <c r="P373" i="13"/>
  <c r="D377" i="13"/>
  <c r="P377" i="13"/>
  <c r="E49" i="15"/>
  <c r="F382" i="13"/>
  <c r="L94" i="15"/>
  <c r="D515" i="13"/>
  <c r="P515" i="13"/>
  <c r="D472" i="13"/>
  <c r="P472" i="13"/>
  <c r="D449" i="13"/>
  <c r="P449" i="13"/>
  <c r="D431" i="13"/>
  <c r="P431" i="13"/>
  <c r="P505" i="13"/>
  <c r="D505" i="13"/>
  <c r="D419" i="13"/>
  <c r="P419" i="13"/>
  <c r="D462" i="13"/>
  <c r="P462" i="13"/>
  <c r="D435" i="13"/>
  <c r="P435" i="13"/>
  <c r="D405" i="13"/>
  <c r="P405" i="13"/>
  <c r="D474" i="13"/>
  <c r="P474" i="13"/>
  <c r="D482" i="13"/>
  <c r="P482" i="13"/>
  <c r="D383" i="13"/>
  <c r="P383" i="13"/>
  <c r="D471" i="13"/>
  <c r="P471" i="13"/>
  <c r="D447" i="13"/>
  <c r="P447" i="13"/>
  <c r="D399" i="13"/>
  <c r="P399" i="13"/>
  <c r="P525" i="13"/>
  <c r="D525" i="13"/>
  <c r="D478" i="13"/>
  <c r="P478" i="13"/>
  <c r="D501" i="13"/>
  <c r="P501" i="13"/>
  <c r="D434" i="13"/>
  <c r="P434" i="13"/>
  <c r="D498" i="13"/>
  <c r="P498" i="13"/>
  <c r="D458" i="13"/>
  <c r="P458" i="13"/>
  <c r="D439" i="13"/>
  <c r="P439" i="13"/>
  <c r="D401" i="13"/>
  <c r="P401" i="13"/>
  <c r="D517" i="13"/>
  <c r="P517" i="13"/>
  <c r="D467" i="13"/>
  <c r="P467" i="13"/>
  <c r="D489" i="13"/>
  <c r="P489" i="13"/>
  <c r="D392" i="13"/>
  <c r="P392" i="13"/>
  <c r="R94" i="15"/>
  <c r="T53" i="15"/>
  <c r="D341" i="13"/>
  <c r="P341" i="13"/>
  <c r="D371" i="13"/>
  <c r="P371" i="13"/>
  <c r="E47" i="15"/>
  <c r="F380" i="13"/>
  <c r="T63" i="15"/>
  <c r="R93" i="15"/>
  <c r="L90" i="15"/>
  <c r="D507" i="13"/>
  <c r="P507" i="13"/>
  <c r="D464" i="13"/>
  <c r="P464" i="13"/>
  <c r="D448" i="13"/>
  <c r="P448" i="13"/>
  <c r="D423" i="13"/>
  <c r="P423" i="13"/>
  <c r="D455" i="13"/>
  <c r="P455" i="13"/>
  <c r="D510" i="13"/>
  <c r="P510" i="13"/>
  <c r="D454" i="13"/>
  <c r="P454" i="13"/>
  <c r="D509" i="13"/>
  <c r="P509" i="13"/>
  <c r="D466" i="13"/>
  <c r="P466" i="13"/>
  <c r="D488" i="13"/>
  <c r="P488" i="13"/>
  <c r="D414" i="13"/>
  <c r="P414" i="13"/>
  <c r="D514" i="13"/>
  <c r="P514" i="13"/>
  <c r="D463" i="13"/>
  <c r="P463" i="13"/>
  <c r="D485" i="13"/>
  <c r="P485" i="13"/>
  <c r="D503" i="13"/>
  <c r="P503" i="13"/>
  <c r="D518" i="13"/>
  <c r="P518" i="13"/>
  <c r="D461" i="13"/>
  <c r="P461" i="13"/>
  <c r="D442" i="13"/>
  <c r="P442" i="13"/>
  <c r="D493" i="13"/>
  <c r="P493" i="13"/>
  <c r="D450" i="13"/>
  <c r="P450" i="13"/>
  <c r="D432" i="13"/>
  <c r="P432" i="13"/>
  <c r="D502" i="13"/>
  <c r="P502" i="13"/>
  <c r="D500" i="13"/>
  <c r="P500" i="13"/>
  <c r="D460" i="13"/>
  <c r="P460" i="13"/>
  <c r="D441" i="13"/>
  <c r="P441" i="13"/>
  <c r="L93" i="15"/>
  <c r="F340" i="13"/>
  <c r="D344" i="13"/>
  <c r="P344" i="13"/>
  <c r="F364" i="13"/>
  <c r="E41" i="15"/>
  <c r="F374" i="13"/>
  <c r="D378" i="13"/>
  <c r="P378" i="13"/>
  <c r="D504" i="13"/>
  <c r="P504" i="13"/>
  <c r="P94" i="15"/>
  <c r="F339" i="13"/>
  <c r="D367" i="13"/>
  <c r="P367" i="13"/>
  <c r="R63" i="15"/>
  <c r="T96" i="15"/>
  <c r="D497" i="13"/>
  <c r="P497" i="13"/>
  <c r="D486" i="13"/>
  <c r="P486" i="13"/>
  <c r="D420" i="13"/>
  <c r="P420" i="13"/>
  <c r="D446" i="13"/>
  <c r="P446" i="13"/>
  <c r="D469" i="13"/>
  <c r="P469" i="13"/>
  <c r="D445" i="13"/>
  <c r="P445" i="13"/>
  <c r="D499" i="13"/>
  <c r="P499" i="13"/>
  <c r="D459" i="13"/>
  <c r="P459" i="13"/>
  <c r="D440" i="13"/>
  <c r="P440" i="13"/>
  <c r="D506" i="13"/>
  <c r="P506" i="13"/>
  <c r="D476" i="13"/>
  <c r="P476" i="13"/>
  <c r="D437" i="13"/>
  <c r="P437" i="13"/>
  <c r="D475" i="13"/>
  <c r="P475" i="13"/>
  <c r="D453" i="13"/>
  <c r="P453" i="13"/>
  <c r="D427" i="13"/>
  <c r="P427" i="13"/>
  <c r="D424" i="13"/>
  <c r="P424" i="13"/>
  <c r="D473" i="13"/>
  <c r="P473" i="13"/>
  <c r="D481" i="13"/>
  <c r="P481" i="13"/>
  <c r="D387" i="13"/>
  <c r="P387" i="13"/>
  <c r="D452" i="13"/>
  <c r="P452" i="13"/>
  <c r="D426" i="13"/>
  <c r="P426" i="13"/>
  <c r="D436" i="13"/>
  <c r="P436" i="13"/>
  <c r="D480" i="13"/>
  <c r="P480" i="13"/>
  <c r="D370" i="13"/>
  <c r="P370" i="13"/>
  <c r="E46" i="15"/>
  <c r="F379" i="13"/>
  <c r="D346" i="13"/>
  <c r="P346" i="13"/>
  <c r="D342" i="13"/>
  <c r="P342" i="13"/>
  <c r="E48" i="15"/>
  <c r="F381" i="13"/>
  <c r="M587" i="13"/>
  <c r="Q587" i="13" s="1"/>
  <c r="M580" i="13"/>
  <c r="Q580" i="13" s="1"/>
  <c r="M579" i="13"/>
  <c r="Q579" i="13" s="1"/>
  <c r="M576" i="13"/>
  <c r="Q576" i="13" s="1"/>
  <c r="M553" i="13"/>
  <c r="Q553" i="13" s="1"/>
  <c r="M540" i="13"/>
  <c r="Q540" i="13" s="1"/>
  <c r="M557" i="13"/>
  <c r="Q557" i="13" s="1"/>
  <c r="M556" i="13"/>
  <c r="Q556" i="13" s="1"/>
  <c r="M555" i="13"/>
  <c r="Q555" i="13" s="1"/>
  <c r="M545" i="13"/>
  <c r="Q545" i="13" s="1"/>
  <c r="M548" i="13"/>
  <c r="Q548" i="13" s="1"/>
  <c r="M547" i="13"/>
  <c r="Q547" i="13" s="1"/>
  <c r="T91" i="15"/>
  <c r="R91" i="15"/>
  <c r="R90" i="15"/>
  <c r="T89" i="15"/>
  <c r="R89" i="15"/>
  <c r="P91" i="15"/>
  <c r="P89" i="15"/>
  <c r="L88" i="15"/>
  <c r="T97" i="15"/>
  <c r="R97" i="15"/>
  <c r="R96" i="15"/>
  <c r="T92" i="15"/>
  <c r="R92" i="15"/>
  <c r="L95" i="15"/>
  <c r="P97" i="15"/>
  <c r="P96" i="15"/>
  <c r="P93" i="15"/>
  <c r="P92" i="15"/>
  <c r="T101" i="15"/>
  <c r="R101" i="15"/>
  <c r="P101" i="15"/>
  <c r="T80" i="15"/>
  <c r="R80" i="15"/>
  <c r="T87" i="15"/>
  <c r="R87" i="15"/>
  <c r="T85" i="15"/>
  <c r="R85" i="15"/>
  <c r="P80" i="15"/>
  <c r="T99" i="15"/>
  <c r="R99" i="15"/>
  <c r="P87" i="15"/>
  <c r="P99" i="15"/>
  <c r="L83" i="15"/>
  <c r="L100" i="15"/>
  <c r="M447" i="13"/>
  <c r="Q447" i="13" s="1"/>
  <c r="T86" i="15"/>
  <c r="R86" i="15"/>
  <c r="P55" i="15"/>
  <c r="L55" i="15"/>
  <c r="L81" i="15"/>
  <c r="T55" i="15"/>
  <c r="T64" i="15"/>
  <c r="L68" i="15"/>
  <c r="R64" i="15"/>
  <c r="R68" i="15"/>
  <c r="P64" i="15"/>
  <c r="L77" i="15"/>
  <c r="R58" i="15"/>
  <c r="L72" i="15"/>
  <c r="L60" i="15"/>
  <c r="T58" i="15"/>
  <c r="L58" i="15"/>
  <c r="L56" i="15"/>
  <c r="P60" i="15"/>
  <c r="R73" i="15"/>
  <c r="T60" i="15"/>
  <c r="R60" i="15"/>
  <c r="T73" i="15"/>
  <c r="R51" i="15"/>
  <c r="L51" i="15"/>
  <c r="T57" i="15"/>
  <c r="P86" i="15"/>
  <c r="L57" i="15"/>
  <c r="L78" i="15"/>
  <c r="E10" i="15"/>
  <c r="G10" i="15"/>
  <c r="I15" i="15"/>
  <c r="I12" i="15"/>
  <c r="G15" i="15"/>
  <c r="I11" i="15"/>
  <c r="G14" i="15"/>
  <c r="K13" i="15"/>
  <c r="K15" i="15"/>
  <c r="G17" i="15"/>
  <c r="I18" i="15"/>
  <c r="G21" i="15"/>
  <c r="I22" i="15"/>
  <c r="I33" i="15"/>
  <c r="G47" i="15"/>
  <c r="I48" i="15"/>
  <c r="I10" i="15"/>
  <c r="E12" i="15"/>
  <c r="G13" i="15"/>
  <c r="I14" i="15"/>
  <c r="G16" i="15"/>
  <c r="I17" i="15"/>
  <c r="G20" i="15"/>
  <c r="I21" i="15"/>
  <c r="G24" i="15"/>
  <c r="I25" i="15"/>
  <c r="G28" i="15"/>
  <c r="I29" i="15"/>
  <c r="E31" i="15"/>
  <c r="I32" i="15"/>
  <c r="E34" i="15"/>
  <c r="E37" i="15"/>
  <c r="G38" i="15"/>
  <c r="I39" i="15"/>
  <c r="G42" i="15"/>
  <c r="E44" i="15"/>
  <c r="G46" i="15"/>
  <c r="I47" i="15"/>
  <c r="L63" i="15"/>
  <c r="E14" i="15"/>
  <c r="E13" i="15"/>
  <c r="K14" i="15"/>
  <c r="G25" i="15"/>
  <c r="I26" i="15"/>
  <c r="G29" i="15"/>
  <c r="I30" i="15"/>
  <c r="G32" i="15"/>
  <c r="E38" i="15"/>
  <c r="G39" i="15"/>
  <c r="I40" i="15"/>
  <c r="E45" i="15"/>
  <c r="E11" i="15"/>
  <c r="G12" i="15"/>
  <c r="I13" i="15"/>
  <c r="E15" i="15"/>
  <c r="I16" i="15"/>
  <c r="G19" i="15"/>
  <c r="I20" i="15"/>
  <c r="G23" i="15"/>
  <c r="I24" i="15"/>
  <c r="G27" i="15"/>
  <c r="I28" i="15"/>
  <c r="G31" i="15"/>
  <c r="T33" i="15"/>
  <c r="E33" i="15"/>
  <c r="G34" i="15"/>
  <c r="G37" i="15"/>
  <c r="I38" i="15"/>
  <c r="E40" i="15"/>
  <c r="G41" i="15"/>
  <c r="I42" i="15"/>
  <c r="G44" i="15"/>
  <c r="G45" i="15"/>
  <c r="I46" i="15"/>
  <c r="G49" i="15"/>
  <c r="K44" i="15"/>
  <c r="G11" i="15"/>
  <c r="K18" i="15"/>
  <c r="L18" i="15"/>
  <c r="K19" i="15"/>
  <c r="L19" i="15"/>
  <c r="K20" i="15"/>
  <c r="L21" i="15"/>
  <c r="K21" i="15"/>
  <c r="L22" i="15"/>
  <c r="K22" i="15"/>
  <c r="K23" i="15"/>
  <c r="L23" i="15"/>
  <c r="G18" i="15"/>
  <c r="I19" i="15"/>
  <c r="G22" i="15"/>
  <c r="I23" i="15"/>
  <c r="G26" i="15"/>
  <c r="I27" i="15"/>
  <c r="G30" i="15"/>
  <c r="I31" i="15"/>
  <c r="L32" i="15"/>
  <c r="E32" i="15"/>
  <c r="G33" i="15"/>
  <c r="I34" i="15"/>
  <c r="K37" i="15"/>
  <c r="K39" i="15"/>
  <c r="K41" i="15"/>
  <c r="K42" i="15"/>
  <c r="K43" i="15"/>
  <c r="I37" i="15"/>
  <c r="E39" i="15"/>
  <c r="G40" i="15"/>
  <c r="I41" i="15"/>
  <c r="I44" i="15"/>
  <c r="I45" i="15"/>
  <c r="G48" i="15"/>
  <c r="I49" i="15"/>
  <c r="L67" i="15"/>
  <c r="L64" i="15"/>
  <c r="T68" i="15"/>
  <c r="L76" i="15"/>
  <c r="L16" i="15"/>
  <c r="L27" i="15"/>
  <c r="P71" i="15"/>
  <c r="T70" i="15"/>
  <c r="L70" i="15"/>
  <c r="L62" i="15"/>
  <c r="L66" i="15"/>
  <c r="R71" i="15"/>
  <c r="L74" i="15"/>
  <c r="L26" i="15"/>
  <c r="L30" i="15"/>
  <c r="R50" i="15"/>
  <c r="P57" i="15"/>
  <c r="L52" i="15"/>
  <c r="L59" i="15"/>
  <c r="L61" i="15"/>
  <c r="P63" i="15"/>
  <c r="L24" i="15"/>
  <c r="L45" i="15"/>
  <c r="R53" i="15"/>
  <c r="L54" i="15"/>
  <c r="T69" i="15"/>
  <c r="L69" i="15"/>
  <c r="L75" i="15"/>
  <c r="L17" i="15"/>
  <c r="L25" i="15"/>
  <c r="L29" i="15"/>
  <c r="P50" i="15"/>
  <c r="L65" i="15"/>
  <c r="T72" i="15"/>
  <c r="T71" i="15"/>
  <c r="V63" i="15"/>
  <c r="T74" i="15"/>
  <c r="V51" i="15"/>
  <c r="V50" i="15"/>
  <c r="M401" i="13"/>
  <c r="Q401" i="13" s="1"/>
  <c r="T65" i="15"/>
  <c r="T62" i="15"/>
  <c r="T59" i="15"/>
  <c r="T54" i="15"/>
  <c r="T52" i="15"/>
  <c r="L42" i="15"/>
  <c r="L41" i="15"/>
  <c r="T16" i="15"/>
  <c r="T24" i="15"/>
  <c r="T25" i="15"/>
  <c r="T30" i="15"/>
  <c r="F347" i="13"/>
  <c r="F338" i="13"/>
  <c r="S31" i="12"/>
  <c r="R31" i="12"/>
  <c r="G31" i="12"/>
  <c r="F31" i="12"/>
  <c r="E31" i="12"/>
  <c r="D31" i="12"/>
  <c r="C31" i="12"/>
  <c r="B31" i="12"/>
  <c r="S30" i="12"/>
  <c r="R30" i="12"/>
  <c r="G30" i="12"/>
  <c r="F30" i="12"/>
  <c r="E30" i="12"/>
  <c r="D30" i="12"/>
  <c r="C30" i="12"/>
  <c r="B30" i="12"/>
  <c r="S29" i="12"/>
  <c r="R29" i="12"/>
  <c r="G29" i="12"/>
  <c r="F29" i="12"/>
  <c r="E29" i="12"/>
  <c r="D29" i="12"/>
  <c r="C29" i="12"/>
  <c r="B29" i="12"/>
  <c r="S28" i="12"/>
  <c r="R28" i="12"/>
  <c r="G28" i="12"/>
  <c r="F28" i="12"/>
  <c r="E28" i="12"/>
  <c r="D28" i="12"/>
  <c r="C28" i="12"/>
  <c r="B28" i="12"/>
  <c r="S27" i="12"/>
  <c r="R27" i="12"/>
  <c r="G27" i="12"/>
  <c r="F27" i="12"/>
  <c r="E27" i="12"/>
  <c r="D27" i="12"/>
  <c r="C27" i="12"/>
  <c r="B27" i="12"/>
  <c r="S26" i="12"/>
  <c r="R26" i="12"/>
  <c r="G26" i="12"/>
  <c r="F26" i="12"/>
  <c r="E26" i="12"/>
  <c r="D26" i="12"/>
  <c r="C26" i="12"/>
  <c r="B26" i="12"/>
  <c r="F317" i="13"/>
  <c r="F314" i="13"/>
  <c r="F313" i="13"/>
  <c r="F311" i="13"/>
  <c r="F310" i="13"/>
  <c r="F308" i="13"/>
  <c r="F307" i="13"/>
  <c r="F306" i="13"/>
  <c r="F305" i="13"/>
  <c r="F304" i="13"/>
  <c r="F327" i="13"/>
  <c r="F302" i="13"/>
  <c r="F288" i="13"/>
  <c r="F283" i="13"/>
  <c r="F282" i="13"/>
  <c r="F281" i="13"/>
  <c r="F280" i="13"/>
  <c r="A254" i="13"/>
  <c r="G254" i="13" s="1"/>
  <c r="B254" i="13"/>
  <c r="C254" i="13"/>
  <c r="A255" i="13"/>
  <c r="I255" i="13" s="1"/>
  <c r="B255" i="13"/>
  <c r="C255" i="13"/>
  <c r="A256" i="13"/>
  <c r="G256" i="13" s="1"/>
  <c r="B256" i="13"/>
  <c r="C256" i="13"/>
  <c r="A257" i="13"/>
  <c r="G257" i="13" s="1"/>
  <c r="B257" i="13"/>
  <c r="C257" i="13"/>
  <c r="A258" i="13"/>
  <c r="G258" i="13" s="1"/>
  <c r="B258" i="13"/>
  <c r="C258" i="13"/>
  <c r="A259" i="13"/>
  <c r="I259" i="13" s="1"/>
  <c r="B259" i="13"/>
  <c r="C259" i="13"/>
  <c r="A251" i="13"/>
  <c r="K251" i="13" s="1"/>
  <c r="B251" i="13"/>
  <c r="C251" i="13"/>
  <c r="A252" i="13"/>
  <c r="K252" i="13" s="1"/>
  <c r="B252" i="13"/>
  <c r="C252" i="13"/>
  <c r="A253" i="13"/>
  <c r="N253" i="13" s="1"/>
  <c r="B253" i="13"/>
  <c r="C253" i="13"/>
  <c r="T93" i="15" l="1"/>
  <c r="V53" i="15"/>
  <c r="T90" i="15"/>
  <c r="T94" i="15"/>
  <c r="F273" i="13"/>
  <c r="M264" i="13"/>
  <c r="Q264" i="13" s="1"/>
  <c r="F264" i="13"/>
  <c r="F274" i="13"/>
  <c r="F290" i="13"/>
  <c r="F299" i="13"/>
  <c r="F319" i="13"/>
  <c r="D305" i="13"/>
  <c r="P305" i="13"/>
  <c r="D307" i="13"/>
  <c r="P307" i="13"/>
  <c r="F309" i="13"/>
  <c r="F277" i="13"/>
  <c r="D281" i="13"/>
  <c r="P281" i="13"/>
  <c r="D283" i="13"/>
  <c r="P283" i="13"/>
  <c r="F293" i="13"/>
  <c r="F289" i="13"/>
  <c r="D302" i="13"/>
  <c r="P302" i="13"/>
  <c r="F316" i="13"/>
  <c r="F322" i="13"/>
  <c r="F331" i="13"/>
  <c r="D347" i="13"/>
  <c r="P347" i="13"/>
  <c r="D364" i="13"/>
  <c r="P364" i="13"/>
  <c r="F262" i="13"/>
  <c r="M272" i="13"/>
  <c r="Q272" i="13" s="1"/>
  <c r="F272" i="13"/>
  <c r="F284" i="13"/>
  <c r="D314" i="13"/>
  <c r="P314" i="13"/>
  <c r="M265" i="13"/>
  <c r="Q265" i="13" s="1"/>
  <c r="F265" i="13"/>
  <c r="F275" i="13"/>
  <c r="F291" i="13"/>
  <c r="F300" i="13"/>
  <c r="F326" i="13"/>
  <c r="D310" i="13"/>
  <c r="P310" i="13"/>
  <c r="F312" i="13"/>
  <c r="F320" i="13"/>
  <c r="F337" i="13"/>
  <c r="D375" i="13"/>
  <c r="P375" i="13"/>
  <c r="F260" i="13"/>
  <c r="F278" i="13"/>
  <c r="F294" i="13"/>
  <c r="M295" i="13"/>
  <c r="Q295" i="13" s="1"/>
  <c r="F295" i="13"/>
  <c r="P306" i="13"/>
  <c r="D306" i="13"/>
  <c r="D308" i="13"/>
  <c r="P308" i="13"/>
  <c r="D317" i="13"/>
  <c r="P317" i="13"/>
  <c r="F323" i="13"/>
  <c r="F332" i="13"/>
  <c r="D382" i="13"/>
  <c r="P382" i="13"/>
  <c r="M297" i="13"/>
  <c r="Q297" i="13" s="1"/>
  <c r="F297" i="13"/>
  <c r="F335" i="13"/>
  <c r="D379" i="13"/>
  <c r="P379" i="13"/>
  <c r="D339" i="13"/>
  <c r="P339" i="13"/>
  <c r="D340" i="13"/>
  <c r="P340" i="13"/>
  <c r="F286" i="13"/>
  <c r="M263" i="13"/>
  <c r="Q263" i="13" s="1"/>
  <c r="F263" i="13"/>
  <c r="D280" i="13"/>
  <c r="P280" i="13"/>
  <c r="P288" i="13"/>
  <c r="D288" i="13"/>
  <c r="F292" i="13"/>
  <c r="F301" i="13"/>
  <c r="P327" i="13"/>
  <c r="D327" i="13"/>
  <c r="D313" i="13"/>
  <c r="P313" i="13"/>
  <c r="F315" i="13"/>
  <c r="F321" i="13"/>
  <c r="D338" i="13"/>
  <c r="P338" i="13"/>
  <c r="D380" i="13"/>
  <c r="P380" i="13"/>
  <c r="F334" i="13"/>
  <c r="F276" i="13"/>
  <c r="M261" i="13"/>
  <c r="Q261" i="13" s="1"/>
  <c r="F261" i="13"/>
  <c r="F279" i="13"/>
  <c r="F296" i="13"/>
  <c r="D311" i="13"/>
  <c r="P311" i="13"/>
  <c r="F324" i="13"/>
  <c r="F333" i="13"/>
  <c r="D381" i="13"/>
  <c r="P381" i="13"/>
  <c r="D374" i="13"/>
  <c r="P374" i="13"/>
  <c r="D304" i="13"/>
  <c r="P304" i="13"/>
  <c r="F325" i="13"/>
  <c r="P282" i="13"/>
  <c r="D282" i="13"/>
  <c r="F287" i="13"/>
  <c r="M298" i="13"/>
  <c r="Q298" i="13" s="1"/>
  <c r="F298" i="13"/>
  <c r="F303" i="13"/>
  <c r="F318" i="13"/>
  <c r="F336" i="13"/>
  <c r="C12" i="3"/>
  <c r="D12" i="3" s="1"/>
  <c r="J12" i="3"/>
  <c r="M577" i="13"/>
  <c r="Q577" i="13" s="1"/>
  <c r="M550" i="13"/>
  <c r="Q550" i="13" s="1"/>
  <c r="M554" i="13"/>
  <c r="Q554" i="13" s="1"/>
  <c r="M552" i="13"/>
  <c r="Q552" i="13" s="1"/>
  <c r="M551" i="13"/>
  <c r="Q551" i="13" s="1"/>
  <c r="M546" i="13"/>
  <c r="Q546" i="13" s="1"/>
  <c r="M544" i="13"/>
  <c r="Q544" i="13" s="1"/>
  <c r="M543" i="13"/>
  <c r="Q543" i="13" s="1"/>
  <c r="M542" i="13"/>
  <c r="Q542" i="13" s="1"/>
  <c r="M549" i="13"/>
  <c r="Q549" i="13" s="1"/>
  <c r="M541" i="13"/>
  <c r="Q541" i="13" s="1"/>
  <c r="M537" i="13"/>
  <c r="Q537" i="13" s="1"/>
  <c r="M536" i="13"/>
  <c r="Q536" i="13" s="1"/>
  <c r="M539" i="13"/>
  <c r="Q539" i="13" s="1"/>
  <c r="M538" i="13"/>
  <c r="Q538" i="13" s="1"/>
  <c r="M468" i="13"/>
  <c r="Q468" i="13" s="1"/>
  <c r="V91" i="15"/>
  <c r="V90" i="15"/>
  <c r="V89" i="15"/>
  <c r="T88" i="15"/>
  <c r="R88" i="15"/>
  <c r="P88" i="15"/>
  <c r="V97" i="15"/>
  <c r="V96" i="15"/>
  <c r="V93" i="15"/>
  <c r="V92" i="15"/>
  <c r="R95" i="15"/>
  <c r="T95" i="15"/>
  <c r="V94" i="15"/>
  <c r="P95" i="15"/>
  <c r="R98" i="15"/>
  <c r="T98" i="15"/>
  <c r="V101" i="15"/>
  <c r="V80" i="15"/>
  <c r="V87" i="15"/>
  <c r="R29" i="15"/>
  <c r="T29" i="15"/>
  <c r="L79" i="15"/>
  <c r="V85" i="15"/>
  <c r="T100" i="15"/>
  <c r="R100" i="15"/>
  <c r="V99" i="15"/>
  <c r="R18" i="15"/>
  <c r="T18" i="15"/>
  <c r="T17" i="15"/>
  <c r="R17" i="15"/>
  <c r="R83" i="15"/>
  <c r="T83" i="15"/>
  <c r="P83" i="15"/>
  <c r="L82" i="15"/>
  <c r="T78" i="15"/>
  <c r="R78" i="15"/>
  <c r="T23" i="15"/>
  <c r="R23" i="15"/>
  <c r="R22" i="15"/>
  <c r="T22" i="15"/>
  <c r="T21" i="15"/>
  <c r="R21" i="15"/>
  <c r="P100" i="15"/>
  <c r="T19" i="15"/>
  <c r="R19" i="15"/>
  <c r="T45" i="15"/>
  <c r="R45" i="15"/>
  <c r="P23" i="15"/>
  <c r="P81" i="15"/>
  <c r="T77" i="15"/>
  <c r="R77" i="15"/>
  <c r="T67" i="15"/>
  <c r="R67" i="15"/>
  <c r="T66" i="15"/>
  <c r="R66" i="15"/>
  <c r="T56" i="15"/>
  <c r="R56" i="15"/>
  <c r="T31" i="15"/>
  <c r="V86" i="15"/>
  <c r="T75" i="15"/>
  <c r="R75" i="15"/>
  <c r="T61" i="15"/>
  <c r="R61" i="15"/>
  <c r="V73" i="15"/>
  <c r="P68" i="15"/>
  <c r="V55" i="15"/>
  <c r="T27" i="15"/>
  <c r="R27" i="15"/>
  <c r="R81" i="15"/>
  <c r="R55" i="15"/>
  <c r="T81" i="15"/>
  <c r="T26" i="15"/>
  <c r="R26" i="15"/>
  <c r="P56" i="15"/>
  <c r="R57" i="15"/>
  <c r="V64" i="15"/>
  <c r="V81" i="15"/>
  <c r="L31" i="15"/>
  <c r="L14" i="15"/>
  <c r="L13" i="15"/>
  <c r="P22" i="15"/>
  <c r="P21" i="15"/>
  <c r="L20" i="15"/>
  <c r="P19" i="15"/>
  <c r="P18" i="15"/>
  <c r="P77" i="15"/>
  <c r="P73" i="15"/>
  <c r="V58" i="15"/>
  <c r="P58" i="15"/>
  <c r="P78" i="15"/>
  <c r="P72" i="15"/>
  <c r="R72" i="15"/>
  <c r="V60" i="15"/>
  <c r="P34" i="15"/>
  <c r="V57" i="15"/>
  <c r="P84" i="15"/>
  <c r="L34" i="15"/>
  <c r="L84" i="15"/>
  <c r="T34" i="15"/>
  <c r="R31" i="15"/>
  <c r="T84" i="15"/>
  <c r="P51" i="15"/>
  <c r="L15" i="15"/>
  <c r="T15" i="15"/>
  <c r="P67" i="15"/>
  <c r="R15" i="15"/>
  <c r="T76" i="15"/>
  <c r="P11" i="15"/>
  <c r="T32" i="15"/>
  <c r="P38" i="15"/>
  <c r="R76" i="15"/>
  <c r="L38" i="15"/>
  <c r="L33" i="15"/>
  <c r="L11" i="15"/>
  <c r="T38" i="15"/>
  <c r="V68" i="15"/>
  <c r="P76" i="15"/>
  <c r="V70" i="15"/>
  <c r="L37" i="15"/>
  <c r="L46" i="15"/>
  <c r="R69" i="15"/>
  <c r="L12" i="15"/>
  <c r="P45" i="15"/>
  <c r="P62" i="15"/>
  <c r="P70" i="15"/>
  <c r="V71" i="15"/>
  <c r="P30" i="15"/>
  <c r="P25" i="15"/>
  <c r="P16" i="15"/>
  <c r="R24" i="15"/>
  <c r="P52" i="15"/>
  <c r="R62" i="15"/>
  <c r="R65" i="15"/>
  <c r="P29" i="15"/>
  <c r="R25" i="15"/>
  <c r="R30" i="15"/>
  <c r="P27" i="15"/>
  <c r="R38" i="15"/>
  <c r="L39" i="15"/>
  <c r="P54" i="15"/>
  <c r="L48" i="15"/>
  <c r="R59" i="15"/>
  <c r="P61" i="15"/>
  <c r="P74" i="15"/>
  <c r="P75" i="15"/>
  <c r="P15" i="15"/>
  <c r="P59" i="15"/>
  <c r="P24" i="15"/>
  <c r="L10" i="15"/>
  <c r="R16" i="15"/>
  <c r="P31" i="15"/>
  <c r="P26" i="15"/>
  <c r="P17" i="15"/>
  <c r="L28" i="15"/>
  <c r="L40" i="15"/>
  <c r="R52" i="15"/>
  <c r="R54" i="15"/>
  <c r="P65" i="15"/>
  <c r="P66" i="15"/>
  <c r="P69" i="15"/>
  <c r="R70" i="15"/>
  <c r="R74" i="15"/>
  <c r="V69" i="15"/>
  <c r="V72" i="15"/>
  <c r="V74" i="15"/>
  <c r="V59" i="15"/>
  <c r="V62" i="15"/>
  <c r="V25" i="15"/>
  <c r="V30" i="15"/>
  <c r="V16" i="15"/>
  <c r="V24" i="15"/>
  <c r="V65" i="15"/>
  <c r="X63" i="15"/>
  <c r="V54" i="15"/>
  <c r="X53" i="15"/>
  <c r="V52" i="15"/>
  <c r="X51" i="15"/>
  <c r="X50" i="15"/>
  <c r="L49" i="15"/>
  <c r="T48" i="15"/>
  <c r="L47" i="15"/>
  <c r="T46" i="15"/>
  <c r="V33" i="15"/>
  <c r="T40" i="15"/>
  <c r="T39" i="15"/>
  <c r="T37" i="15"/>
  <c r="T10" i="15"/>
  <c r="M284" i="13"/>
  <c r="Q284" i="13" s="1"/>
  <c r="G259" i="13"/>
  <c r="G251" i="13"/>
  <c r="I251" i="13"/>
  <c r="K254" i="13"/>
  <c r="K259" i="13"/>
  <c r="L254" i="13"/>
  <c r="H254" i="13" s="1"/>
  <c r="G255" i="13"/>
  <c r="K255" i="13"/>
  <c r="I254" i="13"/>
  <c r="L259" i="13"/>
  <c r="H259" i="13" s="1"/>
  <c r="N252" i="13"/>
  <c r="O252" i="13" s="1"/>
  <c r="G252" i="13"/>
  <c r="L256" i="13"/>
  <c r="H256" i="13" s="1"/>
  <c r="I253" i="13"/>
  <c r="N251" i="13"/>
  <c r="O251" i="13" s="1"/>
  <c r="L255" i="13"/>
  <c r="J255" i="13" s="1"/>
  <c r="I252" i="13"/>
  <c r="K256" i="13"/>
  <c r="L253" i="13"/>
  <c r="H253" i="13" s="1"/>
  <c r="L252" i="13"/>
  <c r="J252" i="13" s="1"/>
  <c r="L251" i="13"/>
  <c r="H251" i="13" s="1"/>
  <c r="G253" i="13"/>
  <c r="K253" i="13"/>
  <c r="N259" i="13"/>
  <c r="N256" i="13"/>
  <c r="O256" i="13" s="1"/>
  <c r="N255" i="13"/>
  <c r="O255" i="13" s="1"/>
  <c r="I256" i="13"/>
  <c r="N254" i="13"/>
  <c r="O254" i="13" s="1"/>
  <c r="K258" i="13"/>
  <c r="I258" i="13"/>
  <c r="L258" i="13"/>
  <c r="H258" i="13" s="1"/>
  <c r="N258" i="13"/>
  <c r="O258" i="13" s="1"/>
  <c r="K257" i="13"/>
  <c r="I257" i="13"/>
  <c r="N257" i="13"/>
  <c r="O257" i="13" s="1"/>
  <c r="L257" i="13"/>
  <c r="H257" i="13" s="1"/>
  <c r="A250" i="13"/>
  <c r="B250" i="13"/>
  <c r="C250" i="13"/>
  <c r="A248" i="13"/>
  <c r="G248" i="13" s="1"/>
  <c r="B248" i="13"/>
  <c r="C248" i="13"/>
  <c r="A249" i="13"/>
  <c r="B249" i="13"/>
  <c r="C249" i="13"/>
  <c r="A244" i="13"/>
  <c r="L244" i="13" s="1"/>
  <c r="H244" i="13" s="1"/>
  <c r="B244" i="13"/>
  <c r="C244" i="13"/>
  <c r="A245" i="13"/>
  <c r="N245" i="13" s="1"/>
  <c r="B245" i="13"/>
  <c r="C245" i="13"/>
  <c r="A246" i="13"/>
  <c r="N246" i="13" s="1"/>
  <c r="B246" i="13"/>
  <c r="C246" i="13"/>
  <c r="A247" i="13"/>
  <c r="L247" i="13" s="1"/>
  <c r="J247" i="13" s="1"/>
  <c r="B247" i="13"/>
  <c r="C247" i="13"/>
  <c r="D324" i="13" l="1"/>
  <c r="P324" i="13"/>
  <c r="D336" i="13"/>
  <c r="P336" i="13"/>
  <c r="D287" i="13"/>
  <c r="P287" i="13"/>
  <c r="D276" i="13"/>
  <c r="P276" i="13"/>
  <c r="P321" i="13"/>
  <c r="D321" i="13"/>
  <c r="D301" i="13"/>
  <c r="P301" i="13"/>
  <c r="D263" i="13"/>
  <c r="P263" i="13"/>
  <c r="D332" i="13"/>
  <c r="P332" i="13"/>
  <c r="D260" i="13"/>
  <c r="P260" i="13"/>
  <c r="P312" i="13"/>
  <c r="D312" i="13"/>
  <c r="P291" i="13"/>
  <c r="D291" i="13"/>
  <c r="D284" i="13"/>
  <c r="P284" i="13"/>
  <c r="D274" i="13"/>
  <c r="P274" i="13"/>
  <c r="D318" i="13"/>
  <c r="P318" i="13"/>
  <c r="D296" i="13"/>
  <c r="P296" i="13"/>
  <c r="D334" i="13"/>
  <c r="P334" i="13"/>
  <c r="D315" i="13"/>
  <c r="P315" i="13"/>
  <c r="D292" i="13"/>
  <c r="P292" i="13"/>
  <c r="D286" i="13"/>
  <c r="P286" i="13"/>
  <c r="D335" i="13"/>
  <c r="P335" i="13"/>
  <c r="D323" i="13"/>
  <c r="P323" i="13"/>
  <c r="D295" i="13"/>
  <c r="P295" i="13"/>
  <c r="D275" i="13"/>
  <c r="P275" i="13"/>
  <c r="D272" i="13"/>
  <c r="P272" i="13"/>
  <c r="D331" i="13"/>
  <c r="P331" i="13"/>
  <c r="D289" i="13"/>
  <c r="P289" i="13"/>
  <c r="D277" i="13"/>
  <c r="P277" i="13"/>
  <c r="D319" i="13"/>
  <c r="P319" i="13"/>
  <c r="D264" i="13"/>
  <c r="P264" i="13"/>
  <c r="D298" i="13"/>
  <c r="P298" i="13"/>
  <c r="D261" i="13"/>
  <c r="P261" i="13"/>
  <c r="D316" i="13"/>
  <c r="P316" i="13"/>
  <c r="D278" i="13"/>
  <c r="P278" i="13"/>
  <c r="D320" i="13"/>
  <c r="P320" i="13"/>
  <c r="D300" i="13"/>
  <c r="P300" i="13"/>
  <c r="D290" i="13"/>
  <c r="P290" i="13"/>
  <c r="P303" i="13"/>
  <c r="D303" i="13"/>
  <c r="D325" i="13"/>
  <c r="P325" i="13"/>
  <c r="D333" i="13"/>
  <c r="P333" i="13"/>
  <c r="D279" i="13"/>
  <c r="P279" i="13"/>
  <c r="D297" i="13"/>
  <c r="P297" i="13"/>
  <c r="P294" i="13"/>
  <c r="D294" i="13"/>
  <c r="D337" i="13"/>
  <c r="P337" i="13"/>
  <c r="D326" i="13"/>
  <c r="P326" i="13"/>
  <c r="D265" i="13"/>
  <c r="P265" i="13"/>
  <c r="D262" i="13"/>
  <c r="P262" i="13"/>
  <c r="D322" i="13"/>
  <c r="P322" i="13"/>
  <c r="D293" i="13"/>
  <c r="P293" i="13"/>
  <c r="P309" i="13"/>
  <c r="D309" i="13"/>
  <c r="D299" i="13"/>
  <c r="P299" i="13"/>
  <c r="D273" i="13"/>
  <c r="P273" i="13"/>
  <c r="I12" i="3"/>
  <c r="M507" i="13"/>
  <c r="Q507" i="13" s="1"/>
  <c r="M502" i="13"/>
  <c r="Q502" i="13" s="1"/>
  <c r="M509" i="13"/>
  <c r="Q509" i="13" s="1"/>
  <c r="M501" i="13"/>
  <c r="Q501" i="13" s="1"/>
  <c r="M526" i="13"/>
  <c r="Q526" i="13" s="1"/>
  <c r="M525" i="13"/>
  <c r="Q525" i="13" s="1"/>
  <c r="M449" i="13"/>
  <c r="Q449" i="13" s="1"/>
  <c r="M500" i="13"/>
  <c r="Q500" i="13" s="1"/>
  <c r="M499" i="13"/>
  <c r="Q499" i="13" s="1"/>
  <c r="M498" i="13"/>
  <c r="Q498" i="13" s="1"/>
  <c r="M497" i="13"/>
  <c r="Q497" i="13" s="1"/>
  <c r="X91" i="15"/>
  <c r="X90" i="15"/>
  <c r="X89" i="15"/>
  <c r="V88" i="15"/>
  <c r="X97" i="15"/>
  <c r="M431" i="13"/>
  <c r="Q431" i="13" s="1"/>
  <c r="X96" i="15"/>
  <c r="X93" i="15"/>
  <c r="M427" i="13"/>
  <c r="Q427" i="13" s="1"/>
  <c r="X92" i="15"/>
  <c r="M488" i="13"/>
  <c r="Q488" i="13" s="1"/>
  <c r="V95" i="15"/>
  <c r="X94" i="15"/>
  <c r="V98" i="15"/>
  <c r="X101" i="15"/>
  <c r="X80" i="15"/>
  <c r="Z87" i="15"/>
  <c r="X87" i="15"/>
  <c r="T79" i="15"/>
  <c r="R79" i="15"/>
  <c r="V29" i="15"/>
  <c r="T28" i="15"/>
  <c r="R28" i="15"/>
  <c r="P79" i="15"/>
  <c r="M473" i="13"/>
  <c r="Q473" i="13" s="1"/>
  <c r="M420" i="13"/>
  <c r="Q420" i="13" s="1"/>
  <c r="X85" i="15"/>
  <c r="V100" i="15"/>
  <c r="X99" i="15"/>
  <c r="V18" i="15"/>
  <c r="V17" i="15"/>
  <c r="V83" i="15"/>
  <c r="T82" i="15"/>
  <c r="R82" i="15"/>
  <c r="T12" i="15"/>
  <c r="R12" i="15"/>
  <c r="T11" i="15"/>
  <c r="R11" i="15"/>
  <c r="P82" i="15"/>
  <c r="V78" i="15"/>
  <c r="V45" i="15"/>
  <c r="V23" i="15"/>
  <c r="V22" i="15"/>
  <c r="V21" i="15"/>
  <c r="R20" i="15"/>
  <c r="T20" i="15"/>
  <c r="V19" i="15"/>
  <c r="R14" i="15"/>
  <c r="T14" i="15"/>
  <c r="T13" i="15"/>
  <c r="R13" i="15"/>
  <c r="V77" i="15"/>
  <c r="V67" i="15"/>
  <c r="V66" i="15"/>
  <c r="V31" i="15"/>
  <c r="V56" i="15"/>
  <c r="X86" i="15"/>
  <c r="V75" i="15"/>
  <c r="X55" i="15"/>
  <c r="V61" i="15"/>
  <c r="R84" i="15"/>
  <c r="X73" i="15"/>
  <c r="V27" i="15"/>
  <c r="V26" i="15"/>
  <c r="X64" i="15"/>
  <c r="X81" i="15"/>
  <c r="V32" i="15"/>
  <c r="P14" i="15"/>
  <c r="P13" i="15"/>
  <c r="P20" i="15"/>
  <c r="X60" i="15"/>
  <c r="V34" i="15"/>
  <c r="X58" i="15"/>
  <c r="X57" i="15"/>
  <c r="R34" i="15"/>
  <c r="V15" i="15"/>
  <c r="R32" i="15"/>
  <c r="P32" i="15"/>
  <c r="P33" i="15"/>
  <c r="V76" i="15"/>
  <c r="R33" i="15"/>
  <c r="V38" i="15"/>
  <c r="X68" i="15"/>
  <c r="X70" i="15"/>
  <c r="X69" i="15"/>
  <c r="T41" i="15"/>
  <c r="P10" i="15"/>
  <c r="P12" i="15"/>
  <c r="P28" i="15"/>
  <c r="R40" i="15"/>
  <c r="P41" i="15"/>
  <c r="R46" i="15"/>
  <c r="X71" i="15"/>
  <c r="P37" i="15"/>
  <c r="R39" i="15"/>
  <c r="P40" i="15"/>
  <c r="P46" i="15"/>
  <c r="P48" i="15"/>
  <c r="R10" i="15"/>
  <c r="P42" i="15"/>
  <c r="R42" i="15"/>
  <c r="L44" i="15"/>
  <c r="R48" i="15"/>
  <c r="X72" i="15"/>
  <c r="R37" i="15"/>
  <c r="P39" i="15"/>
  <c r="T42" i="15"/>
  <c r="R41" i="15"/>
  <c r="X74" i="15"/>
  <c r="X59" i="15"/>
  <c r="X62" i="15"/>
  <c r="X25" i="15"/>
  <c r="X30" i="15"/>
  <c r="X16" i="15"/>
  <c r="X24" i="15"/>
  <c r="V10" i="15"/>
  <c r="X65" i="15"/>
  <c r="Z63" i="15"/>
  <c r="V48" i="15"/>
  <c r="X54" i="15"/>
  <c r="Z53" i="15"/>
  <c r="X52" i="15"/>
  <c r="Z51" i="15"/>
  <c r="Z50" i="15"/>
  <c r="V46" i="15"/>
  <c r="T49" i="15"/>
  <c r="T47" i="15"/>
  <c r="X33" i="15"/>
  <c r="V40" i="15"/>
  <c r="V39" i="15"/>
  <c r="V37" i="15"/>
  <c r="M287" i="13"/>
  <c r="Q287" i="13" s="1"/>
  <c r="H252" i="13"/>
  <c r="H255" i="13"/>
  <c r="O245" i="13"/>
  <c r="J253" i="13"/>
  <c r="J251" i="13"/>
  <c r="J256" i="13"/>
  <c r="O246" i="13"/>
  <c r="K250" i="13"/>
  <c r="L250" i="13"/>
  <c r="H250" i="13" s="1"/>
  <c r="I250" i="13"/>
  <c r="N250" i="13"/>
  <c r="O250" i="13" s="1"/>
  <c r="K249" i="13"/>
  <c r="L249" i="13"/>
  <c r="H249" i="13" s="1"/>
  <c r="I249" i="13"/>
  <c r="N249" i="13"/>
  <c r="O249" i="13" s="1"/>
  <c r="G250" i="13"/>
  <c r="J258" i="13"/>
  <c r="J259" i="13"/>
  <c r="J254" i="13"/>
  <c r="J257" i="13"/>
  <c r="O259" i="13"/>
  <c r="O253" i="13"/>
  <c r="E7" i="14"/>
  <c r="I246" i="13"/>
  <c r="K246" i="13"/>
  <c r="G246" i="13"/>
  <c r="G244" i="13"/>
  <c r="N248" i="13"/>
  <c r="O248" i="13" s="1"/>
  <c r="K244" i="13"/>
  <c r="L248" i="13"/>
  <c r="H248" i="13" s="1"/>
  <c r="K247" i="13"/>
  <c r="K245" i="13"/>
  <c r="N247" i="13"/>
  <c r="O247" i="13" s="1"/>
  <c r="I245" i="13"/>
  <c r="G247" i="13"/>
  <c r="N244" i="13"/>
  <c r="O244" i="13" s="1"/>
  <c r="L246" i="13"/>
  <c r="J246" i="13" s="1"/>
  <c r="G245" i="13"/>
  <c r="I247" i="13"/>
  <c r="L245" i="13"/>
  <c r="H245" i="13" s="1"/>
  <c r="I244" i="13"/>
  <c r="K248" i="13"/>
  <c r="G249" i="13"/>
  <c r="I248" i="13"/>
  <c r="J244" i="13"/>
  <c r="H247" i="13"/>
  <c r="M532" i="13" l="1"/>
  <c r="Q532" i="13" s="1"/>
  <c r="M517" i="13"/>
  <c r="Q517" i="13" s="1"/>
  <c r="M508" i="13"/>
  <c r="Q508" i="13" s="1"/>
  <c r="M529" i="13"/>
  <c r="Q529" i="13" s="1"/>
  <c r="M528" i="13"/>
  <c r="Q528" i="13" s="1"/>
  <c r="M458" i="13"/>
  <c r="Q458" i="13" s="1"/>
  <c r="M516" i="13"/>
  <c r="Q516" i="13" s="1"/>
  <c r="M515" i="13"/>
  <c r="Q515" i="13" s="1"/>
  <c r="M460" i="13"/>
  <c r="Q460" i="13" s="1"/>
  <c r="M472" i="13"/>
  <c r="Q472" i="13" s="1"/>
  <c r="M471" i="13"/>
  <c r="Q471" i="13" s="1"/>
  <c r="M496" i="13"/>
  <c r="Q496" i="13" s="1"/>
  <c r="M506" i="13"/>
  <c r="Q506" i="13" s="1"/>
  <c r="M467" i="13"/>
  <c r="Q467" i="13" s="1"/>
  <c r="M465" i="13"/>
  <c r="Q465" i="13" s="1"/>
  <c r="M464" i="13"/>
  <c r="Q464" i="13" s="1"/>
  <c r="M462" i="13"/>
  <c r="Q462" i="13" s="1"/>
  <c r="M461" i="13"/>
  <c r="Q461" i="13" s="1"/>
  <c r="M459" i="13"/>
  <c r="Q459" i="13" s="1"/>
  <c r="M457" i="13"/>
  <c r="Q457" i="13" s="1"/>
  <c r="M455" i="13"/>
  <c r="Q455" i="13" s="1"/>
  <c r="M456" i="13"/>
  <c r="Q456" i="13" s="1"/>
  <c r="M493" i="13"/>
  <c r="Q493" i="13" s="1"/>
  <c r="M452" i="13"/>
  <c r="Q452" i="13" s="1"/>
  <c r="M453" i="13"/>
  <c r="Q453" i="13" s="1"/>
  <c r="M512" i="13"/>
  <c r="Q512" i="13" s="1"/>
  <c r="M426" i="13"/>
  <c r="Q426" i="13" s="1"/>
  <c r="Z91" i="15"/>
  <c r="M425" i="13"/>
  <c r="Q425" i="13" s="1"/>
  <c r="Z90" i="15"/>
  <c r="M424" i="13"/>
  <c r="Q424" i="13" s="1"/>
  <c r="Z89" i="15"/>
  <c r="M423" i="13"/>
  <c r="Q423" i="13" s="1"/>
  <c r="X88" i="15"/>
  <c r="M485" i="13"/>
  <c r="Q485" i="13" s="1"/>
  <c r="Z97" i="15"/>
  <c r="M432" i="13"/>
  <c r="Q432" i="13" s="1"/>
  <c r="Z96" i="15"/>
  <c r="AB96" i="15"/>
  <c r="Z92" i="15"/>
  <c r="M428" i="13"/>
  <c r="Q428" i="13" s="1"/>
  <c r="Z93" i="15"/>
  <c r="AB92" i="15"/>
  <c r="M489" i="13"/>
  <c r="Q489" i="13" s="1"/>
  <c r="M487" i="13"/>
  <c r="Q487" i="13" s="1"/>
  <c r="M486" i="13"/>
  <c r="Q486" i="13" s="1"/>
  <c r="M429" i="13"/>
  <c r="Q429" i="13" s="1"/>
  <c r="Z94" i="15"/>
  <c r="X95" i="15"/>
  <c r="M484" i="13"/>
  <c r="Q484" i="13" s="1"/>
  <c r="M483" i="13"/>
  <c r="Q483" i="13" s="1"/>
  <c r="M444" i="13"/>
  <c r="Q444" i="13" s="1"/>
  <c r="X98" i="15"/>
  <c r="Z101" i="15"/>
  <c r="M480" i="13"/>
  <c r="Q480" i="13" s="1"/>
  <c r="M479" i="13"/>
  <c r="Q479" i="13" s="1"/>
  <c r="M442" i="13"/>
  <c r="Q442" i="13" s="1"/>
  <c r="M439" i="13"/>
  <c r="Q439" i="13" s="1"/>
  <c r="M438" i="13"/>
  <c r="Q438" i="13" s="1"/>
  <c r="M478" i="13"/>
  <c r="Q478" i="13" s="1"/>
  <c r="M440" i="13"/>
  <c r="Q440" i="13" s="1"/>
  <c r="Z80" i="15"/>
  <c r="M446" i="13"/>
  <c r="Q446" i="13" s="1"/>
  <c r="M437" i="13"/>
  <c r="Q437" i="13" s="1"/>
  <c r="Z99" i="15"/>
  <c r="V79" i="15"/>
  <c r="X29" i="15"/>
  <c r="V28" i="15"/>
  <c r="M476" i="13"/>
  <c r="Q476" i="13" s="1"/>
  <c r="M475" i="13"/>
  <c r="Q475" i="13" s="1"/>
  <c r="M474" i="13"/>
  <c r="Q474" i="13" s="1"/>
  <c r="AB85" i="15"/>
  <c r="X100" i="15"/>
  <c r="X18" i="15"/>
  <c r="X17" i="15"/>
  <c r="X83" i="15"/>
  <c r="V82" i="15"/>
  <c r="V12" i="15"/>
  <c r="V11" i="15"/>
  <c r="X78" i="15"/>
  <c r="X45" i="15"/>
  <c r="X23" i="15"/>
  <c r="X22" i="15"/>
  <c r="X21" i="15"/>
  <c r="V20" i="15"/>
  <c r="X19" i="15"/>
  <c r="V14" i="15"/>
  <c r="V13" i="15"/>
  <c r="Z86" i="15"/>
  <c r="X77" i="15"/>
  <c r="X67" i="15"/>
  <c r="X66" i="15"/>
  <c r="X31" i="15"/>
  <c r="X56" i="15"/>
  <c r="X75" i="15"/>
  <c r="Z55" i="15"/>
  <c r="X61" i="15"/>
  <c r="Z64" i="15"/>
  <c r="X27" i="15"/>
  <c r="M415" i="13"/>
  <c r="Q415" i="13" s="1"/>
  <c r="Z81" i="15"/>
  <c r="X32" i="15"/>
  <c r="X26" i="15"/>
  <c r="Z58" i="15"/>
  <c r="M390" i="13"/>
  <c r="Q390" i="13" s="1"/>
  <c r="Z60" i="15"/>
  <c r="X34" i="15"/>
  <c r="X15" i="15"/>
  <c r="V84" i="15"/>
  <c r="X76" i="15"/>
  <c r="X38" i="15"/>
  <c r="M402" i="13"/>
  <c r="Q402" i="13" s="1"/>
  <c r="Z68" i="15"/>
  <c r="M405" i="13"/>
  <c r="Q405" i="13" s="1"/>
  <c r="Z71" i="15"/>
  <c r="M406" i="13"/>
  <c r="Q406" i="13" s="1"/>
  <c r="Z72" i="15"/>
  <c r="X84" i="15"/>
  <c r="R49" i="15"/>
  <c r="R44" i="15"/>
  <c r="R47" i="15"/>
  <c r="P49" i="15"/>
  <c r="P44" i="15"/>
  <c r="V41" i="15"/>
  <c r="T44" i="15"/>
  <c r="V42" i="15"/>
  <c r="P47" i="15"/>
  <c r="Z59" i="15"/>
  <c r="Z25" i="15"/>
  <c r="X10" i="15"/>
  <c r="M396" i="13"/>
  <c r="Q396" i="13" s="1"/>
  <c r="Z65" i="15"/>
  <c r="X48" i="15"/>
  <c r="V47" i="15"/>
  <c r="V49" i="15"/>
  <c r="M384" i="13"/>
  <c r="Q384" i="13" s="1"/>
  <c r="M386" i="13"/>
  <c r="Q386" i="13" s="1"/>
  <c r="M383" i="13"/>
  <c r="Q383" i="13" s="1"/>
  <c r="Z54" i="15"/>
  <c r="Z52" i="15"/>
  <c r="X46" i="15"/>
  <c r="Z33" i="15"/>
  <c r="X40" i="15"/>
  <c r="X39" i="15"/>
  <c r="X37" i="15"/>
  <c r="J250" i="13"/>
  <c r="J248" i="13"/>
  <c r="J245" i="13"/>
  <c r="H246" i="13"/>
  <c r="J249" i="13"/>
  <c r="A238" i="13"/>
  <c r="B238" i="13"/>
  <c r="C238" i="13"/>
  <c r="A239" i="13"/>
  <c r="N239" i="13" s="1"/>
  <c r="B239" i="13"/>
  <c r="C239" i="13"/>
  <c r="A240" i="13"/>
  <c r="B240" i="13"/>
  <c r="C240" i="13"/>
  <c r="A241" i="13"/>
  <c r="B241" i="13"/>
  <c r="C241" i="13"/>
  <c r="A242" i="13"/>
  <c r="L242" i="13" s="1"/>
  <c r="B242" i="13"/>
  <c r="C242" i="13"/>
  <c r="A243" i="13"/>
  <c r="G243" i="13" s="1"/>
  <c r="B243" i="13"/>
  <c r="C243" i="13"/>
  <c r="AB87" i="15" l="1"/>
  <c r="M422" i="13"/>
  <c r="Q422" i="13" s="1"/>
  <c r="AB80" i="15"/>
  <c r="M414" i="13"/>
  <c r="Q414" i="13" s="1"/>
  <c r="AB73" i="15"/>
  <c r="M407" i="13"/>
  <c r="Q407" i="13" s="1"/>
  <c r="AB86" i="15"/>
  <c r="M421" i="13"/>
  <c r="Q421" i="13" s="1"/>
  <c r="AB101" i="15"/>
  <c r="M436" i="13"/>
  <c r="Q436" i="13" s="1"/>
  <c r="AB99" i="15"/>
  <c r="M434" i="13"/>
  <c r="Q434" i="13" s="1"/>
  <c r="M583" i="13"/>
  <c r="Q583" i="13" s="1"/>
  <c r="M582" i="13"/>
  <c r="Q582" i="13" s="1"/>
  <c r="M581" i="13"/>
  <c r="Q581" i="13" s="1"/>
  <c r="M524" i="13"/>
  <c r="Q524" i="13" s="1"/>
  <c r="M523" i="13"/>
  <c r="Q523" i="13" s="1"/>
  <c r="M531" i="13"/>
  <c r="Q531" i="13" s="1"/>
  <c r="M530" i="13"/>
  <c r="Q530" i="13" s="1"/>
  <c r="M522" i="13"/>
  <c r="Q522" i="13" s="1"/>
  <c r="M527" i="13"/>
  <c r="Q527" i="13" s="1"/>
  <c r="M511" i="13"/>
  <c r="Q511" i="13" s="1"/>
  <c r="M514" i="13"/>
  <c r="Q514" i="13" s="1"/>
  <c r="M518" i="13"/>
  <c r="Q518" i="13" s="1"/>
  <c r="M521" i="13"/>
  <c r="Q521" i="13" s="1"/>
  <c r="M513" i="13"/>
  <c r="Q513" i="13" s="1"/>
  <c r="M504" i="13"/>
  <c r="Q504" i="13" s="1"/>
  <c r="M470" i="13"/>
  <c r="Q470" i="13" s="1"/>
  <c r="M503" i="13"/>
  <c r="Q503" i="13" s="1"/>
  <c r="M505" i="13"/>
  <c r="Q505" i="13" s="1"/>
  <c r="M469" i="13"/>
  <c r="Q469" i="13" s="1"/>
  <c r="M450" i="13"/>
  <c r="Q450" i="13" s="1"/>
  <c r="M495" i="13"/>
  <c r="Q495" i="13" s="1"/>
  <c r="M494" i="13"/>
  <c r="Q494" i="13" s="1"/>
  <c r="M492" i="13"/>
  <c r="Q492" i="13" s="1"/>
  <c r="M491" i="13"/>
  <c r="Q491" i="13" s="1"/>
  <c r="M454" i="13"/>
  <c r="Q454" i="13" s="1"/>
  <c r="AB91" i="15"/>
  <c r="AB90" i="15"/>
  <c r="AB89" i="15"/>
  <c r="Z88" i="15"/>
  <c r="AB88" i="15"/>
  <c r="AB97" i="15"/>
  <c r="Z98" i="15"/>
  <c r="M510" i="13"/>
  <c r="Q510" i="13" s="1"/>
  <c r="AB93" i="15"/>
  <c r="AB94" i="15"/>
  <c r="M430" i="13"/>
  <c r="Q430" i="13" s="1"/>
  <c r="Z95" i="15"/>
  <c r="M451" i="13"/>
  <c r="Q451" i="13" s="1"/>
  <c r="M448" i="13"/>
  <c r="Q448" i="13" s="1"/>
  <c r="Z29" i="15"/>
  <c r="M477" i="13"/>
  <c r="Q477" i="13" s="1"/>
  <c r="M445" i="13"/>
  <c r="Q445" i="13" s="1"/>
  <c r="M443" i="13"/>
  <c r="Q443" i="13" s="1"/>
  <c r="M441" i="13"/>
  <c r="Q441" i="13" s="1"/>
  <c r="Z100" i="15"/>
  <c r="X79" i="15"/>
  <c r="X28" i="15"/>
  <c r="M350" i="13"/>
  <c r="Q350" i="13" s="1"/>
  <c r="Z18" i="15"/>
  <c r="Z83" i="15"/>
  <c r="M412" i="13"/>
  <c r="Q412" i="13" s="1"/>
  <c r="Z78" i="15"/>
  <c r="M400" i="13"/>
  <c r="Q400" i="13" s="1"/>
  <c r="Z67" i="15"/>
  <c r="M399" i="13"/>
  <c r="Q399" i="13" s="1"/>
  <c r="Z66" i="15"/>
  <c r="Z17" i="15"/>
  <c r="X82" i="15"/>
  <c r="X12" i="15"/>
  <c r="X11" i="15"/>
  <c r="M355" i="13"/>
  <c r="Q355" i="13" s="1"/>
  <c r="Z23" i="15"/>
  <c r="Z22" i="15"/>
  <c r="Z21" i="15"/>
  <c r="Z45" i="15"/>
  <c r="X14" i="15"/>
  <c r="X13" i="15"/>
  <c r="Z19" i="15"/>
  <c r="M351" i="13"/>
  <c r="Q351" i="13" s="1"/>
  <c r="X20" i="15"/>
  <c r="M389" i="13"/>
  <c r="Q389" i="13" s="1"/>
  <c r="Z56" i="15"/>
  <c r="Z76" i="15"/>
  <c r="Z75" i="15"/>
  <c r="M388" i="13"/>
  <c r="Q388" i="13" s="1"/>
  <c r="Z77" i="15"/>
  <c r="M411" i="13"/>
  <c r="Q411" i="13" s="1"/>
  <c r="Z31" i="15"/>
  <c r="Z73" i="15"/>
  <c r="M394" i="13"/>
  <c r="Q394" i="13" s="1"/>
  <c r="Z61" i="15"/>
  <c r="M359" i="13"/>
  <c r="Q359" i="13" s="1"/>
  <c r="Z27" i="15"/>
  <c r="AB81" i="15"/>
  <c r="Z32" i="15"/>
  <c r="M395" i="13"/>
  <c r="Q395" i="13" s="1"/>
  <c r="Z62" i="15"/>
  <c r="Z26" i="15"/>
  <c r="M358" i="13"/>
  <c r="Q358" i="13" s="1"/>
  <c r="Z15" i="15"/>
  <c r="M391" i="13"/>
  <c r="Q391" i="13" s="1"/>
  <c r="Z57" i="15"/>
  <c r="M393" i="13"/>
  <c r="Q393" i="13" s="1"/>
  <c r="M367" i="13"/>
  <c r="Q367" i="13" s="1"/>
  <c r="Z38" i="15"/>
  <c r="AB71" i="15"/>
  <c r="Z30" i="15"/>
  <c r="Z69" i="15"/>
  <c r="AB72" i="15"/>
  <c r="AB68" i="15"/>
  <c r="M408" i="13"/>
  <c r="Q408" i="13" s="1"/>
  <c r="Z74" i="15"/>
  <c r="Z70" i="15"/>
  <c r="M418" i="13"/>
  <c r="Q418" i="13" s="1"/>
  <c r="Z84" i="15"/>
  <c r="M356" i="13"/>
  <c r="Q356" i="13" s="1"/>
  <c r="Z24" i="15"/>
  <c r="X41" i="15"/>
  <c r="V44" i="15"/>
  <c r="X42" i="15"/>
  <c r="AB53" i="15"/>
  <c r="AB63" i="15"/>
  <c r="M348" i="13"/>
  <c r="Q348" i="13" s="1"/>
  <c r="Z16" i="15"/>
  <c r="AB50" i="15"/>
  <c r="AB51" i="15"/>
  <c r="AB57" i="15"/>
  <c r="M357" i="13"/>
  <c r="Q357" i="13" s="1"/>
  <c r="M392" i="13"/>
  <c r="Q392" i="13" s="1"/>
  <c r="M398" i="13"/>
  <c r="Q398" i="13" s="1"/>
  <c r="Z48" i="15"/>
  <c r="X47" i="15"/>
  <c r="X49" i="15"/>
  <c r="M387" i="13"/>
  <c r="Q387" i="13" s="1"/>
  <c r="M385" i="13"/>
  <c r="Q385" i="13" s="1"/>
  <c r="Z46" i="15"/>
  <c r="M366" i="13"/>
  <c r="Q366" i="13" s="1"/>
  <c r="Z40" i="15"/>
  <c r="Z39" i="15"/>
  <c r="Z37" i="15"/>
  <c r="M337" i="13"/>
  <c r="Q337" i="13" s="1"/>
  <c r="M326" i="13"/>
  <c r="Q326" i="13" s="1"/>
  <c r="M339" i="13"/>
  <c r="Q339" i="13" s="1"/>
  <c r="M283" i="13"/>
  <c r="Q283" i="13" s="1"/>
  <c r="O239" i="13"/>
  <c r="I243" i="13"/>
  <c r="K243" i="13"/>
  <c r="L243" i="13"/>
  <c r="G241" i="13"/>
  <c r="L241" i="13"/>
  <c r="G238" i="13"/>
  <c r="L238" i="13"/>
  <c r="J238" i="13" s="1"/>
  <c r="K240" i="13"/>
  <c r="L240" i="13"/>
  <c r="G239" i="13"/>
  <c r="L239" i="13"/>
  <c r="I240" i="13"/>
  <c r="N238" i="13"/>
  <c r="G240" i="13"/>
  <c r="K238" i="13"/>
  <c r="H242" i="13"/>
  <c r="J242" i="13"/>
  <c r="N243" i="13"/>
  <c r="N240" i="13"/>
  <c r="I241" i="13"/>
  <c r="I238" i="13"/>
  <c r="K242" i="13"/>
  <c r="K239" i="13"/>
  <c r="N241" i="13"/>
  <c r="I239" i="13"/>
  <c r="G242" i="13"/>
  <c r="K241" i="13"/>
  <c r="I242" i="13"/>
  <c r="N242" i="13"/>
  <c r="O242" i="13" s="1"/>
  <c r="F249" i="13"/>
  <c r="F246" i="13"/>
  <c r="F245" i="13"/>
  <c r="F244" i="13"/>
  <c r="F243" i="13"/>
  <c r="AC243" i="13" s="1"/>
  <c r="F242" i="13"/>
  <c r="D242" i="13" s="1"/>
  <c r="AB64" i="15" l="1"/>
  <c r="M397" i="13"/>
  <c r="Q397" i="13" s="1"/>
  <c r="AB76" i="15"/>
  <c r="M410" i="13"/>
  <c r="Q410" i="13" s="1"/>
  <c r="AB45" i="15"/>
  <c r="M378" i="13"/>
  <c r="Q378" i="13" s="1"/>
  <c r="AB22" i="15"/>
  <c r="M354" i="13"/>
  <c r="Q354" i="13" s="1"/>
  <c r="AB29" i="15"/>
  <c r="M361" i="13"/>
  <c r="Q361" i="13" s="1"/>
  <c r="AB69" i="15"/>
  <c r="M403" i="13"/>
  <c r="Q403" i="13" s="1"/>
  <c r="AB70" i="15"/>
  <c r="M404" i="13"/>
  <c r="Q404" i="13" s="1"/>
  <c r="AB30" i="15"/>
  <c r="M362" i="13"/>
  <c r="Q362" i="13" s="1"/>
  <c r="AB98" i="15"/>
  <c r="M433" i="13"/>
  <c r="Q433" i="13" s="1"/>
  <c r="AB75" i="15"/>
  <c r="M409" i="13"/>
  <c r="Q409" i="13" s="1"/>
  <c r="AB21" i="15"/>
  <c r="M353" i="13"/>
  <c r="Q353" i="13" s="1"/>
  <c r="AB17" i="15"/>
  <c r="M349" i="13"/>
  <c r="Q349" i="13" s="1"/>
  <c r="AB83" i="15"/>
  <c r="M417" i="13"/>
  <c r="Q417" i="13" s="1"/>
  <c r="AB100" i="15"/>
  <c r="M435" i="13"/>
  <c r="Q435" i="13" s="1"/>
  <c r="M535" i="13"/>
  <c r="Q535" i="13" s="1"/>
  <c r="M533" i="13"/>
  <c r="Q533" i="13" s="1"/>
  <c r="M534" i="13"/>
  <c r="Q534" i="13" s="1"/>
  <c r="AB95" i="15"/>
  <c r="M360" i="13"/>
  <c r="Q360" i="13" s="1"/>
  <c r="Z28" i="15"/>
  <c r="M341" i="13"/>
  <c r="Q341" i="13" s="1"/>
  <c r="Z10" i="15"/>
  <c r="M413" i="13"/>
  <c r="Q413" i="13" s="1"/>
  <c r="Z79" i="15"/>
  <c r="Z12" i="15"/>
  <c r="Z11" i="15"/>
  <c r="AB18" i="15"/>
  <c r="Z82" i="15"/>
  <c r="AB66" i="15"/>
  <c r="AB78" i="15"/>
  <c r="AB67" i="15"/>
  <c r="AB23" i="15"/>
  <c r="M345" i="13"/>
  <c r="Q345" i="13" s="1"/>
  <c r="Z14" i="15"/>
  <c r="Z13" i="15"/>
  <c r="AB19" i="15"/>
  <c r="M352" i="13"/>
  <c r="Q352" i="13" s="1"/>
  <c r="Z20" i="15"/>
  <c r="AB56" i="15"/>
  <c r="AB55" i="15"/>
  <c r="AB77" i="15"/>
  <c r="AB61" i="15"/>
  <c r="AB27" i="15"/>
  <c r="AB62" i="15"/>
  <c r="AB26" i="15"/>
  <c r="AB58" i="15"/>
  <c r="AB60" i="15"/>
  <c r="M371" i="13"/>
  <c r="Q371" i="13" s="1"/>
  <c r="Z34" i="15"/>
  <c r="AB84" i="15"/>
  <c r="AB74" i="15"/>
  <c r="AB24" i="15"/>
  <c r="AB54" i="15"/>
  <c r="AB25" i="15"/>
  <c r="Z41" i="15"/>
  <c r="AB16" i="15"/>
  <c r="AB33" i="15"/>
  <c r="Z42" i="15"/>
  <c r="AB52" i="15"/>
  <c r="AB65" i="15"/>
  <c r="AB59" i="15"/>
  <c r="AB34" i="15"/>
  <c r="X44" i="15"/>
  <c r="M379" i="13"/>
  <c r="Q379" i="13" s="1"/>
  <c r="M381" i="13"/>
  <c r="Q381" i="13" s="1"/>
  <c r="Z47" i="15"/>
  <c r="Z49" i="15"/>
  <c r="M373" i="13"/>
  <c r="Q373" i="13" s="1"/>
  <c r="M372" i="13"/>
  <c r="Q372" i="13" s="1"/>
  <c r="M370" i="13"/>
  <c r="Q370" i="13" s="1"/>
  <c r="M375" i="13"/>
  <c r="Q375" i="13" s="1"/>
  <c r="M374" i="13"/>
  <c r="Q374" i="13" s="1"/>
  <c r="M347" i="13"/>
  <c r="Q347" i="13" s="1"/>
  <c r="M364" i="13"/>
  <c r="Q364" i="13" s="1"/>
  <c r="M335" i="13"/>
  <c r="Q335" i="13" s="1"/>
  <c r="M332" i="13"/>
  <c r="Q332" i="13" s="1"/>
  <c r="M327" i="13"/>
  <c r="Q327" i="13" s="1"/>
  <c r="M340" i="13"/>
  <c r="Q340" i="13" s="1"/>
  <c r="M333" i="13"/>
  <c r="Q333" i="13" s="1"/>
  <c r="M331" i="13"/>
  <c r="Q331" i="13" s="1"/>
  <c r="M320" i="13"/>
  <c r="Q320" i="13" s="1"/>
  <c r="M318" i="13"/>
  <c r="Q318" i="13" s="1"/>
  <c r="M310" i="13"/>
  <c r="Q310" i="13" s="1"/>
  <c r="M308" i="13"/>
  <c r="Q308" i="13" s="1"/>
  <c r="M307" i="13"/>
  <c r="Q307" i="13" s="1"/>
  <c r="M314" i="13"/>
  <c r="Q314" i="13" s="1"/>
  <c r="M316" i="13"/>
  <c r="Q316" i="13" s="1"/>
  <c r="M304" i="13"/>
  <c r="Q304" i="13" s="1"/>
  <c r="M290" i="13"/>
  <c r="Q290" i="13" s="1"/>
  <c r="M303" i="13"/>
  <c r="Q303" i="13" s="1"/>
  <c r="M302" i="13"/>
  <c r="Q302" i="13" s="1"/>
  <c r="M299" i="13"/>
  <c r="Q299" i="13" s="1"/>
  <c r="M296" i="13"/>
  <c r="Q296" i="13" s="1"/>
  <c r="M291" i="13"/>
  <c r="Q291" i="13" s="1"/>
  <c r="M289" i="13"/>
  <c r="Q289" i="13" s="1"/>
  <c r="M279" i="13"/>
  <c r="Q279" i="13" s="1"/>
  <c r="M274" i="13"/>
  <c r="Q274" i="13" s="1"/>
  <c r="M292" i="13"/>
  <c r="Q292" i="13" s="1"/>
  <c r="M277" i="13"/>
  <c r="Q277" i="13" s="1"/>
  <c r="M262" i="13"/>
  <c r="Q262" i="13" s="1"/>
  <c r="M281" i="13"/>
  <c r="Q281" i="13" s="1"/>
  <c r="M276" i="13"/>
  <c r="Q276" i="13" s="1"/>
  <c r="F238" i="13"/>
  <c r="D238" i="13" s="1"/>
  <c r="D245" i="13"/>
  <c r="AC245" i="13"/>
  <c r="P245" i="13"/>
  <c r="F248" i="13"/>
  <c r="F239" i="13"/>
  <c r="D239" i="13" s="1"/>
  <c r="D246" i="13"/>
  <c r="P246" i="13"/>
  <c r="D249" i="13"/>
  <c r="P249" i="13"/>
  <c r="AC249" i="13"/>
  <c r="D243" i="13"/>
  <c r="F240" i="13"/>
  <c r="D240" i="13" s="1"/>
  <c r="D244" i="13"/>
  <c r="P244" i="13"/>
  <c r="AC244" i="13"/>
  <c r="F247" i="13"/>
  <c r="F250" i="13"/>
  <c r="P250" i="13" s="1"/>
  <c r="P243" i="13"/>
  <c r="F241" i="13"/>
  <c r="D241" i="13" s="1"/>
  <c r="P242" i="13"/>
  <c r="AC242" i="13"/>
  <c r="H238" i="13"/>
  <c r="M242" i="13"/>
  <c r="Q242" i="13" s="1"/>
  <c r="O238" i="13"/>
  <c r="O240" i="13"/>
  <c r="O243" i="13"/>
  <c r="H239" i="13"/>
  <c r="J239" i="13"/>
  <c r="O241" i="13"/>
  <c r="H241" i="13"/>
  <c r="J241" i="13"/>
  <c r="J240" i="13"/>
  <c r="H240" i="13"/>
  <c r="J243" i="13"/>
  <c r="H243" i="13"/>
  <c r="AB15" i="15" l="1"/>
  <c r="M346" i="13"/>
  <c r="Q346" i="13" s="1"/>
  <c r="AB11" i="15"/>
  <c r="M342" i="13"/>
  <c r="Q342" i="13" s="1"/>
  <c r="AB32" i="15"/>
  <c r="M365" i="13"/>
  <c r="Q365" i="13" s="1"/>
  <c r="AB13" i="15"/>
  <c r="M344" i="13"/>
  <c r="Q344" i="13" s="1"/>
  <c r="AB82" i="15"/>
  <c r="M416" i="13"/>
  <c r="Q416" i="13" s="1"/>
  <c r="AB31" i="15"/>
  <c r="M363" i="13"/>
  <c r="Q363" i="13" s="1"/>
  <c r="AB12" i="15"/>
  <c r="M343" i="13"/>
  <c r="Q343" i="13" s="1"/>
  <c r="AB28" i="15"/>
  <c r="AB10" i="15"/>
  <c r="AB79" i="15"/>
  <c r="AB14" i="15"/>
  <c r="AB20" i="15"/>
  <c r="AB38" i="15"/>
  <c r="AB42" i="15"/>
  <c r="Z44" i="15"/>
  <c r="AB39" i="15"/>
  <c r="AB41" i="15"/>
  <c r="AB37" i="15"/>
  <c r="AB40" i="15"/>
  <c r="AB48" i="15"/>
  <c r="AB46" i="15"/>
  <c r="M382" i="13"/>
  <c r="Q382" i="13" s="1"/>
  <c r="M380" i="13"/>
  <c r="Q380" i="13" s="1"/>
  <c r="M377" i="13"/>
  <c r="Q377" i="13" s="1"/>
  <c r="M336" i="13"/>
  <c r="Q336" i="13" s="1"/>
  <c r="M334" i="13"/>
  <c r="Q334" i="13" s="1"/>
  <c r="M325" i="13"/>
  <c r="Q325" i="13" s="1"/>
  <c r="M324" i="13"/>
  <c r="Q324" i="13" s="1"/>
  <c r="M294" i="13"/>
  <c r="Q294" i="13" s="1"/>
  <c r="M323" i="13"/>
  <c r="Q323" i="13" s="1"/>
  <c r="M322" i="13"/>
  <c r="Q322" i="13" s="1"/>
  <c r="M321" i="13"/>
  <c r="Q321" i="13" s="1"/>
  <c r="M317" i="13"/>
  <c r="Q317" i="13" s="1"/>
  <c r="M306" i="13"/>
  <c r="Q306" i="13" s="1"/>
  <c r="M305" i="13"/>
  <c r="Q305" i="13" s="1"/>
  <c r="M301" i="13"/>
  <c r="Q301" i="13" s="1"/>
  <c r="M309" i="13"/>
  <c r="Q309" i="13" s="1"/>
  <c r="M312" i="13"/>
  <c r="Q312" i="13" s="1"/>
  <c r="M315" i="13"/>
  <c r="Q315" i="13" s="1"/>
  <c r="M313" i="13"/>
  <c r="Q313" i="13" s="1"/>
  <c r="M311" i="13"/>
  <c r="Q311" i="13" s="1"/>
  <c r="M319" i="13"/>
  <c r="Q319" i="13" s="1"/>
  <c r="M293" i="13"/>
  <c r="Q293" i="13" s="1"/>
  <c r="M300" i="13"/>
  <c r="Q300" i="13" s="1"/>
  <c r="M286" i="13"/>
  <c r="Q286" i="13" s="1"/>
  <c r="M275" i="13"/>
  <c r="Q275" i="13" s="1"/>
  <c r="M273" i="13"/>
  <c r="Q273" i="13" s="1"/>
  <c r="M288" i="13"/>
  <c r="Q288" i="13" s="1"/>
  <c r="M278" i="13"/>
  <c r="Q278" i="13" s="1"/>
  <c r="M282" i="13"/>
  <c r="Q282" i="13" s="1"/>
  <c r="M260" i="13"/>
  <c r="Q260" i="13" s="1"/>
  <c r="M280" i="13"/>
  <c r="Q280" i="13" s="1"/>
  <c r="P240" i="13"/>
  <c r="AC250" i="13"/>
  <c r="D250" i="13"/>
  <c r="P241" i="13"/>
  <c r="AC241" i="13"/>
  <c r="P238" i="13"/>
  <c r="P239" i="13"/>
  <c r="D248" i="13"/>
  <c r="AC248" i="13"/>
  <c r="AE248" i="13" s="1"/>
  <c r="AG248" i="13" s="1"/>
  <c r="P248" i="13"/>
  <c r="AC240" i="13"/>
  <c r="D247" i="13"/>
  <c r="AC247" i="13"/>
  <c r="AE246" i="13" s="1"/>
  <c r="P247" i="13"/>
  <c r="A235" i="13"/>
  <c r="B235" i="13"/>
  <c r="C235" i="13"/>
  <c r="A236" i="13"/>
  <c r="B236" i="13"/>
  <c r="C236" i="13"/>
  <c r="A237" i="13"/>
  <c r="G237" i="13" s="1"/>
  <c r="B237" i="13"/>
  <c r="C237" i="13"/>
  <c r="A229" i="13"/>
  <c r="N229" i="13" s="1"/>
  <c r="B229" i="13"/>
  <c r="C229" i="13"/>
  <c r="A230" i="13"/>
  <c r="B230" i="13"/>
  <c r="C230" i="13"/>
  <c r="A231" i="13"/>
  <c r="B231" i="13"/>
  <c r="C231" i="13"/>
  <c r="A232" i="13"/>
  <c r="B232" i="13"/>
  <c r="C232" i="13"/>
  <c r="A233" i="13"/>
  <c r="B233" i="13"/>
  <c r="C233" i="13"/>
  <c r="A234" i="13"/>
  <c r="G234" i="13" s="1"/>
  <c r="B234" i="13"/>
  <c r="C234" i="13"/>
  <c r="AB47" i="15" l="1"/>
  <c r="AB44" i="15"/>
  <c r="AB49" i="15"/>
  <c r="M338" i="13"/>
  <c r="Q338" i="13" s="1"/>
  <c r="N234" i="13"/>
  <c r="O234" i="13" s="1"/>
  <c r="I234" i="13"/>
  <c r="K229" i="13"/>
  <c r="AE240" i="13"/>
  <c r="AG240" i="13" s="1"/>
  <c r="C5" i="14"/>
  <c r="E5" i="14" s="1"/>
  <c r="O229" i="13"/>
  <c r="C6" i="14"/>
  <c r="E6" i="14" s="1"/>
  <c r="AG246" i="13"/>
  <c r="M249" i="13"/>
  <c r="Q249" i="13" s="1"/>
  <c r="G232" i="13"/>
  <c r="L232" i="13"/>
  <c r="K236" i="13"/>
  <c r="L236" i="13"/>
  <c r="K234" i="13"/>
  <c r="L234" i="13"/>
  <c r="H234" i="13" s="1"/>
  <c r="K230" i="13"/>
  <c r="L230" i="13"/>
  <c r="G229" i="13"/>
  <c r="L229" i="13"/>
  <c r="G235" i="13"/>
  <c r="L235" i="13"/>
  <c r="N232" i="13"/>
  <c r="O232" i="13" s="1"/>
  <c r="K231" i="13"/>
  <c r="L231" i="13"/>
  <c r="H231" i="13" s="1"/>
  <c r="N230" i="13"/>
  <c r="O230" i="13" s="1"/>
  <c r="K233" i="13"/>
  <c r="L233" i="13"/>
  <c r="K232" i="13"/>
  <c r="K237" i="13"/>
  <c r="L237" i="13"/>
  <c r="H237" i="13" s="1"/>
  <c r="G231" i="13"/>
  <c r="I231" i="13"/>
  <c r="I237" i="13"/>
  <c r="I236" i="13"/>
  <c r="N236" i="13"/>
  <c r="O236" i="13" s="1"/>
  <c r="N235" i="13"/>
  <c r="G236" i="13"/>
  <c r="K235" i="13"/>
  <c r="N237" i="13"/>
  <c r="I235" i="13"/>
  <c r="I233" i="13"/>
  <c r="I230" i="13"/>
  <c r="G233" i="13"/>
  <c r="G230" i="13"/>
  <c r="N231" i="13"/>
  <c r="N233" i="13"/>
  <c r="O233" i="13" s="1"/>
  <c r="I232" i="13"/>
  <c r="I229" i="13"/>
  <c r="F271" i="13"/>
  <c r="F270" i="13"/>
  <c r="F269" i="13"/>
  <c r="F268" i="13"/>
  <c r="F267" i="13"/>
  <c r="F266" i="13"/>
  <c r="F259" i="13"/>
  <c r="F237" i="13"/>
  <c r="P237" i="13" s="1"/>
  <c r="F236" i="13"/>
  <c r="D236" i="13" s="1"/>
  <c r="D271" i="13" l="1"/>
  <c r="P271" i="13"/>
  <c r="D266" i="13"/>
  <c r="P266" i="13"/>
  <c r="D268" i="13"/>
  <c r="P268" i="13"/>
  <c r="D269" i="13"/>
  <c r="P269" i="13"/>
  <c r="P267" i="13"/>
  <c r="D267" i="13"/>
  <c r="D270" i="13"/>
  <c r="P270" i="13"/>
  <c r="F258" i="13"/>
  <c r="P258" i="13" s="1"/>
  <c r="F232" i="13"/>
  <c r="D232" i="13" s="1"/>
  <c r="F252" i="13"/>
  <c r="F255" i="13"/>
  <c r="D259" i="13"/>
  <c r="P259" i="13"/>
  <c r="F253" i="13"/>
  <c r="F256" i="13"/>
  <c r="P236" i="13"/>
  <c r="F229" i="13"/>
  <c r="D229" i="13" s="1"/>
  <c r="D237" i="13"/>
  <c r="F230" i="13"/>
  <c r="D230" i="13" s="1"/>
  <c r="F234" i="13"/>
  <c r="F235" i="13"/>
  <c r="D235" i="13" s="1"/>
  <c r="F233" i="13"/>
  <c r="D233" i="13" s="1"/>
  <c r="F251" i="13"/>
  <c r="F231" i="13"/>
  <c r="D231" i="13" s="1"/>
  <c r="F254" i="13"/>
  <c r="F257" i="13"/>
  <c r="J234" i="13"/>
  <c r="J231" i="13"/>
  <c r="J237" i="13"/>
  <c r="O237" i="13"/>
  <c r="O235" i="13"/>
  <c r="H235" i="13"/>
  <c r="J235" i="13"/>
  <c r="H236" i="13"/>
  <c r="J236" i="13"/>
  <c r="O231" i="13"/>
  <c r="H229" i="13"/>
  <c r="J229" i="13"/>
  <c r="H232" i="13"/>
  <c r="J232" i="13"/>
  <c r="H230" i="13"/>
  <c r="J230" i="13"/>
  <c r="H233" i="13"/>
  <c r="J233" i="13"/>
  <c r="P215" i="13"/>
  <c r="B215" i="13"/>
  <c r="C215" i="13"/>
  <c r="B216" i="13"/>
  <c r="C216" i="13"/>
  <c r="B217" i="13"/>
  <c r="C217" i="13"/>
  <c r="B218" i="13"/>
  <c r="C218" i="13"/>
  <c r="B219" i="13"/>
  <c r="C219" i="13"/>
  <c r="B220" i="13"/>
  <c r="C220" i="13"/>
  <c r="B221" i="13"/>
  <c r="C221" i="13"/>
  <c r="B222" i="13"/>
  <c r="C222" i="13"/>
  <c r="B223" i="13"/>
  <c r="C223" i="13"/>
  <c r="B224" i="13"/>
  <c r="C224" i="13"/>
  <c r="B225" i="13"/>
  <c r="C225" i="13"/>
  <c r="B226" i="13"/>
  <c r="C226" i="13"/>
  <c r="B227" i="13"/>
  <c r="C227" i="13"/>
  <c r="B228" i="13"/>
  <c r="C228" i="13"/>
  <c r="A227" i="13"/>
  <c r="A228" i="13"/>
  <c r="A216" i="13"/>
  <c r="L216" i="13" s="1"/>
  <c r="A217" i="13"/>
  <c r="A218" i="13"/>
  <c r="A219" i="13"/>
  <c r="A220" i="13"/>
  <c r="L220" i="13" s="1"/>
  <c r="A221" i="13"/>
  <c r="A222" i="13"/>
  <c r="A223" i="13"/>
  <c r="A224" i="13"/>
  <c r="L224" i="13" s="1"/>
  <c r="A225" i="13"/>
  <c r="L225" i="13" s="1"/>
  <c r="A226" i="13"/>
  <c r="A215" i="13"/>
  <c r="D258" i="13" l="1"/>
  <c r="P232" i="13"/>
  <c r="P231" i="13"/>
  <c r="P229" i="13"/>
  <c r="D251" i="13"/>
  <c r="P251" i="13"/>
  <c r="P233" i="13"/>
  <c r="D255" i="13"/>
  <c r="P255" i="13"/>
  <c r="P230" i="13"/>
  <c r="D256" i="13"/>
  <c r="P256" i="13"/>
  <c r="D252" i="13"/>
  <c r="P252" i="13"/>
  <c r="D254" i="13"/>
  <c r="P254" i="13"/>
  <c r="P234" i="13"/>
  <c r="D234" i="13"/>
  <c r="D253" i="13"/>
  <c r="P253" i="13"/>
  <c r="P235" i="13"/>
  <c r="D257" i="13"/>
  <c r="P257" i="13"/>
  <c r="M247" i="13"/>
  <c r="Q247" i="13" s="1"/>
  <c r="M243" i="13"/>
  <c r="Q243" i="13" s="1"/>
  <c r="N223" i="13"/>
  <c r="O223" i="13" s="1"/>
  <c r="L223" i="13"/>
  <c r="H223" i="13" s="1"/>
  <c r="N222" i="13"/>
  <c r="O222" i="13" s="1"/>
  <c r="L222" i="13"/>
  <c r="J222" i="13" s="1"/>
  <c r="L228" i="13"/>
  <c r="J228" i="13" s="1"/>
  <c r="N226" i="13"/>
  <c r="O226" i="13" s="1"/>
  <c r="L226" i="13"/>
  <c r="J226" i="13" s="1"/>
  <c r="N227" i="13"/>
  <c r="O227" i="13" s="1"/>
  <c r="L227" i="13"/>
  <c r="J227" i="13" s="1"/>
  <c r="L221" i="13"/>
  <c r="H221" i="13" s="1"/>
  <c r="G220" i="13"/>
  <c r="L217" i="13"/>
  <c r="J217" i="13" s="1"/>
  <c r="N219" i="13"/>
  <c r="O219" i="13" s="1"/>
  <c r="L219" i="13"/>
  <c r="J219" i="13" s="1"/>
  <c r="N218" i="13"/>
  <c r="O218" i="13" s="1"/>
  <c r="L218" i="13"/>
  <c r="N215" i="13"/>
  <c r="O215" i="13" s="1"/>
  <c r="L215" i="13"/>
  <c r="H215" i="13" s="1"/>
  <c r="G216" i="13"/>
  <c r="G228" i="13"/>
  <c r="G224" i="13"/>
  <c r="J225" i="13"/>
  <c r="H225" i="13"/>
  <c r="H224" i="13"/>
  <c r="J224" i="13"/>
  <c r="H220" i="13"/>
  <c r="J220" i="13"/>
  <c r="J216" i="13"/>
  <c r="H216" i="13"/>
  <c r="I221" i="13"/>
  <c r="G227" i="13"/>
  <c r="G223" i="13"/>
  <c r="G219" i="13"/>
  <c r="I228" i="13"/>
  <c r="I224" i="13"/>
  <c r="I220" i="13"/>
  <c r="I216" i="13"/>
  <c r="K225" i="13"/>
  <c r="K221" i="13"/>
  <c r="K217" i="13"/>
  <c r="N225" i="13"/>
  <c r="O225" i="13" s="1"/>
  <c r="N221" i="13"/>
  <c r="O221" i="13" s="1"/>
  <c r="N217" i="13"/>
  <c r="O217" i="13" s="1"/>
  <c r="I225" i="13"/>
  <c r="I217" i="13"/>
  <c r="G226" i="13"/>
  <c r="G222" i="13"/>
  <c r="G218" i="13"/>
  <c r="I227" i="13"/>
  <c r="I223" i="13"/>
  <c r="I219" i="13"/>
  <c r="I215" i="13"/>
  <c r="K228" i="13"/>
  <c r="K224" i="13"/>
  <c r="K220" i="13"/>
  <c r="K216" i="13"/>
  <c r="N228" i="13"/>
  <c r="O228" i="13" s="1"/>
  <c r="N224" i="13"/>
  <c r="O224" i="13" s="1"/>
  <c r="N220" i="13"/>
  <c r="O220" i="13" s="1"/>
  <c r="N216" i="13"/>
  <c r="O216" i="13" s="1"/>
  <c r="G225" i="13"/>
  <c r="G221" i="13"/>
  <c r="G217" i="13"/>
  <c r="I226" i="13"/>
  <c r="I222" i="13"/>
  <c r="I218" i="13"/>
  <c r="K227" i="13"/>
  <c r="K223" i="13"/>
  <c r="K219" i="13"/>
  <c r="K215" i="13"/>
  <c r="K226" i="13"/>
  <c r="K222" i="13"/>
  <c r="K218" i="13"/>
  <c r="M250" i="13" l="1"/>
  <c r="Q250" i="13" s="1"/>
  <c r="M248" i="13"/>
  <c r="Q248" i="13" s="1"/>
  <c r="H228" i="13"/>
  <c r="J221" i="13"/>
  <c r="H217" i="13"/>
  <c r="M238" i="13"/>
  <c r="Q238" i="13" s="1"/>
  <c r="M239" i="13"/>
  <c r="Q239" i="13" s="1"/>
  <c r="M240" i="13"/>
  <c r="Q240" i="13" s="1"/>
  <c r="M246" i="13"/>
  <c r="Q246" i="13" s="1"/>
  <c r="M244" i="13"/>
  <c r="Q244" i="13" s="1"/>
  <c r="M241" i="13"/>
  <c r="Q241" i="13" s="1"/>
  <c r="H219" i="13"/>
  <c r="H222" i="13"/>
  <c r="J215" i="13"/>
  <c r="J223" i="13"/>
  <c r="H226" i="13"/>
  <c r="H227" i="13"/>
  <c r="J218" i="13"/>
  <c r="H218" i="13"/>
  <c r="M245" i="13" l="1"/>
  <c r="Q245" i="13" s="1"/>
  <c r="M269" i="13" l="1"/>
  <c r="Q269" i="13" s="1"/>
  <c r="M271" i="13"/>
  <c r="Q271" i="13" s="1"/>
  <c r="M256" i="13"/>
  <c r="Q256" i="13" s="1"/>
  <c r="M254" i="13"/>
  <c r="Q254" i="13" s="1"/>
  <c r="M251" i="13"/>
  <c r="Q251" i="13" s="1"/>
  <c r="M253" i="13"/>
  <c r="Q253" i="13" s="1"/>
  <c r="M232" i="13"/>
  <c r="Q232" i="13" s="1"/>
  <c r="F216" i="13"/>
  <c r="F218" i="13"/>
  <c r="F219" i="13"/>
  <c r="F221" i="13"/>
  <c r="F222" i="13"/>
  <c r="F227" i="13"/>
  <c r="F228" i="13"/>
  <c r="F285" i="13"/>
  <c r="F328" i="13"/>
  <c r="F329" i="13" l="1"/>
  <c r="D328" i="13"/>
  <c r="P328" i="13"/>
  <c r="P285" i="13"/>
  <c r="D285" i="13"/>
  <c r="M267" i="13"/>
  <c r="Q267" i="13" s="1"/>
  <c r="M266" i="13"/>
  <c r="Q266" i="13" s="1"/>
  <c r="M268" i="13"/>
  <c r="Q268" i="13" s="1"/>
  <c r="M258" i="13"/>
  <c r="Q258" i="13" s="1"/>
  <c r="M270" i="13"/>
  <c r="Q270" i="13" s="1"/>
  <c r="M257" i="13"/>
  <c r="Q257" i="13" s="1"/>
  <c r="M255" i="13"/>
  <c r="Q255" i="13" s="1"/>
  <c r="M259" i="13"/>
  <c r="Q259" i="13" s="1"/>
  <c r="M252" i="13"/>
  <c r="Q252" i="13" s="1"/>
  <c r="M229" i="13"/>
  <c r="Q229" i="13" s="1"/>
  <c r="M230" i="13"/>
  <c r="Q230" i="13" s="1"/>
  <c r="M237" i="13"/>
  <c r="Q237" i="13" s="1"/>
  <c r="M236" i="13"/>
  <c r="Q236" i="13" s="1"/>
  <c r="M234" i="13"/>
  <c r="Q234" i="13" s="1"/>
  <c r="M231" i="13"/>
  <c r="Q231" i="13" s="1"/>
  <c r="M233" i="13"/>
  <c r="Q233" i="13" s="1"/>
  <c r="M235" i="13"/>
  <c r="Q235" i="13" s="1"/>
  <c r="D228" i="13"/>
  <c r="P228" i="13"/>
  <c r="D227" i="13"/>
  <c r="P227" i="13"/>
  <c r="F226" i="13"/>
  <c r="D219" i="13"/>
  <c r="P219" i="13"/>
  <c r="D218" i="13"/>
  <c r="P218" i="13"/>
  <c r="F220" i="13"/>
  <c r="F217" i="13"/>
  <c r="D216" i="13"/>
  <c r="P216" i="13"/>
  <c r="F225" i="13"/>
  <c r="F224" i="13"/>
  <c r="F223" i="13"/>
  <c r="D222" i="13"/>
  <c r="P222" i="13"/>
  <c r="D221" i="13"/>
  <c r="P221" i="13"/>
  <c r="A212" i="13"/>
  <c r="A213" i="13"/>
  <c r="A214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180" i="13"/>
  <c r="N180" i="13" s="1"/>
  <c r="A181" i="13"/>
  <c r="K181" i="13" s="1"/>
  <c r="A182" i="13"/>
  <c r="N182" i="13" s="1"/>
  <c r="A183" i="13"/>
  <c r="G183" i="13" s="1"/>
  <c r="A184" i="13"/>
  <c r="G184" i="13" s="1"/>
  <c r="A185" i="13"/>
  <c r="G185" i="13" s="1"/>
  <c r="A186" i="13"/>
  <c r="N186" i="13" s="1"/>
  <c r="A187" i="13"/>
  <c r="G187" i="13" s="1"/>
  <c r="A188" i="13"/>
  <c r="I188" i="13" s="1"/>
  <c r="A189" i="13"/>
  <c r="K189" i="13" s="1"/>
  <c r="A190" i="13"/>
  <c r="G190" i="13" s="1"/>
  <c r="A191" i="13"/>
  <c r="N191" i="13" s="1"/>
  <c r="A192" i="13"/>
  <c r="I192" i="13" s="1"/>
  <c r="A193" i="13"/>
  <c r="K193" i="13" s="1"/>
  <c r="A194" i="13"/>
  <c r="N194" i="13" s="1"/>
  <c r="A195" i="13"/>
  <c r="G195" i="13" s="1"/>
  <c r="A196" i="13"/>
  <c r="I196" i="13" s="1"/>
  <c r="A197" i="13"/>
  <c r="K197" i="13" s="1"/>
  <c r="A198" i="13"/>
  <c r="G198" i="13" s="1"/>
  <c r="A199" i="13"/>
  <c r="A179" i="13"/>
  <c r="K179" i="13" s="1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C205" i="13"/>
  <c r="C206" i="13"/>
  <c r="C207" i="13"/>
  <c r="C208" i="13"/>
  <c r="C209" i="13"/>
  <c r="C210" i="13"/>
  <c r="C211" i="13"/>
  <c r="C212" i="13"/>
  <c r="C213" i="13"/>
  <c r="C214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B202" i="13"/>
  <c r="C202" i="13"/>
  <c r="C203" i="13"/>
  <c r="C204" i="13"/>
  <c r="D329" i="13" l="1"/>
  <c r="P329" i="13"/>
  <c r="N203" i="13"/>
  <c r="O203" i="13" s="1"/>
  <c r="L203" i="13"/>
  <c r="K202" i="13"/>
  <c r="L202" i="13"/>
  <c r="K201" i="13"/>
  <c r="L201" i="13"/>
  <c r="G211" i="13"/>
  <c r="L211" i="13"/>
  <c r="K214" i="13"/>
  <c r="L214" i="13"/>
  <c r="K210" i="13"/>
  <c r="L210" i="13"/>
  <c r="G213" i="13"/>
  <c r="L213" i="13"/>
  <c r="I200" i="13"/>
  <c r="L200" i="13"/>
  <c r="K209" i="13"/>
  <c r="L209" i="13"/>
  <c r="K212" i="13"/>
  <c r="L212" i="13"/>
  <c r="N208" i="13"/>
  <c r="O208" i="13" s="1"/>
  <c r="L208" i="13"/>
  <c r="G199" i="13"/>
  <c r="L199" i="13"/>
  <c r="N207" i="13"/>
  <c r="O207" i="13" s="1"/>
  <c r="L207" i="13"/>
  <c r="G206" i="13"/>
  <c r="L206" i="13"/>
  <c r="K205" i="13"/>
  <c r="L205" i="13"/>
  <c r="H205" i="13" s="1"/>
  <c r="G204" i="13"/>
  <c r="L204" i="13"/>
  <c r="G200" i="13"/>
  <c r="K188" i="13"/>
  <c r="O191" i="13"/>
  <c r="L191" i="13"/>
  <c r="K180" i="13"/>
  <c r="L180" i="13"/>
  <c r="I191" i="13"/>
  <c r="K196" i="13"/>
  <c r="D223" i="13"/>
  <c r="P223" i="13"/>
  <c r="D225" i="13"/>
  <c r="P225" i="13"/>
  <c r="D220" i="13"/>
  <c r="P220" i="13"/>
  <c r="D224" i="13"/>
  <c r="P224" i="13"/>
  <c r="D217" i="13"/>
  <c r="P217" i="13"/>
  <c r="D226" i="13"/>
  <c r="P226" i="13"/>
  <c r="K182" i="13"/>
  <c r="L198" i="13"/>
  <c r="L190" i="13"/>
  <c r="I199" i="13"/>
  <c r="N198" i="13"/>
  <c r="K195" i="13"/>
  <c r="G194" i="13"/>
  <c r="L195" i="13"/>
  <c r="L187" i="13"/>
  <c r="I198" i="13"/>
  <c r="I190" i="13"/>
  <c r="K200" i="13"/>
  <c r="K192" i="13"/>
  <c r="I182" i="13"/>
  <c r="I194" i="13"/>
  <c r="I186" i="13"/>
  <c r="L194" i="13"/>
  <c r="J194" i="13" s="1"/>
  <c r="L186" i="13"/>
  <c r="I195" i="13"/>
  <c r="I187" i="13"/>
  <c r="K199" i="13"/>
  <c r="K191" i="13"/>
  <c r="N206" i="13"/>
  <c r="O206" i="13" s="1"/>
  <c r="I203" i="13"/>
  <c r="I207" i="13"/>
  <c r="G207" i="13"/>
  <c r="I202" i="13"/>
  <c r="N214" i="13"/>
  <c r="O214" i="13" s="1"/>
  <c r="N202" i="13"/>
  <c r="O202" i="13" s="1"/>
  <c r="K207" i="13"/>
  <c r="K208" i="13"/>
  <c r="I211" i="13"/>
  <c r="N213" i="13"/>
  <c r="K204" i="13"/>
  <c r="I208" i="13"/>
  <c r="N210" i="13"/>
  <c r="O210" i="13" s="1"/>
  <c r="K211" i="13"/>
  <c r="K203" i="13"/>
  <c r="I212" i="13"/>
  <c r="N181" i="13"/>
  <c r="O181" i="13" s="1"/>
  <c r="N189" i="13"/>
  <c r="O189" i="13" s="1"/>
  <c r="G180" i="13"/>
  <c r="G193" i="13"/>
  <c r="N196" i="13"/>
  <c r="O196" i="13" s="1"/>
  <c r="N188" i="13"/>
  <c r="O188" i="13" s="1"/>
  <c r="G181" i="13"/>
  <c r="G189" i="13"/>
  <c r="G205" i="13"/>
  <c r="K184" i="13"/>
  <c r="K187" i="13"/>
  <c r="L183" i="13"/>
  <c r="L197" i="13"/>
  <c r="L193" i="13"/>
  <c r="L189" i="13"/>
  <c r="I181" i="13"/>
  <c r="I185" i="13"/>
  <c r="I201" i="13"/>
  <c r="I197" i="13"/>
  <c r="I193" i="13"/>
  <c r="I189" i="13"/>
  <c r="I214" i="13"/>
  <c r="I210" i="13"/>
  <c r="I206" i="13"/>
  <c r="N183" i="13"/>
  <c r="O183" i="13" s="1"/>
  <c r="N195" i="13"/>
  <c r="O195" i="13" s="1"/>
  <c r="N187" i="13"/>
  <c r="O187" i="13" s="1"/>
  <c r="N212" i="13"/>
  <c r="N204" i="13"/>
  <c r="N200" i="13"/>
  <c r="O200" i="13" s="1"/>
  <c r="K206" i="13"/>
  <c r="K198" i="13"/>
  <c r="K194" i="13"/>
  <c r="K190" i="13"/>
  <c r="G197" i="13"/>
  <c r="L181" i="13"/>
  <c r="L185" i="13"/>
  <c r="H185" i="13" s="1"/>
  <c r="N185" i="13"/>
  <c r="O185" i="13" s="1"/>
  <c r="N193" i="13"/>
  <c r="O193" i="13" s="1"/>
  <c r="K185" i="13"/>
  <c r="L184" i="13"/>
  <c r="I184" i="13"/>
  <c r="N184" i="13"/>
  <c r="N192" i="13"/>
  <c r="O192" i="13" s="1"/>
  <c r="N209" i="13"/>
  <c r="O209" i="13" s="1"/>
  <c r="N205" i="13"/>
  <c r="O205" i="13" s="1"/>
  <c r="N201" i="13"/>
  <c r="O201" i="13" s="1"/>
  <c r="N197" i="13"/>
  <c r="O197" i="13" s="1"/>
  <c r="N179" i="13"/>
  <c r="G182" i="13"/>
  <c r="G203" i="13"/>
  <c r="K183" i="13"/>
  <c r="K186" i="13"/>
  <c r="L182" i="13"/>
  <c r="H182" i="13" s="1"/>
  <c r="L196" i="13"/>
  <c r="L192" i="13"/>
  <c r="L188" i="13"/>
  <c r="H188" i="13" s="1"/>
  <c r="I183" i="13"/>
  <c r="I204" i="13"/>
  <c r="I213" i="13"/>
  <c r="I209" i="13"/>
  <c r="I205" i="13"/>
  <c r="N190" i="13"/>
  <c r="O190" i="13" s="1"/>
  <c r="N211" i="13"/>
  <c r="O211" i="13" s="1"/>
  <c r="N199" i="13"/>
  <c r="K213" i="13"/>
  <c r="O186" i="13"/>
  <c r="G188" i="13"/>
  <c r="G202" i="13"/>
  <c r="G201" i="13"/>
  <c r="G186" i="13"/>
  <c r="O182" i="13"/>
  <c r="G214" i="13"/>
  <c r="G196" i="13"/>
  <c r="G212" i="13"/>
  <c r="G192" i="13"/>
  <c r="G210" i="13"/>
  <c r="G209" i="13"/>
  <c r="G191" i="13"/>
  <c r="G179" i="13"/>
  <c r="G208" i="13"/>
  <c r="L179" i="13"/>
  <c r="O194" i="13"/>
  <c r="F213" i="13"/>
  <c r="D213" i="13" s="1"/>
  <c r="F212" i="13"/>
  <c r="D212" i="13" s="1"/>
  <c r="F211" i="13"/>
  <c r="D211" i="13" s="1"/>
  <c r="F210" i="13"/>
  <c r="D210" i="13" s="1"/>
  <c r="F209" i="13"/>
  <c r="D209" i="13" s="1"/>
  <c r="F208" i="13"/>
  <c r="D208" i="13" s="1"/>
  <c r="F207" i="13"/>
  <c r="D207" i="13" s="1"/>
  <c r="F206" i="13"/>
  <c r="D206" i="13" s="1"/>
  <c r="F205" i="13"/>
  <c r="D205" i="13" s="1"/>
  <c r="F204" i="13"/>
  <c r="D204" i="13" s="1"/>
  <c r="F203" i="13"/>
  <c r="D203" i="13" s="1"/>
  <c r="F202" i="13"/>
  <c r="D202" i="13" s="1"/>
  <c r="F520" i="13"/>
  <c r="F519" i="13"/>
  <c r="F376" i="13"/>
  <c r="F369" i="13"/>
  <c r="F368" i="13"/>
  <c r="F214" i="13"/>
  <c r="D214" i="13" s="1"/>
  <c r="F201" i="13"/>
  <c r="D201" i="13" s="1"/>
  <c r="F199" i="13"/>
  <c r="D199" i="13" s="1"/>
  <c r="F198" i="13"/>
  <c r="P198" i="13" s="1"/>
  <c r="F197" i="13"/>
  <c r="D197" i="13" s="1"/>
  <c r="F196" i="13"/>
  <c r="D196" i="13" s="1"/>
  <c r="F195" i="13"/>
  <c r="P195" i="13" s="1"/>
  <c r="F194" i="13"/>
  <c r="D194" i="13" s="1"/>
  <c r="F193" i="13"/>
  <c r="D193" i="13" s="1"/>
  <c r="D369" i="13" l="1"/>
  <c r="P369" i="13"/>
  <c r="F330" i="13"/>
  <c r="D520" i="13"/>
  <c r="P520" i="13"/>
  <c r="D376" i="13"/>
  <c r="P376" i="13"/>
  <c r="D368" i="13"/>
  <c r="P368" i="13"/>
  <c r="D519" i="13"/>
  <c r="P519" i="13"/>
  <c r="I35" i="15"/>
  <c r="E43" i="15"/>
  <c r="E36" i="15"/>
  <c r="G43" i="15"/>
  <c r="G35" i="15"/>
  <c r="I36" i="15"/>
  <c r="E35" i="15"/>
  <c r="G36" i="15"/>
  <c r="I43" i="15"/>
  <c r="P201" i="13"/>
  <c r="D195" i="13"/>
  <c r="P208" i="13"/>
  <c r="D198" i="13"/>
  <c r="P214" i="13"/>
  <c r="P202" i="13"/>
  <c r="P197" i="13"/>
  <c r="P199" i="13"/>
  <c r="P205" i="13"/>
  <c r="P209" i="13"/>
  <c r="P210" i="13"/>
  <c r="P204" i="13"/>
  <c r="P211" i="13"/>
  <c r="P213" i="13"/>
  <c r="P212" i="13"/>
  <c r="P203" i="13"/>
  <c r="P193" i="13"/>
  <c r="P207" i="13"/>
  <c r="P196" i="13"/>
  <c r="P194" i="13"/>
  <c r="P206" i="13"/>
  <c r="F200" i="13"/>
  <c r="D200" i="13" s="1"/>
  <c r="H194" i="13"/>
  <c r="J185" i="13"/>
  <c r="J182" i="13"/>
  <c r="J188" i="13"/>
  <c r="J205" i="13"/>
  <c r="O198" i="13"/>
  <c r="O184" i="13"/>
  <c r="J183" i="13"/>
  <c r="H183" i="13"/>
  <c r="H213" i="13"/>
  <c r="J213" i="13"/>
  <c r="H208" i="13"/>
  <c r="J208" i="13"/>
  <c r="H211" i="13"/>
  <c r="J211" i="13"/>
  <c r="H214" i="13"/>
  <c r="J214" i="13"/>
  <c r="H210" i="13"/>
  <c r="J210" i="13"/>
  <c r="O212" i="13"/>
  <c r="J206" i="13"/>
  <c r="H206" i="13"/>
  <c r="J209" i="13"/>
  <c r="H209" i="13"/>
  <c r="J212" i="13"/>
  <c r="H212" i="13"/>
  <c r="H207" i="13"/>
  <c r="J207" i="13"/>
  <c r="O213" i="13"/>
  <c r="H184" i="13"/>
  <c r="J184" i="13"/>
  <c r="H192" i="13"/>
  <c r="J192" i="13"/>
  <c r="H187" i="13"/>
  <c r="J187" i="13"/>
  <c r="H189" i="13"/>
  <c r="J189" i="13"/>
  <c r="H195" i="13"/>
  <c r="J195" i="13"/>
  <c r="H190" i="13"/>
  <c r="J190" i="13"/>
  <c r="H198" i="13"/>
  <c r="J198" i="13"/>
  <c r="H193" i="13"/>
  <c r="J193" i="13"/>
  <c r="H196" i="13"/>
  <c r="J196" i="13"/>
  <c r="H201" i="13"/>
  <c r="J201" i="13"/>
  <c r="H199" i="13"/>
  <c r="J199" i="13"/>
  <c r="H204" i="13"/>
  <c r="J204" i="13"/>
  <c r="H202" i="13"/>
  <c r="J202" i="13"/>
  <c r="H200" i="13"/>
  <c r="J200" i="13"/>
  <c r="H203" i="13"/>
  <c r="J203" i="13"/>
  <c r="H191" i="13"/>
  <c r="J191" i="13"/>
  <c r="O204" i="13"/>
  <c r="J197" i="13"/>
  <c r="H197" i="13"/>
  <c r="H186" i="13"/>
  <c r="J186" i="13"/>
  <c r="H181" i="13"/>
  <c r="J181" i="13"/>
  <c r="O199" i="13"/>
  <c r="D330" i="13" l="1"/>
  <c r="P330" i="13"/>
  <c r="L36" i="15"/>
  <c r="M329" i="13"/>
  <c r="Q329" i="13" s="1"/>
  <c r="P200" i="13"/>
  <c r="L35" i="15" l="1"/>
  <c r="L43" i="15"/>
  <c r="T36" i="15"/>
  <c r="T35" i="15"/>
  <c r="M215" i="13"/>
  <c r="Q215" i="13" s="1"/>
  <c r="P35" i="15" l="1"/>
  <c r="R35" i="15"/>
  <c r="R43" i="15"/>
  <c r="R36" i="15"/>
  <c r="P43" i="15"/>
  <c r="P36" i="15"/>
  <c r="T43" i="15"/>
  <c r="V36" i="15"/>
  <c r="V35" i="15"/>
  <c r="M330" i="13"/>
  <c r="Q330" i="13" s="1"/>
  <c r="M219" i="13"/>
  <c r="Q219" i="13" s="1"/>
  <c r="M218" i="13"/>
  <c r="Q218" i="13" s="1"/>
  <c r="M520" i="13" l="1"/>
  <c r="Q520" i="13" s="1"/>
  <c r="V43" i="15"/>
  <c r="X35" i="15"/>
  <c r="X36" i="15"/>
  <c r="M328" i="13"/>
  <c r="Q328" i="13" s="1"/>
  <c r="M285" i="13"/>
  <c r="Q285" i="13" s="1"/>
  <c r="M216" i="13"/>
  <c r="Q216" i="13" s="1"/>
  <c r="M222" i="13"/>
  <c r="Q222" i="13" s="1"/>
  <c r="M228" i="13"/>
  <c r="Q228" i="13" s="1"/>
  <c r="M225" i="13"/>
  <c r="Q225" i="13" s="1"/>
  <c r="M224" i="13"/>
  <c r="Q224" i="13" s="1"/>
  <c r="M220" i="13"/>
  <c r="Q220" i="13" s="1"/>
  <c r="M227" i="13"/>
  <c r="Q227" i="13" s="1"/>
  <c r="M223" i="13"/>
  <c r="Q223" i="13" s="1"/>
  <c r="M226" i="13"/>
  <c r="Q226" i="13" s="1"/>
  <c r="M221" i="13"/>
  <c r="Q221" i="13" s="1"/>
  <c r="M217" i="13"/>
  <c r="Q217" i="13" s="1"/>
  <c r="M197" i="13"/>
  <c r="Q197" i="13" s="1"/>
  <c r="F189" i="13"/>
  <c r="F188" i="13"/>
  <c r="F186" i="13"/>
  <c r="F185" i="13"/>
  <c r="F184" i="13"/>
  <c r="F182" i="13"/>
  <c r="M519" i="13" l="1"/>
  <c r="Q519" i="13" s="1"/>
  <c r="X43" i="15"/>
  <c r="Z35" i="15"/>
  <c r="Z36" i="15"/>
  <c r="D189" i="13"/>
  <c r="P189" i="13"/>
  <c r="F183" i="13"/>
  <c r="D182" i="13"/>
  <c r="P182" i="13"/>
  <c r="F187" i="13"/>
  <c r="D186" i="13"/>
  <c r="P186" i="13"/>
  <c r="P184" i="13"/>
  <c r="D184" i="13"/>
  <c r="F181" i="13"/>
  <c r="D188" i="13"/>
  <c r="P188" i="13"/>
  <c r="D185" i="13"/>
  <c r="P185" i="13"/>
  <c r="M202" i="13"/>
  <c r="Q202" i="13" s="1"/>
  <c r="M201" i="13"/>
  <c r="Q201" i="13" s="1"/>
  <c r="M198" i="13"/>
  <c r="Q198" i="13" s="1"/>
  <c r="M196" i="13"/>
  <c r="Q196" i="13" s="1"/>
  <c r="M211" i="13"/>
  <c r="Q211" i="13" s="1"/>
  <c r="M210" i="13"/>
  <c r="Q210" i="13" s="1"/>
  <c r="M207" i="13"/>
  <c r="Q207" i="13" s="1"/>
  <c r="M206" i="13"/>
  <c r="Q206" i="13" s="1"/>
  <c r="M204" i="13"/>
  <c r="Q204" i="13" s="1"/>
  <c r="M203" i="13"/>
  <c r="Q203" i="13" s="1"/>
  <c r="M195" i="13"/>
  <c r="Q195" i="13" s="1"/>
  <c r="Z43" i="15" l="1"/>
  <c r="M368" i="13"/>
  <c r="Q368" i="13" s="1"/>
  <c r="M369" i="13"/>
  <c r="Q369" i="13" s="1"/>
  <c r="M376" i="13"/>
  <c r="Q376" i="13" s="1"/>
  <c r="P187" i="13"/>
  <c r="D187" i="13"/>
  <c r="P183" i="13"/>
  <c r="D183" i="13"/>
  <c r="D181" i="13"/>
  <c r="P181" i="13"/>
  <c r="M199" i="13"/>
  <c r="Q199" i="13" s="1"/>
  <c r="M193" i="13"/>
  <c r="Q193" i="13" s="1"/>
  <c r="M200" i="13"/>
  <c r="Q200" i="13" s="1"/>
  <c r="M194" i="13"/>
  <c r="Q194" i="13" s="1"/>
  <c r="M214" i="13"/>
  <c r="Q214" i="13" s="1"/>
  <c r="M213" i="13"/>
  <c r="Q213" i="13" s="1"/>
  <c r="M212" i="13"/>
  <c r="Q212" i="13" s="1"/>
  <c r="M209" i="13"/>
  <c r="Q209" i="13" s="1"/>
  <c r="M208" i="13"/>
  <c r="Q208" i="13" s="1"/>
  <c r="M205" i="13"/>
  <c r="Q205" i="13" s="1"/>
  <c r="C179" i="13"/>
  <c r="C180" i="13"/>
  <c r="A173" i="13"/>
  <c r="B173" i="13"/>
  <c r="C173" i="13"/>
  <c r="A174" i="13"/>
  <c r="B174" i="13"/>
  <c r="C174" i="13"/>
  <c r="A175" i="13"/>
  <c r="B175" i="13"/>
  <c r="C175" i="13"/>
  <c r="A176" i="13"/>
  <c r="B176" i="13"/>
  <c r="C176" i="13"/>
  <c r="A177" i="13"/>
  <c r="C177" i="13"/>
  <c r="A178" i="13"/>
  <c r="C178" i="13"/>
  <c r="A163" i="13"/>
  <c r="B163" i="13"/>
  <c r="C163" i="13"/>
  <c r="A164" i="13"/>
  <c r="N164" i="13" s="1"/>
  <c r="B164" i="13"/>
  <c r="C164" i="13"/>
  <c r="A165" i="13"/>
  <c r="B165" i="13"/>
  <c r="C165" i="13"/>
  <c r="A166" i="13"/>
  <c r="B166" i="13"/>
  <c r="C166" i="13"/>
  <c r="A167" i="13"/>
  <c r="B167" i="13"/>
  <c r="C167" i="13"/>
  <c r="A168" i="13"/>
  <c r="B168" i="13"/>
  <c r="C168" i="13"/>
  <c r="A169" i="13"/>
  <c r="N169" i="13" s="1"/>
  <c r="B169" i="13"/>
  <c r="C169" i="13"/>
  <c r="A170" i="13"/>
  <c r="B170" i="13"/>
  <c r="C170" i="13"/>
  <c r="A171" i="13"/>
  <c r="B171" i="13"/>
  <c r="C171" i="13"/>
  <c r="A172" i="13"/>
  <c r="B172" i="13"/>
  <c r="C172" i="13"/>
  <c r="AB35" i="15" l="1"/>
  <c r="AB43" i="15"/>
  <c r="AB36" i="15"/>
  <c r="K175" i="13"/>
  <c r="N175" i="13"/>
  <c r="O175" i="13" s="1"/>
  <c r="L175" i="13"/>
  <c r="H175" i="13" s="1"/>
  <c r="G171" i="13"/>
  <c r="N171" i="13"/>
  <c r="O171" i="13" s="1"/>
  <c r="N167" i="13"/>
  <c r="O167" i="13" s="1"/>
  <c r="L163" i="13"/>
  <c r="H163" i="13" s="1"/>
  <c r="N163" i="13"/>
  <c r="O163" i="13" s="1"/>
  <c r="G176" i="13"/>
  <c r="K176" i="13"/>
  <c r="N176" i="13"/>
  <c r="O176" i="13" s="1"/>
  <c r="L176" i="13"/>
  <c r="N172" i="13"/>
  <c r="O172" i="13" s="1"/>
  <c r="K172" i="13"/>
  <c r="G168" i="13"/>
  <c r="N168" i="13"/>
  <c r="O168" i="13" s="1"/>
  <c r="N174" i="13"/>
  <c r="O174" i="13" s="1"/>
  <c r="L174" i="13"/>
  <c r="K174" i="13"/>
  <c r="K178" i="13"/>
  <c r="N178" i="13"/>
  <c r="O178" i="13" s="1"/>
  <c r="L178" i="13"/>
  <c r="J178" i="13" s="1"/>
  <c r="G178" i="13"/>
  <c r="K170" i="13"/>
  <c r="N170" i="13"/>
  <c r="G166" i="13"/>
  <c r="N166" i="13"/>
  <c r="O166" i="13" s="1"/>
  <c r="N177" i="13"/>
  <c r="O177" i="13" s="1"/>
  <c r="L177" i="13"/>
  <c r="G177" i="13"/>
  <c r="K177" i="13"/>
  <c r="G173" i="13"/>
  <c r="N173" i="13"/>
  <c r="O173" i="13" s="1"/>
  <c r="L173" i="13"/>
  <c r="K173" i="13"/>
  <c r="G165" i="13"/>
  <c r="N165" i="13"/>
  <c r="O164" i="13"/>
  <c r="O169" i="13"/>
  <c r="G164" i="13"/>
  <c r="G163" i="13"/>
  <c r="G167" i="13"/>
  <c r="L168" i="13"/>
  <c r="K169" i="13"/>
  <c r="I179" i="13"/>
  <c r="I167" i="13"/>
  <c r="L167" i="13"/>
  <c r="K168" i="13"/>
  <c r="I178" i="13"/>
  <c r="I166" i="13"/>
  <c r="L166" i="13"/>
  <c r="H166" i="13" s="1"/>
  <c r="K167" i="13"/>
  <c r="I177" i="13"/>
  <c r="I165" i="13"/>
  <c r="L165" i="13"/>
  <c r="K166" i="13"/>
  <c r="I176" i="13"/>
  <c r="I164" i="13"/>
  <c r="G175" i="13"/>
  <c r="O179" i="13"/>
  <c r="L164" i="13"/>
  <c r="K165" i="13"/>
  <c r="I175" i="13"/>
  <c r="I163" i="13"/>
  <c r="K164" i="13"/>
  <c r="I174" i="13"/>
  <c r="H179" i="13"/>
  <c r="K163" i="13"/>
  <c r="I173" i="13"/>
  <c r="G170" i="13"/>
  <c r="I172" i="13"/>
  <c r="L172" i="13"/>
  <c r="I171" i="13"/>
  <c r="L171" i="13"/>
  <c r="I170" i="13"/>
  <c r="G174" i="13"/>
  <c r="O180" i="13"/>
  <c r="L170" i="13"/>
  <c r="K171" i="13"/>
  <c r="I169" i="13"/>
  <c r="L169" i="13"/>
  <c r="I180" i="13"/>
  <c r="I168" i="13"/>
  <c r="G169" i="13"/>
  <c r="G172" i="13"/>
  <c r="F191" i="13"/>
  <c r="F190" i="13"/>
  <c r="F179" i="13"/>
  <c r="D179" i="13" s="1"/>
  <c r="P190" i="13" l="1"/>
  <c r="D190" i="13"/>
  <c r="D191" i="13"/>
  <c r="P191" i="13"/>
  <c r="F192" i="13"/>
  <c r="J163" i="13"/>
  <c r="F180" i="13"/>
  <c r="D180" i="13" s="1"/>
  <c r="H178" i="13"/>
  <c r="J179" i="13"/>
  <c r="J175" i="13"/>
  <c r="J166" i="13"/>
  <c r="P179" i="13"/>
  <c r="J180" i="13"/>
  <c r="H180" i="13"/>
  <c r="H173" i="13"/>
  <c r="J173" i="13"/>
  <c r="H176" i="13"/>
  <c r="J176" i="13"/>
  <c r="J174" i="13"/>
  <c r="H174" i="13"/>
  <c r="H177" i="13"/>
  <c r="J177" i="13"/>
  <c r="J170" i="13"/>
  <c r="H170" i="13"/>
  <c r="O165" i="13"/>
  <c r="J168" i="13"/>
  <c r="H168" i="13"/>
  <c r="H171" i="13"/>
  <c r="J171" i="13"/>
  <c r="J164" i="13"/>
  <c r="H164" i="13"/>
  <c r="O170" i="13"/>
  <c r="H165" i="13"/>
  <c r="J165" i="13"/>
  <c r="H172" i="13"/>
  <c r="J172" i="13"/>
  <c r="H169" i="13"/>
  <c r="J169" i="13"/>
  <c r="J167" i="13"/>
  <c r="H167" i="13"/>
  <c r="D192" i="13" l="1"/>
  <c r="P192" i="13"/>
  <c r="M187" i="13"/>
  <c r="Q187" i="13" s="1"/>
  <c r="M182" i="13"/>
  <c r="Q182" i="13" s="1"/>
  <c r="P180" i="13"/>
  <c r="M189" i="13" l="1"/>
  <c r="Q189" i="13" s="1"/>
  <c r="M185" i="13"/>
  <c r="Q185" i="13" s="1"/>
  <c r="M186" i="13"/>
  <c r="Q186" i="13" s="1"/>
  <c r="C158" i="13"/>
  <c r="C159" i="13"/>
  <c r="C160" i="13"/>
  <c r="C161" i="13"/>
  <c r="C162" i="13"/>
  <c r="B158" i="13"/>
  <c r="B159" i="13"/>
  <c r="B160" i="13"/>
  <c r="B161" i="13"/>
  <c r="B162" i="13"/>
  <c r="A162" i="13"/>
  <c r="N162" i="13" s="1"/>
  <c r="A159" i="13"/>
  <c r="N159" i="13" s="1"/>
  <c r="A160" i="13"/>
  <c r="N160" i="13" s="1"/>
  <c r="A161" i="13"/>
  <c r="N161" i="13" s="1"/>
  <c r="M181" i="13" l="1"/>
  <c r="Q181" i="13" s="1"/>
  <c r="M188" i="13"/>
  <c r="Q188" i="13" s="1"/>
  <c r="M184" i="13"/>
  <c r="Q184" i="13" s="1"/>
  <c r="M183" i="13"/>
  <c r="Q183" i="13" s="1"/>
  <c r="G160" i="13"/>
  <c r="K160" i="13"/>
  <c r="I160" i="13"/>
  <c r="L160" i="13"/>
  <c r="G162" i="13"/>
  <c r="K162" i="13"/>
  <c r="I162" i="13"/>
  <c r="L162" i="13"/>
  <c r="K161" i="13"/>
  <c r="I161" i="13"/>
  <c r="L161" i="13"/>
  <c r="G159" i="13"/>
  <c r="K159" i="13"/>
  <c r="I159" i="13"/>
  <c r="L159" i="13"/>
  <c r="F159" i="13" l="1"/>
  <c r="D159" i="13" s="1"/>
  <c r="F160" i="13"/>
  <c r="D160" i="13" s="1"/>
  <c r="F161" i="13"/>
  <c r="D161" i="13" s="1"/>
  <c r="F158" i="13"/>
  <c r="D158" i="13" s="1"/>
  <c r="O114" i="13"/>
  <c r="C149" i="13"/>
  <c r="C150" i="13"/>
  <c r="C151" i="13"/>
  <c r="C152" i="13"/>
  <c r="C153" i="13"/>
  <c r="C154" i="13"/>
  <c r="C155" i="13"/>
  <c r="C156" i="13"/>
  <c r="C157" i="13"/>
  <c r="B149" i="13"/>
  <c r="B150" i="13"/>
  <c r="B151" i="13"/>
  <c r="B152" i="13"/>
  <c r="B153" i="13"/>
  <c r="B154" i="13"/>
  <c r="B155" i="13"/>
  <c r="B156" i="13"/>
  <c r="B157" i="13"/>
  <c r="A149" i="13"/>
  <c r="L149" i="13" s="1"/>
  <c r="A150" i="13"/>
  <c r="G150" i="13" s="1"/>
  <c r="A151" i="13"/>
  <c r="N151" i="13" s="1"/>
  <c r="A152" i="13"/>
  <c r="A153" i="13"/>
  <c r="L153" i="13" s="1"/>
  <c r="A154" i="13"/>
  <c r="A155" i="13"/>
  <c r="N155" i="13" s="1"/>
  <c r="A156" i="13"/>
  <c r="A157" i="13"/>
  <c r="L157" i="13" s="1"/>
  <c r="H157" i="13" s="1"/>
  <c r="A158" i="13"/>
  <c r="G158" i="13" l="1"/>
  <c r="N158" i="13"/>
  <c r="O158" i="13" s="1"/>
  <c r="G157" i="13"/>
  <c r="I153" i="13"/>
  <c r="K153" i="13"/>
  <c r="K149" i="13"/>
  <c r="N157" i="13"/>
  <c r="O157" i="13" s="1"/>
  <c r="N149" i="13"/>
  <c r="O149" i="13" s="1"/>
  <c r="G153" i="13"/>
  <c r="I157" i="13"/>
  <c r="I149" i="13"/>
  <c r="I155" i="13"/>
  <c r="K157" i="13"/>
  <c r="N153" i="13"/>
  <c r="O153" i="13" s="1"/>
  <c r="G149" i="13"/>
  <c r="J160" i="13"/>
  <c r="H160" i="13"/>
  <c r="J153" i="13"/>
  <c r="H153" i="13"/>
  <c r="N152" i="13"/>
  <c r="O152" i="13" s="1"/>
  <c r="K152" i="13"/>
  <c r="I152" i="13"/>
  <c r="O159" i="13"/>
  <c r="O151" i="13"/>
  <c r="G152" i="13"/>
  <c r="L152" i="13"/>
  <c r="J149" i="13"/>
  <c r="H149" i="13"/>
  <c r="N156" i="13"/>
  <c r="O156" i="13" s="1"/>
  <c r="K156" i="13"/>
  <c r="I156" i="13"/>
  <c r="H162" i="13"/>
  <c r="O162" i="13"/>
  <c r="O155" i="13"/>
  <c r="J157" i="13"/>
  <c r="L156" i="13"/>
  <c r="P159" i="13"/>
  <c r="G155" i="13"/>
  <c r="K155" i="13"/>
  <c r="L155" i="13"/>
  <c r="H155" i="13" s="1"/>
  <c r="G151" i="13"/>
  <c r="K151" i="13"/>
  <c r="L151" i="13"/>
  <c r="H161" i="13"/>
  <c r="O161" i="13"/>
  <c r="P161" i="13"/>
  <c r="G156" i="13"/>
  <c r="I151" i="13"/>
  <c r="K158" i="13"/>
  <c r="I158" i="13"/>
  <c r="L158" i="13"/>
  <c r="H158" i="13" s="1"/>
  <c r="K154" i="13"/>
  <c r="I154" i="13"/>
  <c r="L154" i="13"/>
  <c r="N154" i="13"/>
  <c r="O154" i="13" s="1"/>
  <c r="K150" i="13"/>
  <c r="I150" i="13"/>
  <c r="L150" i="13"/>
  <c r="N150" i="13"/>
  <c r="O150" i="13" s="1"/>
  <c r="O160" i="13"/>
  <c r="P160" i="13"/>
  <c r="G154" i="13"/>
  <c r="M191" i="13" l="1"/>
  <c r="Q191" i="13" s="1"/>
  <c r="M192" i="13"/>
  <c r="Q192" i="13" s="1"/>
  <c r="M179" i="13"/>
  <c r="J159" i="13"/>
  <c r="H159" i="13"/>
  <c r="J155" i="13"/>
  <c r="J150" i="13"/>
  <c r="H150" i="13"/>
  <c r="J154" i="13"/>
  <c r="H154" i="13"/>
  <c r="J158" i="13"/>
  <c r="J162" i="13"/>
  <c r="J152" i="13"/>
  <c r="H152" i="13"/>
  <c r="H151" i="13"/>
  <c r="J151" i="13"/>
  <c r="H156" i="13"/>
  <c r="J156" i="13"/>
  <c r="J161" i="13"/>
  <c r="M190" i="13" l="1"/>
  <c r="Q190" i="13" s="1"/>
  <c r="M180" i="13"/>
  <c r="F172" i="13"/>
  <c r="F171" i="13"/>
  <c r="F170" i="13"/>
  <c r="F169" i="13"/>
  <c r="F168" i="13"/>
  <c r="F167" i="13"/>
  <c r="F166" i="13"/>
  <c r="F165" i="13"/>
  <c r="F164" i="13"/>
  <c r="D164" i="13" l="1"/>
  <c r="P164" i="13"/>
  <c r="D168" i="13"/>
  <c r="P168" i="13"/>
  <c r="D172" i="13"/>
  <c r="P172" i="13"/>
  <c r="D165" i="13"/>
  <c r="P165" i="13"/>
  <c r="D169" i="13"/>
  <c r="P169" i="13"/>
  <c r="P166" i="13"/>
  <c r="D166" i="13"/>
  <c r="P170" i="13"/>
  <c r="D170" i="13"/>
  <c r="P167" i="13"/>
  <c r="D167" i="13"/>
  <c r="P171" i="13"/>
  <c r="D171" i="13"/>
  <c r="F163" i="13"/>
  <c r="F162" i="13"/>
  <c r="D162" i="13" s="1"/>
  <c r="D163" i="13" l="1"/>
  <c r="P163" i="13"/>
  <c r="P162" i="13"/>
  <c r="P158" i="13"/>
  <c r="F177" i="13"/>
  <c r="F176" i="13"/>
  <c r="F175" i="13"/>
  <c r="F174" i="13"/>
  <c r="F173" i="13"/>
  <c r="F156" i="13"/>
  <c r="F155" i="13"/>
  <c r="M158" i="13" l="1"/>
  <c r="M161" i="13"/>
  <c r="D173" i="13"/>
  <c r="P173" i="13"/>
  <c r="D177" i="13"/>
  <c r="P177" i="13"/>
  <c r="D174" i="13"/>
  <c r="P174" i="13"/>
  <c r="P175" i="13"/>
  <c r="D175" i="13"/>
  <c r="D176" i="13"/>
  <c r="P176" i="13"/>
  <c r="F153" i="13"/>
  <c r="F157" i="13"/>
  <c r="F149" i="13"/>
  <c r="D149" i="13" s="1"/>
  <c r="F154" i="13"/>
  <c r="F150" i="13"/>
  <c r="D150" i="13" s="1"/>
  <c r="F151" i="13"/>
  <c r="D155" i="13"/>
  <c r="P155" i="13"/>
  <c r="F152" i="13"/>
  <c r="D156" i="13"/>
  <c r="P156" i="13"/>
  <c r="A147" i="13"/>
  <c r="B147" i="13"/>
  <c r="C147" i="13"/>
  <c r="A148" i="13"/>
  <c r="B148" i="13"/>
  <c r="C148" i="13"/>
  <c r="A123" i="13"/>
  <c r="B123" i="13"/>
  <c r="C123" i="13"/>
  <c r="A124" i="13"/>
  <c r="B124" i="13"/>
  <c r="C124" i="13"/>
  <c r="A125" i="13"/>
  <c r="B125" i="13"/>
  <c r="C125" i="13"/>
  <c r="A126" i="13"/>
  <c r="B126" i="13"/>
  <c r="C126" i="13"/>
  <c r="A127" i="13"/>
  <c r="B127" i="13"/>
  <c r="C127" i="13"/>
  <c r="A128" i="13"/>
  <c r="B128" i="13"/>
  <c r="C128" i="13"/>
  <c r="A129" i="13"/>
  <c r="B129" i="13"/>
  <c r="C129" i="13"/>
  <c r="A130" i="13"/>
  <c r="B130" i="13"/>
  <c r="C130" i="13"/>
  <c r="A131" i="13"/>
  <c r="B131" i="13"/>
  <c r="C131" i="13"/>
  <c r="A132" i="13"/>
  <c r="B132" i="13"/>
  <c r="C132" i="13"/>
  <c r="A133" i="13"/>
  <c r="B133" i="13"/>
  <c r="C133" i="13"/>
  <c r="A134" i="13"/>
  <c r="B134" i="13"/>
  <c r="C134" i="13"/>
  <c r="A135" i="13"/>
  <c r="B135" i="13"/>
  <c r="C135" i="13"/>
  <c r="A136" i="13"/>
  <c r="B136" i="13"/>
  <c r="C136" i="13"/>
  <c r="A137" i="13"/>
  <c r="B137" i="13"/>
  <c r="C137" i="13"/>
  <c r="A138" i="13"/>
  <c r="B138" i="13"/>
  <c r="C138" i="13"/>
  <c r="A139" i="13"/>
  <c r="B139" i="13"/>
  <c r="C139" i="13"/>
  <c r="A140" i="13"/>
  <c r="B140" i="13"/>
  <c r="C140" i="13"/>
  <c r="A141" i="13"/>
  <c r="B141" i="13"/>
  <c r="C141" i="13"/>
  <c r="A142" i="13"/>
  <c r="B142" i="13"/>
  <c r="C142" i="13"/>
  <c r="A143" i="13"/>
  <c r="B143" i="13"/>
  <c r="C143" i="13"/>
  <c r="A144" i="13"/>
  <c r="B144" i="13"/>
  <c r="C144" i="13"/>
  <c r="A145" i="13"/>
  <c r="B145" i="13"/>
  <c r="C145" i="13"/>
  <c r="A146" i="13"/>
  <c r="B146" i="13"/>
  <c r="C146" i="13"/>
  <c r="M160" i="13" l="1"/>
  <c r="M159" i="13"/>
  <c r="D152" i="13"/>
  <c r="P152" i="13"/>
  <c r="D151" i="13"/>
  <c r="P151" i="13"/>
  <c r="D157" i="13"/>
  <c r="P157" i="13"/>
  <c r="D153" i="13"/>
  <c r="P153" i="13"/>
  <c r="D154" i="13"/>
  <c r="P154" i="13"/>
  <c r="L145" i="13"/>
  <c r="N145" i="13"/>
  <c r="O145" i="13" s="1"/>
  <c r="I145" i="13"/>
  <c r="K145" i="13"/>
  <c r="G141" i="13"/>
  <c r="L141" i="13"/>
  <c r="N141" i="13"/>
  <c r="O141" i="13" s="1"/>
  <c r="I141" i="13"/>
  <c r="K141" i="13"/>
  <c r="G129" i="13"/>
  <c r="N129" i="13"/>
  <c r="O129" i="13" s="1"/>
  <c r="L137" i="13"/>
  <c r="N137" i="13"/>
  <c r="O137" i="13" s="1"/>
  <c r="K137" i="13"/>
  <c r="I137" i="13"/>
  <c r="L133" i="13"/>
  <c r="N133" i="13"/>
  <c r="O133" i="13" s="1"/>
  <c r="K133" i="13"/>
  <c r="I133" i="13"/>
  <c r="I125" i="13"/>
  <c r="N125" i="13"/>
  <c r="O125" i="13" s="1"/>
  <c r="G147" i="13"/>
  <c r="K147" i="13"/>
  <c r="L147" i="13"/>
  <c r="N147" i="13"/>
  <c r="O147" i="13" s="1"/>
  <c r="I147" i="13"/>
  <c r="K146" i="13"/>
  <c r="I146" i="13"/>
  <c r="L146" i="13"/>
  <c r="N146" i="13"/>
  <c r="O146" i="13" s="1"/>
  <c r="K142" i="13"/>
  <c r="I142" i="13"/>
  <c r="L142" i="13"/>
  <c r="N142" i="13"/>
  <c r="O142" i="13" s="1"/>
  <c r="G138" i="13"/>
  <c r="K138" i="13"/>
  <c r="I138" i="13"/>
  <c r="L138" i="13"/>
  <c r="N138" i="13"/>
  <c r="O138" i="13" s="1"/>
  <c r="K134" i="13"/>
  <c r="I134" i="13"/>
  <c r="L134" i="13"/>
  <c r="N134" i="13"/>
  <c r="O134" i="13" s="1"/>
  <c r="L130" i="13"/>
  <c r="H130" i="13" s="1"/>
  <c r="N130" i="13"/>
  <c r="O130" i="13" s="1"/>
  <c r="G126" i="13"/>
  <c r="N126" i="13"/>
  <c r="O126" i="13" s="1"/>
  <c r="N148" i="13"/>
  <c r="O148" i="13" s="1"/>
  <c r="K148" i="13"/>
  <c r="I148" i="13"/>
  <c r="L148" i="13"/>
  <c r="K143" i="13"/>
  <c r="L143" i="13"/>
  <c r="N143" i="13"/>
  <c r="O143" i="13" s="1"/>
  <c r="I143" i="13"/>
  <c r="K139" i="13"/>
  <c r="L139" i="13"/>
  <c r="N139" i="13"/>
  <c r="O139" i="13" s="1"/>
  <c r="I139" i="13"/>
  <c r="G135" i="13"/>
  <c r="K135" i="13"/>
  <c r="L135" i="13"/>
  <c r="I135" i="13"/>
  <c r="N135" i="13"/>
  <c r="O135" i="13" s="1"/>
  <c r="I131" i="13"/>
  <c r="N131" i="13"/>
  <c r="O131" i="13" s="1"/>
  <c r="L127" i="13"/>
  <c r="J127" i="13" s="1"/>
  <c r="N127" i="13"/>
  <c r="O127" i="13" s="1"/>
  <c r="G123" i="13"/>
  <c r="N123" i="13"/>
  <c r="O123" i="13" s="1"/>
  <c r="G144" i="13"/>
  <c r="N144" i="13"/>
  <c r="O144" i="13" s="1"/>
  <c r="K144" i="13"/>
  <c r="I144" i="13"/>
  <c r="L144" i="13"/>
  <c r="N140" i="13"/>
  <c r="O140" i="13" s="1"/>
  <c r="K140" i="13"/>
  <c r="I140" i="13"/>
  <c r="L140" i="13"/>
  <c r="N136" i="13"/>
  <c r="O136" i="13" s="1"/>
  <c r="K136" i="13"/>
  <c r="I136" i="13"/>
  <c r="L136" i="13"/>
  <c r="G132" i="13"/>
  <c r="N132" i="13"/>
  <c r="O132" i="13" s="1"/>
  <c r="K132" i="13"/>
  <c r="I132" i="13"/>
  <c r="L132" i="13"/>
  <c r="I128" i="13"/>
  <c r="N128" i="13"/>
  <c r="O128" i="13" s="1"/>
  <c r="K124" i="13"/>
  <c r="N124" i="13"/>
  <c r="O124" i="13" s="1"/>
  <c r="G143" i="13"/>
  <c r="G134" i="13"/>
  <c r="G137" i="13"/>
  <c r="K130" i="13"/>
  <c r="G130" i="13"/>
  <c r="K127" i="13"/>
  <c r="G133" i="13"/>
  <c r="G127" i="13"/>
  <c r="K126" i="13"/>
  <c r="G125" i="13"/>
  <c r="G148" i="13"/>
  <c r="G146" i="13"/>
  <c r="G140" i="13"/>
  <c r="K129" i="13"/>
  <c r="L129" i="13"/>
  <c r="H129" i="13" s="1"/>
  <c r="G124" i="13"/>
  <c r="G139" i="13"/>
  <c r="G136" i="13"/>
  <c r="G128" i="13"/>
  <c r="L123" i="13"/>
  <c r="H123" i="13" s="1"/>
  <c r="K123" i="13"/>
  <c r="G145" i="13"/>
  <c r="G131" i="13"/>
  <c r="I123" i="13"/>
  <c r="G142" i="13"/>
  <c r="L126" i="13"/>
  <c r="J126" i="13" s="1"/>
  <c r="I130" i="13"/>
  <c r="I127" i="13"/>
  <c r="I124" i="13"/>
  <c r="I126" i="13"/>
  <c r="L131" i="13"/>
  <c r="L128" i="13"/>
  <c r="L125" i="13"/>
  <c r="I129" i="13"/>
  <c r="K131" i="13"/>
  <c r="K128" i="13"/>
  <c r="K125" i="13"/>
  <c r="L124" i="13"/>
  <c r="J130" i="13" l="1"/>
  <c r="H127" i="13"/>
  <c r="J132" i="13"/>
  <c r="H132" i="13"/>
  <c r="J144" i="13"/>
  <c r="H144" i="13"/>
  <c r="J139" i="13"/>
  <c r="H139" i="13"/>
  <c r="J148" i="13"/>
  <c r="H148" i="13"/>
  <c r="J134" i="13"/>
  <c r="H134" i="13"/>
  <c r="J146" i="13"/>
  <c r="H146" i="13"/>
  <c r="J140" i="13"/>
  <c r="H140" i="13"/>
  <c r="H142" i="13"/>
  <c r="J142" i="13"/>
  <c r="J143" i="13"/>
  <c r="H143" i="13"/>
  <c r="J138" i="13"/>
  <c r="H138" i="13"/>
  <c r="H147" i="13"/>
  <c r="J147" i="13"/>
  <c r="J141" i="13"/>
  <c r="H141" i="13"/>
  <c r="J136" i="13"/>
  <c r="H136" i="13"/>
  <c r="J135" i="13"/>
  <c r="H135" i="13"/>
  <c r="J133" i="13"/>
  <c r="H133" i="13"/>
  <c r="J137" i="13"/>
  <c r="H137" i="13"/>
  <c r="J145" i="13"/>
  <c r="H145" i="13"/>
  <c r="H126" i="13"/>
  <c r="J129" i="13"/>
  <c r="J123" i="13"/>
  <c r="H128" i="13"/>
  <c r="J128" i="13"/>
  <c r="H131" i="13"/>
  <c r="J131" i="13"/>
  <c r="H124" i="13"/>
  <c r="J124" i="13"/>
  <c r="H125" i="13"/>
  <c r="J125" i="13"/>
  <c r="M168" i="13" l="1"/>
  <c r="M166" i="13" l="1"/>
  <c r="Q166" i="13" s="1"/>
  <c r="M163" i="13"/>
  <c r="Q163" i="13" s="1"/>
  <c r="M154" i="13"/>
  <c r="M165" i="13"/>
  <c r="Q165" i="13" s="1"/>
  <c r="M167" i="13"/>
  <c r="M150" i="13"/>
  <c r="Q150" i="13" s="1"/>
  <c r="M149" i="13"/>
  <c r="Q149" i="13" s="1"/>
  <c r="M170" i="13"/>
  <c r="M171" i="13"/>
  <c r="M151" i="13"/>
  <c r="M162" i="13"/>
  <c r="Q162" i="13" s="1"/>
  <c r="Q159" i="13"/>
  <c r="M164" i="13"/>
  <c r="Q161" i="13"/>
  <c r="Q160" i="13"/>
  <c r="Q158" i="13"/>
  <c r="F586" i="13"/>
  <c r="D586" i="13" l="1"/>
  <c r="P586" i="13"/>
  <c r="M152" i="13"/>
  <c r="Q152" i="13" s="1"/>
  <c r="M153" i="13"/>
  <c r="Q153" i="13" s="1"/>
  <c r="Q154" i="13"/>
  <c r="M155" i="13"/>
  <c r="Q167" i="13"/>
  <c r="M172" i="13"/>
  <c r="M169" i="13"/>
  <c r="Q164" i="13"/>
  <c r="F178" i="13"/>
  <c r="Q151" i="13"/>
  <c r="F144" i="13"/>
  <c r="P144" i="13" s="1"/>
  <c r="F147" i="13"/>
  <c r="D147" i="13" s="1"/>
  <c r="F145" i="13"/>
  <c r="D145" i="13" s="1"/>
  <c r="F146" i="13"/>
  <c r="P146" i="13" s="1"/>
  <c r="F141" i="13"/>
  <c r="D141" i="13" s="1"/>
  <c r="F140" i="13"/>
  <c r="P140" i="13" s="1"/>
  <c r="F139" i="13"/>
  <c r="P139" i="13" s="1"/>
  <c r="F143" i="13"/>
  <c r="D143" i="13" s="1"/>
  <c r="F142" i="13"/>
  <c r="D142" i="13" s="1"/>
  <c r="F132" i="13"/>
  <c r="P132" i="13" s="1"/>
  <c r="F136" i="13"/>
  <c r="P136" i="13" s="1"/>
  <c r="F137" i="13"/>
  <c r="P137" i="13" s="1"/>
  <c r="F131" i="13"/>
  <c r="D131" i="13" s="1"/>
  <c r="F135" i="13"/>
  <c r="P135" i="13" s="1"/>
  <c r="F134" i="13"/>
  <c r="P134" i="13" s="1"/>
  <c r="F138" i="13"/>
  <c r="P138" i="13" s="1"/>
  <c r="P150" i="13"/>
  <c r="F133" i="13"/>
  <c r="P149" i="13"/>
  <c r="F148" i="13"/>
  <c r="Q179" i="13" l="1"/>
  <c r="M173" i="13"/>
  <c r="M174" i="13"/>
  <c r="Q174" i="13" s="1"/>
  <c r="M177" i="13"/>
  <c r="Q177" i="13" s="1"/>
  <c r="M175" i="13"/>
  <c r="Q175" i="13" s="1"/>
  <c r="M176" i="13"/>
  <c r="Q176" i="13" s="1"/>
  <c r="M157" i="13"/>
  <c r="Q157" i="13" s="1"/>
  <c r="Q169" i="13"/>
  <c r="Q168" i="13"/>
  <c r="Q171" i="13"/>
  <c r="Q170" i="13"/>
  <c r="D144" i="13"/>
  <c r="Q172" i="13"/>
  <c r="D178" i="13"/>
  <c r="P178" i="13"/>
  <c r="D146" i="13"/>
  <c r="D140" i="13"/>
  <c r="P142" i="13"/>
  <c r="D136" i="13"/>
  <c r="P145" i="13"/>
  <c r="D134" i="13"/>
  <c r="P141" i="13"/>
  <c r="P147" i="13"/>
  <c r="P143" i="13"/>
  <c r="D139" i="13"/>
  <c r="D137" i="13"/>
  <c r="D132" i="13"/>
  <c r="D138" i="13"/>
  <c r="D135" i="13"/>
  <c r="P131" i="13"/>
  <c r="P148" i="13"/>
  <c r="D148" i="13"/>
  <c r="P133" i="13"/>
  <c r="D133" i="13"/>
  <c r="Q155" i="13" l="1"/>
  <c r="M156" i="13"/>
  <c r="Q156" i="13" s="1"/>
  <c r="F124" i="13"/>
  <c r="F128" i="13"/>
  <c r="F125" i="13"/>
  <c r="F129" i="13"/>
  <c r="F126" i="13"/>
  <c r="F130" i="13"/>
  <c r="F123" i="13"/>
  <c r="F127" i="13"/>
  <c r="A116" i="13"/>
  <c r="B116" i="13"/>
  <c r="C116" i="13"/>
  <c r="A117" i="13"/>
  <c r="B117" i="13"/>
  <c r="C117" i="13"/>
  <c r="A118" i="13"/>
  <c r="B118" i="13"/>
  <c r="C118" i="13"/>
  <c r="A119" i="13"/>
  <c r="B119" i="13"/>
  <c r="C119" i="13"/>
  <c r="A120" i="13"/>
  <c r="B120" i="13"/>
  <c r="C120" i="13"/>
  <c r="A121" i="13"/>
  <c r="B121" i="13"/>
  <c r="C121" i="13"/>
  <c r="A122" i="13"/>
  <c r="B122" i="13"/>
  <c r="C122" i="13"/>
  <c r="C115" i="13"/>
  <c r="B11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I95" i="13" s="1"/>
  <c r="A96" i="13"/>
  <c r="I96" i="13" s="1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G121" i="13" l="1"/>
  <c r="N121" i="13"/>
  <c r="O121" i="13" s="1"/>
  <c r="G122" i="13"/>
  <c r="N122" i="13"/>
  <c r="O122" i="13" s="1"/>
  <c r="G118" i="13"/>
  <c r="N118" i="13"/>
  <c r="O118" i="13" s="1"/>
  <c r="G119" i="13"/>
  <c r="N119" i="13"/>
  <c r="O119" i="13" s="1"/>
  <c r="G120" i="13"/>
  <c r="N120" i="13"/>
  <c r="O120" i="13" s="1"/>
  <c r="G116" i="13"/>
  <c r="N116" i="13"/>
  <c r="O116" i="13" s="1"/>
  <c r="G117" i="13"/>
  <c r="N117" i="13"/>
  <c r="O117" i="13" s="1"/>
  <c r="D130" i="13"/>
  <c r="P130" i="13"/>
  <c r="D129" i="13"/>
  <c r="P129" i="13"/>
  <c r="P126" i="13"/>
  <c r="D126" i="13"/>
  <c r="D125" i="13"/>
  <c r="P125" i="13"/>
  <c r="P127" i="13"/>
  <c r="D127" i="13"/>
  <c r="D128" i="13"/>
  <c r="P128" i="13"/>
  <c r="P123" i="13"/>
  <c r="D123" i="13"/>
  <c r="P124" i="13"/>
  <c r="D124" i="13"/>
  <c r="K121" i="13"/>
  <c r="I120" i="13"/>
  <c r="I122" i="13"/>
  <c r="L122" i="13"/>
  <c r="K122" i="13"/>
  <c r="I121" i="13"/>
  <c r="L120" i="13"/>
  <c r="K120" i="13"/>
  <c r="L121" i="13"/>
  <c r="M123" i="13" l="1"/>
  <c r="M144" i="13"/>
  <c r="H122" i="13"/>
  <c r="J122" i="13"/>
  <c r="J120" i="13"/>
  <c r="H120" i="13"/>
  <c r="H121" i="13"/>
  <c r="J121" i="13"/>
  <c r="K118" i="13"/>
  <c r="M178" i="13" l="1"/>
  <c r="Q178" i="13" s="1"/>
  <c r="M136" i="13"/>
  <c r="M133" i="13"/>
  <c r="Q173" i="13"/>
  <c r="L117" i="13"/>
  <c r="H117" i="13" s="1"/>
  <c r="K117" i="13"/>
  <c r="I117" i="13"/>
  <c r="I118" i="13"/>
  <c r="L119" i="13"/>
  <c r="K119" i="13"/>
  <c r="I119" i="13"/>
  <c r="L118" i="13"/>
  <c r="M586" i="13" l="1"/>
  <c r="Q586" i="13" s="1"/>
  <c r="M131" i="13"/>
  <c r="Q131" i="13" s="1"/>
  <c r="M141" i="13"/>
  <c r="Q141" i="13" s="1"/>
  <c r="M148" i="13"/>
  <c r="Q148" i="13" s="1"/>
  <c r="M132" i="13"/>
  <c r="Q132" i="13" s="1"/>
  <c r="M143" i="13"/>
  <c r="Q143" i="13" s="1"/>
  <c r="M140" i="13"/>
  <c r="Q140" i="13" s="1"/>
  <c r="M135" i="13"/>
  <c r="Q135" i="13" s="1"/>
  <c r="M142" i="13"/>
  <c r="Q142" i="13" s="1"/>
  <c r="Q133" i="13"/>
  <c r="M134" i="13"/>
  <c r="Q134" i="13" s="1"/>
  <c r="J117" i="13"/>
  <c r="H119" i="13"/>
  <c r="J119" i="13"/>
  <c r="J118" i="13"/>
  <c r="H118" i="13"/>
  <c r="M137" i="13" l="1"/>
  <c r="Q137" i="13" s="1"/>
  <c r="M138" i="13"/>
  <c r="Q138" i="13" s="1"/>
  <c r="M139" i="13"/>
  <c r="Q139" i="13" s="1"/>
  <c r="M147" i="13"/>
  <c r="Q147" i="13" s="1"/>
  <c r="Q144" i="13"/>
  <c r="M145" i="13"/>
  <c r="Q145" i="13" s="1"/>
  <c r="M146" i="13"/>
  <c r="Q146" i="13" s="1"/>
  <c r="Q136" i="13"/>
  <c r="G111" i="13"/>
  <c r="B111" i="13"/>
  <c r="C111" i="13"/>
  <c r="K112" i="13"/>
  <c r="B112" i="13"/>
  <c r="C112" i="13"/>
  <c r="G113" i="13"/>
  <c r="B113" i="13"/>
  <c r="C113" i="13"/>
  <c r="K115" i="13"/>
  <c r="M125" i="13" l="1"/>
  <c r="N113" i="13"/>
  <c r="O113" i="13" s="1"/>
  <c r="K113" i="13"/>
  <c r="G115" i="13"/>
  <c r="N111" i="13"/>
  <c r="O111" i="13" s="1"/>
  <c r="L111" i="13"/>
  <c r="H111" i="13" s="1"/>
  <c r="K111" i="13"/>
  <c r="K116" i="13"/>
  <c r="N112" i="13"/>
  <c r="O112" i="13" s="1"/>
  <c r="I111" i="13"/>
  <c r="I112" i="13"/>
  <c r="I115" i="13"/>
  <c r="G112" i="13"/>
  <c r="L116" i="13"/>
  <c r="L113" i="13"/>
  <c r="N115" i="13"/>
  <c r="O115" i="13" s="1"/>
  <c r="I116" i="13"/>
  <c r="I113" i="13"/>
  <c r="L115" i="13"/>
  <c r="L112" i="13"/>
  <c r="F117" i="13"/>
  <c r="F116" i="13"/>
  <c r="F115" i="13"/>
  <c r="F112" i="13"/>
  <c r="D112" i="13" s="1"/>
  <c r="M127" i="13" l="1"/>
  <c r="Q127" i="13" s="1"/>
  <c r="M130" i="13"/>
  <c r="Q130" i="13" s="1"/>
  <c r="M128" i="13"/>
  <c r="Q128" i="13" s="1"/>
  <c r="M129" i="13"/>
  <c r="Q129" i="13" s="1"/>
  <c r="M126" i="13"/>
  <c r="M124" i="13"/>
  <c r="D116" i="13"/>
  <c r="D115" i="13"/>
  <c r="F113" i="13"/>
  <c r="F111" i="13"/>
  <c r="P112" i="13"/>
  <c r="P116" i="13"/>
  <c r="P115" i="13"/>
  <c r="J111" i="13"/>
  <c r="J112" i="13"/>
  <c r="H112" i="13"/>
  <c r="H113" i="13"/>
  <c r="J113" i="13"/>
  <c r="H116" i="13"/>
  <c r="J116" i="13"/>
  <c r="H115" i="13"/>
  <c r="J115" i="13"/>
  <c r="G110" i="13"/>
  <c r="B110" i="13"/>
  <c r="C110" i="13"/>
  <c r="B108" i="13"/>
  <c r="C108" i="13"/>
  <c r="K109" i="13"/>
  <c r="B109" i="13"/>
  <c r="C109" i="13"/>
  <c r="P111" i="13" l="1"/>
  <c r="D111" i="13"/>
  <c r="D113" i="13"/>
  <c r="P113" i="13"/>
  <c r="L110" i="13"/>
  <c r="K110" i="13"/>
  <c r="N110" i="13"/>
  <c r="O110" i="13" s="1"/>
  <c r="I110" i="13"/>
  <c r="I108" i="13"/>
  <c r="G109" i="13"/>
  <c r="N108" i="13"/>
  <c r="O108" i="13" s="1"/>
  <c r="I109" i="13"/>
  <c r="L108" i="13"/>
  <c r="K108" i="13"/>
  <c r="N109" i="13"/>
  <c r="O109" i="13" s="1"/>
  <c r="L109" i="13"/>
  <c r="H110" i="13" l="1"/>
  <c r="J110" i="13"/>
  <c r="H108" i="13"/>
  <c r="J108" i="13"/>
  <c r="H109" i="13"/>
  <c r="J109" i="13"/>
  <c r="S155" i="12"/>
  <c r="R155" i="12"/>
  <c r="G155" i="12"/>
  <c r="F155" i="12"/>
  <c r="E155" i="12"/>
  <c r="D155" i="12"/>
  <c r="C155" i="12"/>
  <c r="B155" i="12"/>
  <c r="S154" i="12"/>
  <c r="R154" i="12"/>
  <c r="G154" i="12"/>
  <c r="F154" i="12"/>
  <c r="E154" i="12"/>
  <c r="D154" i="12"/>
  <c r="C154" i="12"/>
  <c r="B154" i="12"/>
  <c r="G106" i="13" l="1"/>
  <c r="B106" i="13"/>
  <c r="C106" i="13"/>
  <c r="K107" i="13"/>
  <c r="B107" i="13"/>
  <c r="C107" i="13"/>
  <c r="B81" i="13"/>
  <c r="C81" i="13"/>
  <c r="K82" i="13"/>
  <c r="B82" i="13"/>
  <c r="C82" i="13"/>
  <c r="G83" i="13"/>
  <c r="B83" i="13"/>
  <c r="C83" i="13"/>
  <c r="I84" i="13"/>
  <c r="B84" i="13"/>
  <c r="C84" i="13"/>
  <c r="K85" i="13"/>
  <c r="B85" i="13"/>
  <c r="C85" i="13"/>
  <c r="G86" i="13"/>
  <c r="B86" i="13"/>
  <c r="C86" i="13"/>
  <c r="I87" i="13"/>
  <c r="B87" i="13"/>
  <c r="C87" i="13"/>
  <c r="K88" i="13"/>
  <c r="B88" i="13"/>
  <c r="C88" i="13"/>
  <c r="G89" i="13"/>
  <c r="B89" i="13"/>
  <c r="C89" i="13"/>
  <c r="I90" i="13"/>
  <c r="B90" i="13"/>
  <c r="C90" i="13"/>
  <c r="K91" i="13"/>
  <c r="B91" i="13"/>
  <c r="C91" i="13"/>
  <c r="G92" i="13"/>
  <c r="B92" i="13"/>
  <c r="C92" i="13"/>
  <c r="I93" i="13"/>
  <c r="B93" i="13"/>
  <c r="C93" i="13"/>
  <c r="K94" i="13"/>
  <c r="B94" i="13"/>
  <c r="C94" i="13"/>
  <c r="G95" i="13"/>
  <c r="B95" i="13"/>
  <c r="C95" i="13"/>
  <c r="B96" i="13"/>
  <c r="C96" i="13"/>
  <c r="K97" i="13"/>
  <c r="B97" i="13"/>
  <c r="C97" i="13"/>
  <c r="G98" i="13"/>
  <c r="B98" i="13"/>
  <c r="C98" i="13"/>
  <c r="I99" i="13"/>
  <c r="B99" i="13"/>
  <c r="C99" i="13"/>
  <c r="K100" i="13"/>
  <c r="B100" i="13"/>
  <c r="C100" i="13"/>
  <c r="G101" i="13"/>
  <c r="B101" i="13"/>
  <c r="C101" i="13"/>
  <c r="I102" i="13"/>
  <c r="B102" i="13"/>
  <c r="C102" i="13"/>
  <c r="K103" i="13"/>
  <c r="B103" i="13"/>
  <c r="C103" i="13"/>
  <c r="G104" i="13"/>
  <c r="B104" i="13"/>
  <c r="C104" i="13"/>
  <c r="I105" i="13"/>
  <c r="B105" i="13"/>
  <c r="C105" i="13"/>
  <c r="M112" i="13" l="1"/>
  <c r="Q112" i="13" s="1"/>
  <c r="M113" i="13"/>
  <c r="Q113" i="13" s="1"/>
  <c r="M111" i="13"/>
  <c r="Q111" i="13" s="1"/>
  <c r="L84" i="13"/>
  <c r="H84" i="13" s="1"/>
  <c r="N84" i="13"/>
  <c r="O84" i="13" s="1"/>
  <c r="K84" i="13"/>
  <c r="N99" i="13"/>
  <c r="O99" i="13" s="1"/>
  <c r="N81" i="13"/>
  <c r="O81" i="13" s="1"/>
  <c r="N86" i="13"/>
  <c r="O86" i="13" s="1"/>
  <c r="L105" i="13"/>
  <c r="H105" i="13" s="1"/>
  <c r="G105" i="13"/>
  <c r="L81" i="13"/>
  <c r="H81" i="13" s="1"/>
  <c r="K105" i="13"/>
  <c r="G103" i="13"/>
  <c r="K92" i="13"/>
  <c r="G97" i="13"/>
  <c r="K96" i="13"/>
  <c r="K95" i="13"/>
  <c r="G94" i="13"/>
  <c r="G88" i="13"/>
  <c r="K86" i="13"/>
  <c r="N105" i="13"/>
  <c r="O105" i="13" s="1"/>
  <c r="G99" i="13"/>
  <c r="L99" i="13"/>
  <c r="H99" i="13" s="1"/>
  <c r="K81" i="13"/>
  <c r="K99" i="13"/>
  <c r="N88" i="13"/>
  <c r="O88" i="13" s="1"/>
  <c r="N83" i="13"/>
  <c r="O83" i="13" s="1"/>
  <c r="I81" i="13"/>
  <c r="K83" i="13"/>
  <c r="N90" i="13"/>
  <c r="O90" i="13" s="1"/>
  <c r="G85" i="13"/>
  <c r="N101" i="13"/>
  <c r="O101" i="13" s="1"/>
  <c r="G96" i="13"/>
  <c r="K101" i="13"/>
  <c r="L90" i="13"/>
  <c r="H90" i="13" s="1"/>
  <c r="K90" i="13"/>
  <c r="K98" i="13"/>
  <c r="G90" i="13"/>
  <c r="G87" i="13"/>
  <c r="N82" i="13"/>
  <c r="O82" i="13" s="1"/>
  <c r="N103" i="13"/>
  <c r="O103" i="13" s="1"/>
  <c r="N95" i="13"/>
  <c r="O95" i="13" s="1"/>
  <c r="N92" i="13"/>
  <c r="O92" i="13" s="1"/>
  <c r="N106" i="13"/>
  <c r="O106" i="13" s="1"/>
  <c r="L106" i="13"/>
  <c r="H106" i="13" s="1"/>
  <c r="G84" i="13"/>
  <c r="G82" i="13"/>
  <c r="K106" i="13"/>
  <c r="K93" i="13"/>
  <c r="N91" i="13"/>
  <c r="O91" i="13" s="1"/>
  <c r="N89" i="13"/>
  <c r="O89" i="13" s="1"/>
  <c r="N87" i="13"/>
  <c r="O87" i="13" s="1"/>
  <c r="I106" i="13"/>
  <c r="N93" i="13"/>
  <c r="O93" i="13" s="1"/>
  <c r="L93" i="13"/>
  <c r="H93" i="13" s="1"/>
  <c r="K89" i="13"/>
  <c r="N104" i="13"/>
  <c r="O104" i="13" s="1"/>
  <c r="N102" i="13"/>
  <c r="O102" i="13" s="1"/>
  <c r="G93" i="13"/>
  <c r="G91" i="13"/>
  <c r="K104" i="13"/>
  <c r="L102" i="13"/>
  <c r="H102" i="13" s="1"/>
  <c r="K102" i="13"/>
  <c r="G100" i="13"/>
  <c r="N96" i="13"/>
  <c r="O96" i="13" s="1"/>
  <c r="L87" i="13"/>
  <c r="H87" i="13" s="1"/>
  <c r="G102" i="13"/>
  <c r="N98" i="13"/>
  <c r="O98" i="13" s="1"/>
  <c r="L96" i="13"/>
  <c r="H96" i="13" s="1"/>
  <c r="K87" i="13"/>
  <c r="N85" i="13"/>
  <c r="O85" i="13" s="1"/>
  <c r="N107" i="13"/>
  <c r="O107" i="13" s="1"/>
  <c r="I107" i="13"/>
  <c r="G107" i="13"/>
  <c r="L107" i="13"/>
  <c r="I103" i="13"/>
  <c r="I100" i="13"/>
  <c r="I97" i="13"/>
  <c r="I94" i="13"/>
  <c r="I91" i="13"/>
  <c r="I88" i="13"/>
  <c r="I85" i="13"/>
  <c r="I82" i="13"/>
  <c r="L104" i="13"/>
  <c r="L101" i="13"/>
  <c r="L98" i="13"/>
  <c r="L95" i="13"/>
  <c r="L92" i="13"/>
  <c r="L89" i="13"/>
  <c r="L86" i="13"/>
  <c r="L83" i="13"/>
  <c r="N100" i="13"/>
  <c r="N97" i="13"/>
  <c r="N94" i="13"/>
  <c r="L82" i="13"/>
  <c r="I104" i="13"/>
  <c r="I101" i="13"/>
  <c r="I98" i="13"/>
  <c r="I92" i="13"/>
  <c r="I89" i="13"/>
  <c r="I86" i="13"/>
  <c r="I83" i="13"/>
  <c r="L103" i="13"/>
  <c r="L100" i="13"/>
  <c r="L97" i="13"/>
  <c r="L94" i="13"/>
  <c r="L91" i="13"/>
  <c r="L88" i="13"/>
  <c r="L85" i="13"/>
  <c r="M115" i="13" l="1"/>
  <c r="Q115" i="13" s="1"/>
  <c r="M116" i="13"/>
  <c r="J84" i="13"/>
  <c r="J105" i="13"/>
  <c r="J90" i="13"/>
  <c r="J99" i="13"/>
  <c r="J81" i="13"/>
  <c r="J106" i="13"/>
  <c r="J102" i="13"/>
  <c r="J87" i="13"/>
  <c r="J96" i="13"/>
  <c r="J93" i="13"/>
  <c r="H107" i="13"/>
  <c r="J107" i="13"/>
  <c r="O97" i="13"/>
  <c r="O94" i="13"/>
  <c r="O100" i="13"/>
  <c r="H104" i="13"/>
  <c r="J104" i="13"/>
  <c r="H82" i="13"/>
  <c r="J82" i="13"/>
  <c r="H85" i="13"/>
  <c r="J85" i="13"/>
  <c r="J83" i="13"/>
  <c r="H83" i="13"/>
  <c r="H103" i="13"/>
  <c r="J103" i="13"/>
  <c r="J88" i="13"/>
  <c r="H88" i="13"/>
  <c r="H86" i="13"/>
  <c r="J86" i="13"/>
  <c r="H91" i="13"/>
  <c r="J91" i="13"/>
  <c r="H89" i="13"/>
  <c r="J89" i="13"/>
  <c r="J94" i="13"/>
  <c r="H94" i="13"/>
  <c r="H92" i="13"/>
  <c r="J92" i="13"/>
  <c r="H97" i="13"/>
  <c r="J97" i="13"/>
  <c r="H95" i="13"/>
  <c r="J95" i="13"/>
  <c r="J100" i="13"/>
  <c r="H100" i="13"/>
  <c r="H98" i="13"/>
  <c r="J98" i="13"/>
  <c r="H101" i="13"/>
  <c r="J101" i="13"/>
  <c r="M117" i="13" l="1"/>
  <c r="Q116" i="13"/>
  <c r="F91" i="13" l="1"/>
  <c r="D91" i="13" s="1"/>
  <c r="F95" i="13"/>
  <c r="F84" i="13"/>
  <c r="F88" i="13"/>
  <c r="F92" i="13"/>
  <c r="F96" i="13"/>
  <c r="F100" i="13"/>
  <c r="F104" i="13"/>
  <c r="F85" i="13"/>
  <c r="F89" i="13"/>
  <c r="F93" i="13"/>
  <c r="F97" i="13"/>
  <c r="F101" i="13"/>
  <c r="F105" i="13"/>
  <c r="F99" i="13"/>
  <c r="F103" i="13"/>
  <c r="F86" i="13"/>
  <c r="F90" i="13"/>
  <c r="F94" i="13"/>
  <c r="F98" i="13"/>
  <c r="F102" i="13"/>
  <c r="F106" i="13"/>
  <c r="F83" i="13"/>
  <c r="F87" i="13"/>
  <c r="P91" i="13" l="1"/>
  <c r="D87" i="13"/>
  <c r="P87" i="13"/>
  <c r="P90" i="13"/>
  <c r="D90" i="13"/>
  <c r="D97" i="13"/>
  <c r="P97" i="13"/>
  <c r="P96" i="13"/>
  <c r="D96" i="13"/>
  <c r="D83" i="13"/>
  <c r="P83" i="13"/>
  <c r="D86" i="13"/>
  <c r="P86" i="13"/>
  <c r="P93" i="13"/>
  <c r="D93" i="13"/>
  <c r="D92" i="13"/>
  <c r="P92" i="13"/>
  <c r="P106" i="13"/>
  <c r="D106" i="13"/>
  <c r="P103" i="13"/>
  <c r="D103" i="13"/>
  <c r="D89" i="13"/>
  <c r="P89" i="13"/>
  <c r="P88" i="13"/>
  <c r="D88" i="13"/>
  <c r="P102" i="13"/>
  <c r="D102" i="13"/>
  <c r="D99" i="13"/>
  <c r="P99" i="13"/>
  <c r="P85" i="13"/>
  <c r="D85" i="13"/>
  <c r="D84" i="13"/>
  <c r="P84" i="13"/>
  <c r="D98" i="13"/>
  <c r="P98" i="13"/>
  <c r="D105" i="13"/>
  <c r="P105" i="13"/>
  <c r="D104" i="13"/>
  <c r="P104" i="13"/>
  <c r="D95" i="13"/>
  <c r="P95" i="13"/>
  <c r="P94" i="13"/>
  <c r="D94" i="13"/>
  <c r="D101" i="13"/>
  <c r="P101" i="13"/>
  <c r="D100" i="13"/>
  <c r="P100" i="13"/>
  <c r="G78" i="13"/>
  <c r="B78" i="13"/>
  <c r="C78" i="13"/>
  <c r="I79" i="13"/>
  <c r="B79" i="13"/>
  <c r="C79" i="13"/>
  <c r="G80" i="13"/>
  <c r="B80" i="13"/>
  <c r="C80" i="13"/>
  <c r="I74" i="13"/>
  <c r="B74" i="13"/>
  <c r="C74" i="13"/>
  <c r="G75" i="13"/>
  <c r="B75" i="13"/>
  <c r="C75" i="13"/>
  <c r="I76" i="13"/>
  <c r="B76" i="13"/>
  <c r="C76" i="13"/>
  <c r="G77" i="13"/>
  <c r="B77" i="13"/>
  <c r="C77" i="13"/>
  <c r="L76" i="13" l="1"/>
  <c r="H76" i="13" s="1"/>
  <c r="G76" i="13"/>
  <c r="N77" i="13"/>
  <c r="O77" i="13" s="1"/>
  <c r="L77" i="13"/>
  <c r="H77" i="13" s="1"/>
  <c r="N74" i="13"/>
  <c r="O74" i="13" s="1"/>
  <c r="N79" i="13"/>
  <c r="O79" i="13" s="1"/>
  <c r="L79" i="13"/>
  <c r="H79" i="13" s="1"/>
  <c r="G79" i="13"/>
  <c r="K77" i="13"/>
  <c r="N75" i="13"/>
  <c r="O75" i="13" s="1"/>
  <c r="I77" i="13"/>
  <c r="L75" i="13"/>
  <c r="H75" i="13" s="1"/>
  <c r="N80" i="13"/>
  <c r="O80" i="13" s="1"/>
  <c r="K75" i="13"/>
  <c r="L80" i="13"/>
  <c r="H80" i="13" s="1"/>
  <c r="I75" i="13"/>
  <c r="K80" i="13"/>
  <c r="N78" i="13"/>
  <c r="O78" i="13" s="1"/>
  <c r="I80" i="13"/>
  <c r="L78" i="13"/>
  <c r="H78" i="13" s="1"/>
  <c r="K78" i="13"/>
  <c r="N76" i="13"/>
  <c r="O76" i="13" s="1"/>
  <c r="I78" i="13"/>
  <c r="L74" i="13"/>
  <c r="H74" i="13" s="1"/>
  <c r="K76" i="13"/>
  <c r="K74" i="13"/>
  <c r="K79" i="13"/>
  <c r="J77" i="13" l="1"/>
  <c r="J76" i="13"/>
  <c r="J79" i="13"/>
  <c r="J75" i="13"/>
  <c r="J80" i="13"/>
  <c r="J78" i="13"/>
  <c r="J74" i="13"/>
  <c r="M86" i="13" l="1"/>
  <c r="Q86" i="13" s="1"/>
  <c r="M93" i="13"/>
  <c r="Q93" i="13" s="1"/>
  <c r="M90" i="13"/>
  <c r="Q90" i="13" s="1"/>
  <c r="M97" i="13"/>
  <c r="Q97" i="13" s="1"/>
  <c r="M88" i="13"/>
  <c r="Q88" i="13" s="1"/>
  <c r="C73" i="13"/>
  <c r="B73" i="13"/>
  <c r="I73" i="13"/>
  <c r="L71" i="13"/>
  <c r="J71" i="13" s="1"/>
  <c r="B71" i="13"/>
  <c r="C71" i="13"/>
  <c r="N72" i="13"/>
  <c r="B72" i="13"/>
  <c r="C72" i="13"/>
  <c r="M95" i="13" l="1"/>
  <c r="Q95" i="13" s="1"/>
  <c r="M99" i="13"/>
  <c r="Q99" i="13" s="1"/>
  <c r="M89" i="13"/>
  <c r="Q89" i="13" s="1"/>
  <c r="M91" i="13"/>
  <c r="Q91" i="13" s="1"/>
  <c r="M84" i="13"/>
  <c r="Q84" i="13" s="1"/>
  <c r="M83" i="13"/>
  <c r="Q83" i="13" s="1"/>
  <c r="M98" i="13"/>
  <c r="Q98" i="13" s="1"/>
  <c r="O72" i="13"/>
  <c r="G71" i="13"/>
  <c r="K71" i="13"/>
  <c r="N71" i="13"/>
  <c r="O71" i="13" s="1"/>
  <c r="N73" i="13"/>
  <c r="O73" i="13" s="1"/>
  <c r="L73" i="13"/>
  <c r="H73" i="13" s="1"/>
  <c r="G73" i="13"/>
  <c r="I72" i="13"/>
  <c r="L72" i="13"/>
  <c r="H72" i="13" s="1"/>
  <c r="K73" i="13"/>
  <c r="G72" i="13"/>
  <c r="K72" i="13"/>
  <c r="I71" i="13"/>
  <c r="H71" i="13"/>
  <c r="B156" i="12"/>
  <c r="C156" i="12"/>
  <c r="D156" i="12"/>
  <c r="E156" i="12"/>
  <c r="F156" i="12"/>
  <c r="B157" i="12"/>
  <c r="C157" i="12"/>
  <c r="D157" i="12"/>
  <c r="E157" i="12"/>
  <c r="F157" i="12"/>
  <c r="G156" i="12"/>
  <c r="G157" i="12"/>
  <c r="R156" i="12"/>
  <c r="R157" i="12"/>
  <c r="F72" i="13"/>
  <c r="D72" i="13" s="1"/>
  <c r="F71" i="13"/>
  <c r="D71" i="13" s="1"/>
  <c r="M94" i="13" l="1"/>
  <c r="Q94" i="13" s="1"/>
  <c r="M105" i="13"/>
  <c r="Q105" i="13" s="1"/>
  <c r="M103" i="13"/>
  <c r="Q103" i="13" s="1"/>
  <c r="M96" i="13"/>
  <c r="Q96" i="13" s="1"/>
  <c r="M101" i="13"/>
  <c r="Q101" i="13" s="1"/>
  <c r="M87" i="13"/>
  <c r="Q87" i="13" s="1"/>
  <c r="M106" i="13"/>
  <c r="Q106" i="13" s="1"/>
  <c r="M85" i="13"/>
  <c r="Q85" i="13" s="1"/>
  <c r="M92" i="13"/>
  <c r="Q92" i="13" s="1"/>
  <c r="M104" i="13"/>
  <c r="Q104" i="13" s="1"/>
  <c r="M100" i="13"/>
  <c r="Q100" i="13" s="1"/>
  <c r="F81" i="13"/>
  <c r="F73" i="13"/>
  <c r="D73" i="13" s="1"/>
  <c r="J73" i="13"/>
  <c r="J72" i="13"/>
  <c r="F79" i="13"/>
  <c r="F78" i="13"/>
  <c r="P71" i="13"/>
  <c r="F76" i="13"/>
  <c r="F77" i="13"/>
  <c r="F74" i="13"/>
  <c r="F75" i="13"/>
  <c r="F80" i="13"/>
  <c r="P72" i="13"/>
  <c r="G67" i="13"/>
  <c r="B67" i="13"/>
  <c r="C67" i="13"/>
  <c r="G68" i="13"/>
  <c r="B68" i="13"/>
  <c r="C68" i="13"/>
  <c r="G69" i="13"/>
  <c r="B69" i="13"/>
  <c r="C69" i="13"/>
  <c r="G70" i="13"/>
  <c r="B70" i="13"/>
  <c r="C70" i="13"/>
  <c r="M102" i="13" l="1"/>
  <c r="Q102" i="13" s="1"/>
  <c r="D81" i="13"/>
  <c r="P81" i="13"/>
  <c r="P73" i="13"/>
  <c r="N69" i="13"/>
  <c r="O69" i="13" s="1"/>
  <c r="N70" i="13"/>
  <c r="O70" i="13" s="1"/>
  <c r="L70" i="13"/>
  <c r="H70" i="13" s="1"/>
  <c r="L69" i="13"/>
  <c r="H69" i="13" s="1"/>
  <c r="N68" i="13"/>
  <c r="O68" i="13" s="1"/>
  <c r="N67" i="13"/>
  <c r="O67" i="13" s="1"/>
  <c r="D78" i="13"/>
  <c r="P78" i="13"/>
  <c r="D80" i="13"/>
  <c r="P80" i="13"/>
  <c r="D76" i="13"/>
  <c r="P76" i="13"/>
  <c r="D79" i="13"/>
  <c r="P79" i="13"/>
  <c r="D75" i="13"/>
  <c r="P75" i="13"/>
  <c r="D74" i="13"/>
  <c r="P74" i="13"/>
  <c r="D77" i="13"/>
  <c r="P77" i="13"/>
  <c r="L68" i="13"/>
  <c r="H68" i="13" s="1"/>
  <c r="L67" i="13"/>
  <c r="H67" i="13" s="1"/>
  <c r="K70" i="13"/>
  <c r="I70" i="13"/>
  <c r="K69" i="13"/>
  <c r="I69" i="13"/>
  <c r="K68" i="13"/>
  <c r="I68" i="13"/>
  <c r="K67" i="13"/>
  <c r="I67" i="13"/>
  <c r="J69" i="13" l="1"/>
  <c r="J70" i="13"/>
  <c r="J68" i="13"/>
  <c r="J67" i="13"/>
  <c r="F107" i="13" l="1"/>
  <c r="F82" i="13"/>
  <c r="F70" i="13"/>
  <c r="D70" i="13" s="1"/>
  <c r="F69" i="13"/>
  <c r="F68" i="13"/>
  <c r="F67" i="13"/>
  <c r="D82" i="13" l="1"/>
  <c r="P82" i="13"/>
  <c r="D107" i="13"/>
  <c r="P107" i="13"/>
  <c r="P70" i="13"/>
  <c r="D68" i="13"/>
  <c r="P68" i="13"/>
  <c r="D67" i="13"/>
  <c r="P67" i="13"/>
  <c r="D69" i="13"/>
  <c r="P69" i="13"/>
  <c r="K63" i="13"/>
  <c r="B63" i="13"/>
  <c r="C63" i="13"/>
  <c r="I64" i="13"/>
  <c r="B64" i="13"/>
  <c r="C64" i="13"/>
  <c r="G65" i="13"/>
  <c r="B65" i="13"/>
  <c r="C65" i="13"/>
  <c r="I66" i="13"/>
  <c r="B66" i="13"/>
  <c r="C66" i="13"/>
  <c r="M10" i="13"/>
  <c r="M75" i="13" l="1"/>
  <c r="Q75" i="13" s="1"/>
  <c r="M71" i="13"/>
  <c r="Q71" i="13" s="1"/>
  <c r="N64" i="13"/>
  <c r="O64" i="13" s="1"/>
  <c r="M81" i="13"/>
  <c r="Q81" i="13" s="1"/>
  <c r="M78" i="13"/>
  <c r="Q78" i="13" s="1"/>
  <c r="M76" i="13"/>
  <c r="Q76" i="13" s="1"/>
  <c r="G64" i="13"/>
  <c r="G66" i="13"/>
  <c r="N65" i="13"/>
  <c r="O65" i="13" s="1"/>
  <c r="L65" i="13"/>
  <c r="H65" i="13" s="1"/>
  <c r="I65" i="13"/>
  <c r="N63" i="13"/>
  <c r="O63" i="13" s="1"/>
  <c r="N66" i="13"/>
  <c r="O66" i="13" s="1"/>
  <c r="I63" i="13"/>
  <c r="L66" i="13"/>
  <c r="H66" i="13" s="1"/>
  <c r="L64" i="13"/>
  <c r="H64" i="13" s="1"/>
  <c r="K66" i="13"/>
  <c r="K64" i="13"/>
  <c r="L63" i="13"/>
  <c r="H63" i="13" s="1"/>
  <c r="K65" i="13"/>
  <c r="M79" i="13" l="1"/>
  <c r="Q79" i="13" s="1"/>
  <c r="M73" i="13"/>
  <c r="Q73" i="13" s="1"/>
  <c r="M72" i="13"/>
  <c r="Q72" i="13" s="1"/>
  <c r="M77" i="13"/>
  <c r="Q77" i="13" s="1"/>
  <c r="J65" i="13"/>
  <c r="M74" i="13"/>
  <c r="Q74" i="13" s="1"/>
  <c r="J63" i="13"/>
  <c r="J64" i="13"/>
  <c r="J66" i="13"/>
  <c r="M67" i="13" l="1"/>
  <c r="Q67" i="13" s="1"/>
  <c r="M70" i="13"/>
  <c r="Q70" i="13" s="1"/>
  <c r="M80" i="13"/>
  <c r="Q80" i="13" s="1"/>
  <c r="M107" i="13" l="1"/>
  <c r="Q107" i="13" s="1"/>
  <c r="M82" i="13"/>
  <c r="Q82" i="13" s="1"/>
  <c r="M69" i="13"/>
  <c r="Q69" i="13" s="1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I61" i="13"/>
  <c r="I62" i="13"/>
  <c r="I54" i="13"/>
  <c r="G55" i="13"/>
  <c r="G56" i="13"/>
  <c r="I57" i="13"/>
  <c r="I58" i="13"/>
  <c r="G59" i="13"/>
  <c r="G60" i="13"/>
  <c r="M68" i="13" l="1"/>
  <c r="Q68" i="13" s="1"/>
  <c r="G54" i="13"/>
  <c r="N60" i="13"/>
  <c r="O60" i="13" s="1"/>
  <c r="G58" i="13"/>
  <c r="I56" i="13"/>
  <c r="N56" i="13"/>
  <c r="O56" i="13" s="1"/>
  <c r="G62" i="13"/>
  <c r="I60" i="13"/>
  <c r="K62" i="13"/>
  <c r="L60" i="13"/>
  <c r="H60" i="13" s="1"/>
  <c r="K58" i="13"/>
  <c r="L56" i="13"/>
  <c r="H56" i="13" s="1"/>
  <c r="K54" i="13"/>
  <c r="N61" i="13"/>
  <c r="O61" i="13" s="1"/>
  <c r="K61" i="13"/>
  <c r="G61" i="13"/>
  <c r="L59" i="13"/>
  <c r="J59" i="13" s="1"/>
  <c r="I59" i="13"/>
  <c r="N57" i="13"/>
  <c r="O57" i="13" s="1"/>
  <c r="K57" i="13"/>
  <c r="G57" i="13"/>
  <c r="L55" i="13"/>
  <c r="J55" i="13" s="1"/>
  <c r="I55" i="13"/>
  <c r="N53" i="13"/>
  <c r="O53" i="13" s="1"/>
  <c r="K53" i="13"/>
  <c r="N62" i="13"/>
  <c r="O62" i="13" s="1"/>
  <c r="L62" i="13"/>
  <c r="L61" i="13"/>
  <c r="K60" i="13"/>
  <c r="N59" i="13"/>
  <c r="O59" i="13" s="1"/>
  <c r="K59" i="13"/>
  <c r="N58" i="13"/>
  <c r="O58" i="13" s="1"/>
  <c r="L58" i="13"/>
  <c r="J58" i="13" s="1"/>
  <c r="L57" i="13"/>
  <c r="K56" i="13"/>
  <c r="N55" i="13"/>
  <c r="O55" i="13" s="1"/>
  <c r="K55" i="13"/>
  <c r="N54" i="13"/>
  <c r="O54" i="13" s="1"/>
  <c r="L54" i="13"/>
  <c r="L53" i="13"/>
  <c r="J53" i="13" s="1"/>
  <c r="I53" i="13"/>
  <c r="J56" i="13" l="1"/>
  <c r="J60" i="13"/>
  <c r="H55" i="13"/>
  <c r="J57" i="13"/>
  <c r="J61" i="13"/>
  <c r="H61" i="13"/>
  <c r="H53" i="13"/>
  <c r="H54" i="13"/>
  <c r="H62" i="13"/>
  <c r="J54" i="13"/>
  <c r="J62" i="13"/>
  <c r="H57" i="13"/>
  <c r="H59" i="13"/>
  <c r="H58" i="13"/>
  <c r="F118" i="13"/>
  <c r="F63" i="13"/>
  <c r="F61" i="13"/>
  <c r="D61" i="13" s="1"/>
  <c r="F60" i="13"/>
  <c r="F59" i="13"/>
  <c r="F58" i="13"/>
  <c r="D58" i="13" s="1"/>
  <c r="F57" i="13"/>
  <c r="D57" i="13" s="1"/>
  <c r="F56" i="13"/>
  <c r="F55" i="13"/>
  <c r="F109" i="13" l="1"/>
  <c r="D109" i="13" s="1"/>
  <c r="F110" i="13"/>
  <c r="P110" i="13" s="1"/>
  <c r="F108" i="13"/>
  <c r="P57" i="13"/>
  <c r="F54" i="13"/>
  <c r="D56" i="13"/>
  <c r="P56" i="13"/>
  <c r="D59" i="13"/>
  <c r="P59" i="13"/>
  <c r="D60" i="13"/>
  <c r="P60" i="13"/>
  <c r="D63" i="13"/>
  <c r="P63" i="13"/>
  <c r="F65" i="13"/>
  <c r="F66" i="13"/>
  <c r="P58" i="13"/>
  <c r="D55" i="13"/>
  <c r="P55" i="13"/>
  <c r="F62" i="13"/>
  <c r="F64" i="13"/>
  <c r="P61" i="13"/>
  <c r="D110" i="13" l="1"/>
  <c r="D117" i="13"/>
  <c r="P117" i="13"/>
  <c r="P109" i="13"/>
  <c r="D108" i="13"/>
  <c r="P108" i="13"/>
  <c r="D62" i="13"/>
  <c r="P62" i="13"/>
  <c r="D66" i="13"/>
  <c r="P66" i="13"/>
  <c r="D64" i="13"/>
  <c r="P64" i="13"/>
  <c r="D65" i="13"/>
  <c r="P65" i="13"/>
  <c r="D54" i="13"/>
  <c r="P54" i="13"/>
  <c r="Q117" i="13" l="1"/>
  <c r="M118" i="13"/>
  <c r="M21" i="13"/>
  <c r="M55" i="13" l="1"/>
  <c r="Q55" i="13" s="1"/>
  <c r="M60" i="13" l="1"/>
  <c r="Q60" i="13" s="1"/>
  <c r="M62" i="13"/>
  <c r="Q62" i="13" s="1"/>
  <c r="M63" i="13"/>
  <c r="Q63" i="13" s="1"/>
  <c r="M56" i="13"/>
  <c r="Q56" i="13" s="1"/>
  <c r="M58" i="13"/>
  <c r="Q58" i="13" s="1"/>
  <c r="M66" i="13"/>
  <c r="Q66" i="13" s="1"/>
  <c r="M54" i="13"/>
  <c r="Q54" i="13" s="1"/>
  <c r="M61" i="13"/>
  <c r="Q61" i="13" s="1"/>
  <c r="M108" i="13"/>
  <c r="Q108" i="13" s="1"/>
  <c r="M65" i="13"/>
  <c r="Q65" i="13" s="1"/>
  <c r="N52" i="13"/>
  <c r="B52" i="13"/>
  <c r="C52" i="13"/>
  <c r="G48" i="13"/>
  <c r="B48" i="13"/>
  <c r="C48" i="13"/>
  <c r="I49" i="13"/>
  <c r="B49" i="13"/>
  <c r="C49" i="13"/>
  <c r="K50" i="13"/>
  <c r="B50" i="13"/>
  <c r="C50" i="13"/>
  <c r="I51" i="13"/>
  <c r="B51" i="13"/>
  <c r="C51" i="13"/>
  <c r="M59" i="13" l="1"/>
  <c r="Q59" i="13" s="1"/>
  <c r="M57" i="13"/>
  <c r="Q57" i="13" s="1"/>
  <c r="M109" i="13"/>
  <c r="Q109" i="13" s="1"/>
  <c r="M64" i="13"/>
  <c r="Q64" i="13" s="1"/>
  <c r="L48" i="13"/>
  <c r="H48" i="13" s="1"/>
  <c r="L52" i="13"/>
  <c r="H52" i="13" s="1"/>
  <c r="I50" i="13"/>
  <c r="K52" i="13"/>
  <c r="G51" i="13"/>
  <c r="N49" i="13"/>
  <c r="O49" i="13" s="1"/>
  <c r="K51" i="13"/>
  <c r="N50" i="13"/>
  <c r="O50" i="13" s="1"/>
  <c r="G50" i="13"/>
  <c r="N51" i="13"/>
  <c r="O51" i="13" s="1"/>
  <c r="L50" i="13"/>
  <c r="J50" i="13" s="1"/>
  <c r="I48" i="13"/>
  <c r="L51" i="13"/>
  <c r="J51" i="13" s="1"/>
  <c r="K49" i="13"/>
  <c r="I52" i="13"/>
  <c r="G52" i="13"/>
  <c r="L49" i="13"/>
  <c r="J49" i="13" s="1"/>
  <c r="G49" i="13"/>
  <c r="N48" i="13"/>
  <c r="O48" i="13" s="1"/>
  <c r="K48" i="13"/>
  <c r="O52" i="13"/>
  <c r="M110" i="13" l="1"/>
  <c r="Q110" i="13" s="1"/>
  <c r="J52" i="13"/>
  <c r="J48" i="13"/>
  <c r="H51" i="13"/>
  <c r="H50" i="13"/>
  <c r="H49" i="13"/>
  <c r="C46" i="13" l="1"/>
  <c r="C47" i="13"/>
  <c r="B46" i="13"/>
  <c r="B47" i="13"/>
  <c r="I47" i="13"/>
  <c r="N47" i="13" l="1"/>
  <c r="O47" i="13" s="1"/>
  <c r="G47" i="13"/>
  <c r="L47" i="13"/>
  <c r="K47" i="13"/>
  <c r="H47" i="13" l="1"/>
  <c r="J47" i="13"/>
  <c r="N46" i="13"/>
  <c r="O46" i="13" s="1"/>
  <c r="L46" i="13"/>
  <c r="K46" i="13"/>
  <c r="I46" i="13"/>
  <c r="G46" i="13"/>
  <c r="C42" i="13"/>
  <c r="C43" i="13"/>
  <c r="C44" i="13"/>
  <c r="C45" i="13"/>
  <c r="B42" i="13"/>
  <c r="B43" i="13"/>
  <c r="B44" i="13"/>
  <c r="B45" i="13"/>
  <c r="I43" i="13"/>
  <c r="N44" i="13"/>
  <c r="N45" i="13"/>
  <c r="N43" i="13" l="1"/>
  <c r="O43" i="13" s="1"/>
  <c r="O44" i="13"/>
  <c r="O45" i="13"/>
  <c r="K43" i="13"/>
  <c r="L43" i="13"/>
  <c r="G45" i="13"/>
  <c r="I45" i="13"/>
  <c r="G44" i="13"/>
  <c r="I44" i="13"/>
  <c r="K45" i="13"/>
  <c r="L45" i="13"/>
  <c r="G43" i="13"/>
  <c r="K44" i="13"/>
  <c r="L44" i="13"/>
  <c r="H46" i="13"/>
  <c r="J46" i="13"/>
  <c r="H43" i="13" l="1"/>
  <c r="J43" i="13"/>
  <c r="J45" i="13"/>
  <c r="J44" i="13"/>
  <c r="H45" i="13"/>
  <c r="H44" i="13"/>
  <c r="N40" i="13"/>
  <c r="N41" i="13"/>
  <c r="K40" i="13"/>
  <c r="K41" i="13"/>
  <c r="G40" i="13"/>
  <c r="G41" i="13"/>
  <c r="B39" i="13"/>
  <c r="C39" i="13"/>
  <c r="B40" i="13"/>
  <c r="C40" i="13"/>
  <c r="B41" i="13"/>
  <c r="C41" i="13"/>
  <c r="N39" i="13"/>
  <c r="L40" i="13"/>
  <c r="L41" i="13"/>
  <c r="N42" i="13"/>
  <c r="O42" i="13" s="1"/>
  <c r="O39" i="13" l="1"/>
  <c r="O41" i="13"/>
  <c r="O40" i="13"/>
  <c r="I39" i="13"/>
  <c r="L39" i="13"/>
  <c r="I42" i="13"/>
  <c r="L42" i="13"/>
  <c r="G39" i="13"/>
  <c r="I41" i="13"/>
  <c r="K39" i="13"/>
  <c r="G42" i="13"/>
  <c r="I40" i="13"/>
  <c r="K42" i="13"/>
  <c r="H40" i="13"/>
  <c r="J40" i="13"/>
  <c r="H41" i="13"/>
  <c r="J41" i="13"/>
  <c r="H39" i="13" l="1"/>
  <c r="J39" i="13"/>
  <c r="J42" i="13"/>
  <c r="H42" i="13"/>
  <c r="B7" i="13" l="1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G7" i="13"/>
  <c r="G17" i="13"/>
  <c r="G23" i="13"/>
  <c r="G25" i="13"/>
  <c r="I37" i="13"/>
  <c r="C36" i="13"/>
  <c r="C37" i="13"/>
  <c r="C38" i="13"/>
  <c r="C35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N34" i="13" l="1"/>
  <c r="O34" i="13" s="1"/>
  <c r="L34" i="13"/>
  <c r="K34" i="13"/>
  <c r="I34" i="13"/>
  <c r="N26" i="13"/>
  <c r="O26" i="13" s="1"/>
  <c r="L26" i="13"/>
  <c r="K26" i="13"/>
  <c r="I26" i="13"/>
  <c r="G26" i="13"/>
  <c r="N18" i="13"/>
  <c r="O18" i="13" s="1"/>
  <c r="L18" i="13"/>
  <c r="M18" i="13" s="1"/>
  <c r="K18" i="13"/>
  <c r="I18" i="13"/>
  <c r="G18" i="13"/>
  <c r="I10" i="13"/>
  <c r="N36" i="13"/>
  <c r="O36" i="13" s="1"/>
  <c r="L36" i="13"/>
  <c r="K36" i="13"/>
  <c r="N32" i="13"/>
  <c r="O32" i="13" s="1"/>
  <c r="K32" i="13"/>
  <c r="N28" i="13"/>
  <c r="O28" i="13" s="1"/>
  <c r="K28" i="13"/>
  <c r="N24" i="13"/>
  <c r="O24" i="13" s="1"/>
  <c r="L24" i="13"/>
  <c r="K24" i="13"/>
  <c r="N20" i="13"/>
  <c r="O20" i="13" s="1"/>
  <c r="L20" i="13"/>
  <c r="M20" i="13" s="1"/>
  <c r="K20" i="13"/>
  <c r="N16" i="13"/>
  <c r="O16" i="13" s="1"/>
  <c r="L16" i="13"/>
  <c r="M16" i="13" s="1"/>
  <c r="K16" i="13"/>
  <c r="N12" i="13"/>
  <c r="O12" i="13" s="1"/>
  <c r="L12" i="13"/>
  <c r="M12" i="13" s="1"/>
  <c r="K12" i="13"/>
  <c r="N8" i="13"/>
  <c r="O8" i="13" s="1"/>
  <c r="L8" i="13"/>
  <c r="M8" i="13" s="1"/>
  <c r="K8" i="13"/>
  <c r="G36" i="13"/>
  <c r="G12" i="13"/>
  <c r="I32" i="13"/>
  <c r="I24" i="13"/>
  <c r="I16" i="13"/>
  <c r="I8" i="13"/>
  <c r="N38" i="13"/>
  <c r="O38" i="13" s="1"/>
  <c r="L38" i="13"/>
  <c r="K38" i="13"/>
  <c r="I38" i="13"/>
  <c r="N30" i="13"/>
  <c r="O30" i="13" s="1"/>
  <c r="K30" i="13"/>
  <c r="I30" i="13"/>
  <c r="N22" i="13"/>
  <c r="O22" i="13" s="1"/>
  <c r="L22" i="13"/>
  <c r="K22" i="13"/>
  <c r="I22" i="13"/>
  <c r="G22" i="13"/>
  <c r="N14" i="13"/>
  <c r="O14" i="13" s="1"/>
  <c r="L14" i="13"/>
  <c r="M14" i="13" s="1"/>
  <c r="K14" i="13"/>
  <c r="I14" i="13"/>
  <c r="G14" i="13"/>
  <c r="N35" i="13"/>
  <c r="O35" i="13" s="1"/>
  <c r="L35" i="13"/>
  <c r="K35" i="13"/>
  <c r="N31" i="13"/>
  <c r="O31" i="13" s="1"/>
  <c r="K31" i="13"/>
  <c r="N27" i="13"/>
  <c r="O27" i="13" s="1"/>
  <c r="K27" i="13"/>
  <c r="N23" i="13"/>
  <c r="O23" i="13" s="1"/>
  <c r="L23" i="13"/>
  <c r="K23" i="13"/>
  <c r="N19" i="13"/>
  <c r="O19" i="13" s="1"/>
  <c r="L19" i="13"/>
  <c r="M19" i="13" s="1"/>
  <c r="K19" i="13"/>
  <c r="N15" i="13"/>
  <c r="O15" i="13" s="1"/>
  <c r="L15" i="13"/>
  <c r="M15" i="13" s="1"/>
  <c r="K15" i="13"/>
  <c r="N11" i="13"/>
  <c r="O11" i="13" s="1"/>
  <c r="L11" i="13"/>
  <c r="M11" i="13" s="1"/>
  <c r="K11" i="13"/>
  <c r="N7" i="13"/>
  <c r="O7" i="13" s="1"/>
  <c r="L7" i="13"/>
  <c r="M7" i="13" s="1"/>
  <c r="K7" i="13"/>
  <c r="G35" i="13"/>
  <c r="G16" i="13"/>
  <c r="G11" i="13"/>
  <c r="I31" i="13"/>
  <c r="I23" i="13"/>
  <c r="I15" i="13"/>
  <c r="I7" i="13"/>
  <c r="G38" i="13"/>
  <c r="G34" i="13"/>
  <c r="G20" i="13"/>
  <c r="G15" i="13"/>
  <c r="I36" i="13"/>
  <c r="I28" i="13"/>
  <c r="I20" i="13"/>
  <c r="I12" i="13"/>
  <c r="N37" i="13"/>
  <c r="O37" i="13" s="1"/>
  <c r="L37" i="13"/>
  <c r="K37" i="13"/>
  <c r="N33" i="13"/>
  <c r="O33" i="13" s="1"/>
  <c r="K33" i="13"/>
  <c r="I33" i="13"/>
  <c r="N29" i="13"/>
  <c r="O29" i="13" s="1"/>
  <c r="K29" i="13"/>
  <c r="I29" i="13"/>
  <c r="N25" i="13"/>
  <c r="O25" i="13" s="1"/>
  <c r="L25" i="13"/>
  <c r="K25" i="13"/>
  <c r="I25" i="13"/>
  <c r="O21" i="13"/>
  <c r="K21" i="13"/>
  <c r="I21" i="13"/>
  <c r="N17" i="13"/>
  <c r="O17" i="13" s="1"/>
  <c r="L17" i="13"/>
  <c r="M17" i="13" s="1"/>
  <c r="K17" i="13"/>
  <c r="I17" i="13"/>
  <c r="N13" i="13"/>
  <c r="O13" i="13" s="1"/>
  <c r="L13" i="13"/>
  <c r="M13" i="13" s="1"/>
  <c r="K13" i="13"/>
  <c r="I13" i="13"/>
  <c r="N9" i="13"/>
  <c r="O9" i="13" s="1"/>
  <c r="L9" i="13"/>
  <c r="M9" i="13" s="1"/>
  <c r="K9" i="13"/>
  <c r="I9" i="13"/>
  <c r="G37" i="13"/>
  <c r="G24" i="13"/>
  <c r="G19" i="13"/>
  <c r="G13" i="13"/>
  <c r="I35" i="13"/>
  <c r="I27" i="13"/>
  <c r="I19" i="13"/>
  <c r="I11" i="13"/>
  <c r="M22" i="13" l="1"/>
  <c r="Q22" i="13" s="1"/>
  <c r="H36" i="13"/>
  <c r="F22" i="13"/>
  <c r="P22" i="13" s="1"/>
  <c r="J35" i="13"/>
  <c r="H35" i="13"/>
  <c r="J34" i="13"/>
  <c r="H34" i="13"/>
  <c r="Q9" i="13"/>
  <c r="J9" i="13"/>
  <c r="H9" i="13"/>
  <c r="Q13" i="13"/>
  <c r="J13" i="13"/>
  <c r="H13" i="13"/>
  <c r="Q17" i="13"/>
  <c r="J17" i="13"/>
  <c r="H17" i="13"/>
  <c r="Q21" i="13"/>
  <c r="J21" i="13"/>
  <c r="H21" i="13"/>
  <c r="J25" i="13"/>
  <c r="H25" i="13"/>
  <c r="J29" i="13"/>
  <c r="H29" i="13"/>
  <c r="J33" i="13"/>
  <c r="H33" i="13"/>
  <c r="Q7" i="13"/>
  <c r="J7" i="13"/>
  <c r="H7" i="13"/>
  <c r="J23" i="13"/>
  <c r="H23" i="13"/>
  <c r="Q16" i="13"/>
  <c r="H16" i="13"/>
  <c r="J16" i="13"/>
  <c r="H32" i="13"/>
  <c r="J32" i="13"/>
  <c r="Q10" i="13"/>
  <c r="J10" i="13"/>
  <c r="H10" i="13"/>
  <c r="Q19" i="13"/>
  <c r="J19" i="13"/>
  <c r="H19" i="13"/>
  <c r="Q12" i="13"/>
  <c r="J12" i="13"/>
  <c r="H12" i="13"/>
  <c r="J28" i="13"/>
  <c r="H28" i="13"/>
  <c r="Q18" i="13"/>
  <c r="J18" i="13"/>
  <c r="H18" i="13"/>
  <c r="Q15" i="13"/>
  <c r="H15" i="13"/>
  <c r="J15" i="13"/>
  <c r="H31" i="13"/>
  <c r="J31" i="13"/>
  <c r="Q14" i="13"/>
  <c r="J14" i="13"/>
  <c r="H14" i="13"/>
  <c r="Q8" i="13"/>
  <c r="J8" i="13"/>
  <c r="H8" i="13"/>
  <c r="H24" i="13"/>
  <c r="J24" i="13"/>
  <c r="J26" i="13"/>
  <c r="H26" i="13"/>
  <c r="J37" i="13"/>
  <c r="H37" i="13"/>
  <c r="Q11" i="13"/>
  <c r="J11" i="13"/>
  <c r="H11" i="13"/>
  <c r="J27" i="13"/>
  <c r="H27" i="13"/>
  <c r="J22" i="13"/>
  <c r="H22" i="13"/>
  <c r="J30" i="13"/>
  <c r="H30" i="13"/>
  <c r="J38" i="13"/>
  <c r="H38" i="13"/>
  <c r="Q20" i="13"/>
  <c r="J20" i="13"/>
  <c r="H20" i="13"/>
  <c r="J36" i="13"/>
  <c r="D22" i="13" l="1"/>
  <c r="C6" i="13" l="1"/>
  <c r="B6" i="13"/>
  <c r="N6" i="13" l="1"/>
  <c r="O6" i="13" s="1"/>
  <c r="L6" i="13"/>
  <c r="M6" i="13" s="1"/>
  <c r="K6" i="13"/>
  <c r="I6" i="13"/>
  <c r="G6" i="13"/>
  <c r="Q6" i="13" l="1"/>
  <c r="J6" i="13"/>
  <c r="H6" i="13"/>
  <c r="I26" i="11" l="1"/>
  <c r="S157" i="12"/>
  <c r="S156" i="12"/>
  <c r="K9" i="15"/>
  <c r="K6" i="15"/>
  <c r="K8" i="15" l="1"/>
  <c r="K7" i="15"/>
  <c r="S26" i="11" l="1"/>
  <c r="J26" i="11"/>
  <c r="Q26" i="11"/>
  <c r="P26" i="11"/>
  <c r="H26" i="11"/>
  <c r="F666" i="13" s="1"/>
  <c r="Q25" i="11"/>
  <c r="P25" i="11"/>
  <c r="H25" i="11"/>
  <c r="F665" i="13" s="1"/>
  <c r="Q24" i="11"/>
  <c r="P24" i="11"/>
  <c r="H24" i="11"/>
  <c r="F664" i="13" s="1"/>
  <c r="F120" i="13"/>
  <c r="F119" i="13"/>
  <c r="F33" i="13"/>
  <c r="F26" i="13"/>
  <c r="F20" i="13"/>
  <c r="F19" i="13"/>
  <c r="F14" i="13"/>
  <c r="F7" i="13"/>
  <c r="F6" i="13"/>
  <c r="E9" i="15"/>
  <c r="E8" i="15"/>
  <c r="E7" i="15"/>
  <c r="E6" i="15"/>
  <c r="Q125" i="13" l="1"/>
  <c r="D664" i="13"/>
  <c r="P664" i="13"/>
  <c r="D665" i="13"/>
  <c r="P665" i="13"/>
  <c r="D666" i="13"/>
  <c r="P666" i="13"/>
  <c r="I24" i="11"/>
  <c r="I25" i="11"/>
  <c r="K26" i="11"/>
  <c r="G8" i="15"/>
  <c r="I9" i="15"/>
  <c r="I6" i="15"/>
  <c r="G7" i="15"/>
  <c r="I8" i="15"/>
  <c r="G9" i="15"/>
  <c r="G6" i="15"/>
  <c r="I7" i="15"/>
  <c r="F121" i="13"/>
  <c r="P121" i="13" s="1"/>
  <c r="D120" i="13"/>
  <c r="P120" i="13"/>
  <c r="F122" i="13"/>
  <c r="D119" i="13"/>
  <c r="P119" i="13"/>
  <c r="F53" i="13"/>
  <c r="F50" i="13"/>
  <c r="F49" i="13"/>
  <c r="F48" i="13"/>
  <c r="F52" i="13"/>
  <c r="F51" i="13"/>
  <c r="F42" i="13"/>
  <c r="F41" i="13"/>
  <c r="F45" i="13"/>
  <c r="F38" i="13"/>
  <c r="P38" i="13" s="1"/>
  <c r="F46" i="13"/>
  <c r="F40" i="13"/>
  <c r="F44" i="13"/>
  <c r="F39" i="13"/>
  <c r="F43" i="13"/>
  <c r="F47" i="13"/>
  <c r="P7" i="13"/>
  <c r="D7" i="13"/>
  <c r="F11" i="13"/>
  <c r="F15" i="13"/>
  <c r="P19" i="13"/>
  <c r="D19" i="13"/>
  <c r="F24" i="13"/>
  <c r="F28" i="13"/>
  <c r="F32" i="13"/>
  <c r="F36" i="13"/>
  <c r="D6" i="13"/>
  <c r="P6" i="13"/>
  <c r="F10" i="13"/>
  <c r="P14" i="13"/>
  <c r="D14" i="13"/>
  <c r="F18" i="13"/>
  <c r="F23" i="13"/>
  <c r="F27" i="13"/>
  <c r="F31" i="13"/>
  <c r="F35" i="13"/>
  <c r="F9" i="13"/>
  <c r="F13" i="13"/>
  <c r="F17" i="13"/>
  <c r="F21" i="13"/>
  <c r="P26" i="13"/>
  <c r="D26" i="13"/>
  <c r="F30" i="13"/>
  <c r="F34" i="13"/>
  <c r="F8" i="13"/>
  <c r="F12" i="13"/>
  <c r="F16" i="13"/>
  <c r="P20" i="13"/>
  <c r="D20" i="13"/>
  <c r="F25" i="13"/>
  <c r="F29" i="13"/>
  <c r="P33" i="13"/>
  <c r="D33" i="13"/>
  <c r="F37" i="13"/>
  <c r="Y26" i="11"/>
  <c r="AF26" i="11"/>
  <c r="T26" i="11"/>
  <c r="X26" i="11"/>
  <c r="U26" i="11"/>
  <c r="AD26" i="11" s="1"/>
  <c r="B3" i="4"/>
  <c r="AB26" i="11" l="1"/>
  <c r="W26" i="11"/>
  <c r="AD51" i="15"/>
  <c r="AD63" i="15"/>
  <c r="AD50" i="15"/>
  <c r="AD53" i="15"/>
  <c r="AD57" i="15"/>
  <c r="AD52" i="15"/>
  <c r="AD33" i="15"/>
  <c r="AD64" i="15"/>
  <c r="AD34" i="15"/>
  <c r="AD58" i="15"/>
  <c r="AD65" i="15"/>
  <c r="AD54" i="15"/>
  <c r="AD37" i="15"/>
  <c r="AD31" i="15"/>
  <c r="AD39" i="15"/>
  <c r="AD40" i="15"/>
  <c r="AD41" i="15"/>
  <c r="AD42" i="15"/>
  <c r="AD32" i="15"/>
  <c r="AD46" i="15"/>
  <c r="AD38" i="15"/>
  <c r="AD48" i="15"/>
  <c r="AD49" i="15"/>
  <c r="AD44" i="15"/>
  <c r="AD47" i="15"/>
  <c r="AD36" i="15"/>
  <c r="AD43" i="15"/>
  <c r="AD35" i="15"/>
  <c r="Q126" i="13"/>
  <c r="F70" i="3"/>
  <c r="F71" i="3"/>
  <c r="F67" i="2"/>
  <c r="F69" i="3"/>
  <c r="F65" i="2"/>
  <c r="F66" i="2"/>
  <c r="F61" i="3"/>
  <c r="F66" i="3"/>
  <c r="F62" i="3"/>
  <c r="F65" i="3"/>
  <c r="F64" i="3"/>
  <c r="F60" i="3"/>
  <c r="F59" i="3"/>
  <c r="F67" i="3"/>
  <c r="F63" i="3"/>
  <c r="F57" i="2"/>
  <c r="F60" i="2"/>
  <c r="F62" i="2"/>
  <c r="F59" i="2"/>
  <c r="F56" i="2"/>
  <c r="F61" i="2"/>
  <c r="F63" i="2"/>
  <c r="F58" i="2"/>
  <c r="F55" i="2"/>
  <c r="F55" i="3"/>
  <c r="F57" i="3"/>
  <c r="F56" i="3"/>
  <c r="F58" i="3"/>
  <c r="F53" i="2"/>
  <c r="F54" i="2"/>
  <c r="F52" i="2"/>
  <c r="F52" i="3"/>
  <c r="F53" i="3"/>
  <c r="F54" i="3"/>
  <c r="F50" i="2"/>
  <c r="F49" i="2"/>
  <c r="F51" i="2"/>
  <c r="F68" i="3"/>
  <c r="F50" i="3"/>
  <c r="F51" i="3"/>
  <c r="F49" i="3"/>
  <c r="F46" i="2"/>
  <c r="F48" i="2"/>
  <c r="F64" i="2"/>
  <c r="F47" i="2"/>
  <c r="F34" i="3"/>
  <c r="F38" i="3"/>
  <c r="F41" i="3"/>
  <c r="F42" i="3"/>
  <c r="F37" i="3"/>
  <c r="F45" i="3"/>
  <c r="F46" i="3"/>
  <c r="F47" i="3"/>
  <c r="F44" i="3"/>
  <c r="F36" i="3"/>
  <c r="F43" i="3"/>
  <c r="F39" i="3"/>
  <c r="F35" i="3"/>
  <c r="F40" i="3"/>
  <c r="F33" i="3"/>
  <c r="F34" i="2"/>
  <c r="F40" i="2"/>
  <c r="F39" i="2"/>
  <c r="F35" i="2"/>
  <c r="F44" i="2"/>
  <c r="F36" i="2"/>
  <c r="F37" i="2"/>
  <c r="F33" i="2"/>
  <c r="F42" i="2"/>
  <c r="F38" i="2"/>
  <c r="F43" i="2"/>
  <c r="F32" i="2"/>
  <c r="F41" i="2"/>
  <c r="F31" i="2"/>
  <c r="F32" i="3"/>
  <c r="F30" i="2"/>
  <c r="F29" i="2"/>
  <c r="F31" i="3"/>
  <c r="F29" i="3"/>
  <c r="F30" i="3"/>
  <c r="F28" i="3"/>
  <c r="F28" i="2"/>
  <c r="F26" i="2"/>
  <c r="F27" i="2"/>
  <c r="F26" i="3"/>
  <c r="F25" i="3"/>
  <c r="F24" i="3"/>
  <c r="F23" i="3"/>
  <c r="F27" i="3"/>
  <c r="F22" i="3"/>
  <c r="F48" i="3"/>
  <c r="F45" i="2"/>
  <c r="F23" i="2"/>
  <c r="F24" i="2"/>
  <c r="F25" i="2"/>
  <c r="F22" i="2"/>
  <c r="F21" i="2"/>
  <c r="F20" i="3"/>
  <c r="F19" i="2"/>
  <c r="F13" i="3"/>
  <c r="F18" i="3"/>
  <c r="F19" i="3"/>
  <c r="F17" i="2"/>
  <c r="F18" i="2"/>
  <c r="F15" i="3"/>
  <c r="F17" i="3"/>
  <c r="F14" i="3"/>
  <c r="F21" i="3"/>
  <c r="F16" i="3"/>
  <c r="F16" i="2"/>
  <c r="F20" i="2"/>
  <c r="F13" i="2"/>
  <c r="F14" i="2"/>
  <c r="F15" i="2"/>
  <c r="F11" i="3"/>
  <c r="F10" i="3"/>
  <c r="F12" i="2"/>
  <c r="F11" i="2"/>
  <c r="F9" i="3"/>
  <c r="F7" i="3"/>
  <c r="F8" i="3"/>
  <c r="F9" i="2"/>
  <c r="F10" i="2"/>
  <c r="Z26" i="11"/>
  <c r="L26" i="11"/>
  <c r="J25" i="11"/>
  <c r="S25" i="11"/>
  <c r="J24" i="11"/>
  <c r="S24" i="11"/>
  <c r="F12" i="3"/>
  <c r="Q123" i="13"/>
  <c r="Q124" i="13"/>
  <c r="F8" i="2"/>
  <c r="F6" i="3"/>
  <c r="F6" i="2"/>
  <c r="F7" i="2"/>
  <c r="R8" i="15"/>
  <c r="L8" i="15"/>
  <c r="L9" i="15"/>
  <c r="L6" i="15"/>
  <c r="L7" i="15"/>
  <c r="AD10" i="15"/>
  <c r="AD26" i="15"/>
  <c r="AD70" i="15"/>
  <c r="AD86" i="15"/>
  <c r="AD11" i="15"/>
  <c r="AD27" i="15"/>
  <c r="AD71" i="15"/>
  <c r="AD87" i="15"/>
  <c r="AD12" i="15"/>
  <c r="AD28" i="15"/>
  <c r="AD72" i="15"/>
  <c r="AD88" i="15"/>
  <c r="AD13" i="15"/>
  <c r="AD29" i="15"/>
  <c r="AD73" i="15"/>
  <c r="AD89" i="15"/>
  <c r="AD14" i="15"/>
  <c r="AD30" i="15"/>
  <c r="AD74" i="15"/>
  <c r="AD90" i="15"/>
  <c r="AD15" i="15"/>
  <c r="AD55" i="15"/>
  <c r="AD75" i="15"/>
  <c r="AD91" i="15"/>
  <c r="AD16" i="15"/>
  <c r="AD56" i="15"/>
  <c r="AD76" i="15"/>
  <c r="AD92" i="15"/>
  <c r="AD17" i="15"/>
  <c r="AD45" i="15"/>
  <c r="AD77" i="15"/>
  <c r="AD93" i="15"/>
  <c r="AD18" i="15"/>
  <c r="AD62" i="15"/>
  <c r="AD78" i="15"/>
  <c r="AD94" i="15"/>
  <c r="AD19" i="15"/>
  <c r="AD59" i="15"/>
  <c r="AD79" i="15"/>
  <c r="AD95" i="15"/>
  <c r="AD20" i="15"/>
  <c r="AD60" i="15"/>
  <c r="AD80" i="15"/>
  <c r="AD96" i="15"/>
  <c r="AD21" i="15"/>
  <c r="AD61" i="15"/>
  <c r="AD81" i="15"/>
  <c r="AD97" i="15"/>
  <c r="AD22" i="15"/>
  <c r="AD66" i="15"/>
  <c r="AD82" i="15"/>
  <c r="AD98" i="15"/>
  <c r="AD23" i="15"/>
  <c r="AD67" i="15"/>
  <c r="AD83" i="15"/>
  <c r="AD99" i="15"/>
  <c r="AD24" i="15"/>
  <c r="AD68" i="15"/>
  <c r="AD84" i="15"/>
  <c r="AD100" i="15"/>
  <c r="AD25" i="15"/>
  <c r="AD69" i="15"/>
  <c r="AD85" i="15"/>
  <c r="AD101" i="15"/>
  <c r="M53" i="13"/>
  <c r="Q53" i="13" s="1"/>
  <c r="Q180" i="13"/>
  <c r="D121" i="13"/>
  <c r="P122" i="13"/>
  <c r="D122" i="13"/>
  <c r="D118" i="13"/>
  <c r="P118" i="13"/>
  <c r="D53" i="13"/>
  <c r="P53" i="13"/>
  <c r="D38" i="13"/>
  <c r="D51" i="13"/>
  <c r="P51" i="13"/>
  <c r="D52" i="13"/>
  <c r="P52" i="13"/>
  <c r="D49" i="13"/>
  <c r="P49" i="13"/>
  <c r="D48" i="13"/>
  <c r="P48" i="13"/>
  <c r="D50" i="13"/>
  <c r="P50" i="13"/>
  <c r="D47" i="13"/>
  <c r="P47" i="13"/>
  <c r="D39" i="13"/>
  <c r="P39" i="13"/>
  <c r="D40" i="13"/>
  <c r="P40" i="13"/>
  <c r="D41" i="13"/>
  <c r="P41" i="13"/>
  <c r="D43" i="13"/>
  <c r="P43" i="13"/>
  <c r="D44" i="13"/>
  <c r="P44" i="13"/>
  <c r="D46" i="13"/>
  <c r="P46" i="13"/>
  <c r="D45" i="13"/>
  <c r="P45" i="13"/>
  <c r="D42" i="13"/>
  <c r="P42" i="13"/>
  <c r="P29" i="13"/>
  <c r="D29" i="13"/>
  <c r="P12" i="13"/>
  <c r="D12" i="13"/>
  <c r="P30" i="13"/>
  <c r="D30" i="13"/>
  <c r="P21" i="13"/>
  <c r="D21" i="13"/>
  <c r="P13" i="13"/>
  <c r="D13" i="13"/>
  <c r="P31" i="13"/>
  <c r="D31" i="13"/>
  <c r="P23" i="13"/>
  <c r="D23" i="13"/>
  <c r="P37" i="13"/>
  <c r="D37" i="13"/>
  <c r="P28" i="13"/>
  <c r="D28" i="13"/>
  <c r="P11" i="13"/>
  <c r="D11" i="13"/>
  <c r="P25" i="13"/>
  <c r="D25" i="13"/>
  <c r="P16" i="13"/>
  <c r="D16" i="13"/>
  <c r="P8" i="13"/>
  <c r="D8" i="13"/>
  <c r="P17" i="13"/>
  <c r="D17" i="13"/>
  <c r="P9" i="13"/>
  <c r="D9" i="13"/>
  <c r="P27" i="13"/>
  <c r="D27" i="13"/>
  <c r="P18" i="13"/>
  <c r="D18" i="13"/>
  <c r="P10" i="13"/>
  <c r="D10" i="13"/>
  <c r="P36" i="13"/>
  <c r="D36" i="13"/>
  <c r="P34" i="13"/>
  <c r="D34" i="13"/>
  <c r="P35" i="13"/>
  <c r="D35" i="13"/>
  <c r="P32" i="13"/>
  <c r="D32" i="13"/>
  <c r="P24" i="13"/>
  <c r="D24" i="13"/>
  <c r="P15" i="13"/>
  <c r="D15" i="13"/>
  <c r="P9" i="15"/>
  <c r="P6" i="15"/>
  <c r="R7" i="15"/>
  <c r="N8" i="15"/>
  <c r="N6" i="15"/>
  <c r="N7" i="15"/>
  <c r="P7" i="15"/>
  <c r="R9" i="15"/>
  <c r="AA26" i="11" l="1"/>
  <c r="AC26" i="11" s="1"/>
  <c r="AE26" i="11" s="1"/>
  <c r="M26" i="11"/>
  <c r="K25" i="11"/>
  <c r="K24" i="11"/>
  <c r="AF24" i="11"/>
  <c r="U24" i="11"/>
  <c r="AD24" i="11" s="1"/>
  <c r="Y24" i="11"/>
  <c r="X24" i="11"/>
  <c r="T24" i="11"/>
  <c r="T25" i="11"/>
  <c r="U25" i="11"/>
  <c r="AD25" i="11" s="1"/>
  <c r="Y25" i="11"/>
  <c r="X25" i="11"/>
  <c r="AF25" i="11"/>
  <c r="P8" i="15"/>
  <c r="R6" i="15"/>
  <c r="T9" i="15"/>
  <c r="T8" i="15"/>
  <c r="N9" i="15"/>
  <c r="T7" i="15"/>
  <c r="T6" i="15"/>
  <c r="AB25" i="11" l="1"/>
  <c r="W25" i="11"/>
  <c r="AB24" i="11"/>
  <c r="W24" i="11"/>
  <c r="N26" i="11"/>
  <c r="Z25" i="11"/>
  <c r="Z24" i="11"/>
  <c r="L25" i="11"/>
  <c r="L24" i="11"/>
  <c r="V7" i="15"/>
  <c r="V8" i="15"/>
  <c r="V6" i="15"/>
  <c r="V9" i="15"/>
  <c r="M120" i="13"/>
  <c r="M119" i="13"/>
  <c r="Q119" i="13" s="1"/>
  <c r="Q118" i="13"/>
  <c r="M666" i="13" l="1"/>
  <c r="Q666" i="13" s="1"/>
  <c r="O26" i="11"/>
  <c r="AA25" i="11"/>
  <c r="AC25" i="11" s="1"/>
  <c r="AE25" i="11" s="1"/>
  <c r="AA24" i="11"/>
  <c r="AC24" i="11" s="1"/>
  <c r="AE24" i="11" s="1"/>
  <c r="M25" i="11"/>
  <c r="M24" i="11"/>
  <c r="X9" i="15"/>
  <c r="X8" i="15"/>
  <c r="X6" i="15"/>
  <c r="X7" i="15"/>
  <c r="M38" i="13"/>
  <c r="Q38" i="13" s="1"/>
  <c r="M39" i="13"/>
  <c r="Q39" i="13" s="1"/>
  <c r="M40" i="13"/>
  <c r="Q40" i="13" s="1"/>
  <c r="M41" i="13"/>
  <c r="Q41" i="13" s="1"/>
  <c r="N25" i="11" l="1"/>
  <c r="N24" i="11"/>
  <c r="AB7" i="15"/>
  <c r="AD7" i="15" s="1"/>
  <c r="Z7" i="15"/>
  <c r="AB8" i="15"/>
  <c r="AD8" i="15" s="1"/>
  <c r="Z8" i="15"/>
  <c r="AB6" i="15"/>
  <c r="AD6" i="15" s="1"/>
  <c r="Z6" i="15"/>
  <c r="AB9" i="15"/>
  <c r="AD9" i="15" s="1"/>
  <c r="Z9" i="15"/>
  <c r="M29" i="13"/>
  <c r="Q29" i="13" s="1"/>
  <c r="M30" i="13"/>
  <c r="Q30" i="13" s="1"/>
  <c r="M28" i="13"/>
  <c r="Q28" i="13" s="1"/>
  <c r="M43" i="13"/>
  <c r="Q43" i="13" s="1"/>
  <c r="M44" i="13"/>
  <c r="Q44" i="13" s="1"/>
  <c r="M42" i="13"/>
  <c r="Q42" i="13" s="1"/>
  <c r="M27" i="13"/>
  <c r="Q27" i="13" s="1"/>
  <c r="M122" i="13"/>
  <c r="Q122" i="13" s="1"/>
  <c r="M46" i="13"/>
  <c r="Q46" i="13" s="1"/>
  <c r="M45" i="13"/>
  <c r="Q45" i="13" s="1"/>
  <c r="M665" i="13" l="1"/>
  <c r="Q665" i="13" s="1"/>
  <c r="M664" i="13"/>
  <c r="Q664" i="13" s="1"/>
  <c r="O25" i="11"/>
  <c r="O24" i="11"/>
  <c r="M23" i="13"/>
  <c r="Q23" i="13" s="1"/>
  <c r="M31" i="13"/>
  <c r="Q31" i="13" s="1"/>
  <c r="M33" i="13"/>
  <c r="Q33" i="13" s="1"/>
  <c r="M32" i="13"/>
  <c r="Q32" i="13" s="1"/>
  <c r="M37" i="13"/>
  <c r="Q37" i="13" s="1"/>
  <c r="M36" i="13" l="1"/>
  <c r="Q36" i="13" s="1"/>
  <c r="M25" i="13"/>
  <c r="Q25" i="13" s="1"/>
  <c r="M48" i="13"/>
  <c r="Q48" i="13" s="1"/>
  <c r="M26" i="13"/>
  <c r="Q26" i="13" s="1"/>
  <c r="M51" i="13"/>
  <c r="Q51" i="13" s="1"/>
  <c r="M24" i="13"/>
  <c r="Q24" i="13" s="1"/>
  <c r="M49" i="13"/>
  <c r="Q49" i="13" s="1"/>
  <c r="M52" i="13"/>
  <c r="Q52" i="13" s="1"/>
  <c r="Q120" i="13"/>
  <c r="M121" i="13"/>
  <c r="Q121" i="13" s="1"/>
  <c r="M47" i="13"/>
  <c r="Q47" i="13" s="1"/>
  <c r="M50" i="13"/>
  <c r="Q50" i="13" s="1"/>
  <c r="M35" i="13"/>
  <c r="Q35" i="13" s="1"/>
  <c r="M34" i="13"/>
  <c r="Q34" i="13" s="1"/>
</calcChain>
</file>

<file path=xl/sharedStrings.xml><?xml version="1.0" encoding="utf-8"?>
<sst xmlns="http://schemas.openxmlformats.org/spreadsheetml/2006/main" count="1201" uniqueCount="421">
  <si>
    <t>Drawing Submittal</t>
  </si>
  <si>
    <t>Job #</t>
  </si>
  <si>
    <t>Target</t>
  </si>
  <si>
    <t>Actual</t>
  </si>
  <si>
    <t>Status</t>
  </si>
  <si>
    <t>Days +/-</t>
  </si>
  <si>
    <t>Rev.</t>
  </si>
  <si>
    <t>Customer</t>
  </si>
  <si>
    <t>On Track</t>
  </si>
  <si>
    <t>At Risk</t>
  </si>
  <si>
    <t>Late</t>
  </si>
  <si>
    <t>A.I.</t>
  </si>
  <si>
    <t>Drawing Return From Customer</t>
  </si>
  <si>
    <t>Today</t>
  </si>
  <si>
    <t>Shop Release Readiness</t>
  </si>
  <si>
    <t>Release to Shop</t>
  </si>
  <si>
    <t>Pre-Approval</t>
  </si>
  <si>
    <t>Cert Dwgs</t>
  </si>
  <si>
    <t>Stock Check</t>
  </si>
  <si>
    <t>Final BOM</t>
  </si>
  <si>
    <t>Final Calcs</t>
  </si>
  <si>
    <t>Order Balance</t>
  </si>
  <si>
    <t>Update BOM</t>
  </si>
  <si>
    <t>After Return of Approval Drawings</t>
  </si>
  <si>
    <t>Long lead  time</t>
  </si>
  <si>
    <t>Build Plan</t>
  </si>
  <si>
    <t>App. Prints</t>
  </si>
  <si>
    <t>Prelim BOM</t>
  </si>
  <si>
    <t>Job</t>
  </si>
  <si>
    <t>Order Date</t>
  </si>
  <si>
    <t>Dates</t>
  </si>
  <si>
    <t>min design</t>
  </si>
  <si>
    <t>max design</t>
  </si>
  <si>
    <t>min build</t>
  </si>
  <si>
    <t>max build</t>
  </si>
  <si>
    <t>Customer Response</t>
  </si>
  <si>
    <t>Resubmit</t>
  </si>
  <si>
    <t>Release Target</t>
  </si>
  <si>
    <t>App. Prints Submitted</t>
  </si>
  <si>
    <t>Actual Dates</t>
  </si>
  <si>
    <t>Delivery Date</t>
  </si>
  <si>
    <t># of weeks per quote</t>
  </si>
  <si>
    <t>From I</t>
  </si>
  <si>
    <t>From J</t>
  </si>
  <si>
    <t>From k</t>
  </si>
  <si>
    <t># of Days---&gt;</t>
  </si>
  <si>
    <t>Release</t>
  </si>
  <si>
    <t>Rev</t>
  </si>
  <si>
    <t>Aproved</t>
  </si>
  <si>
    <t>from c</t>
  </si>
  <si>
    <t>From h</t>
  </si>
  <si>
    <t>From L</t>
  </si>
  <si>
    <t>From M</t>
  </si>
  <si>
    <t>From N</t>
  </si>
  <si>
    <t>from C</t>
  </si>
  <si>
    <t>From I,K,L or N</t>
  </si>
  <si>
    <t>From S</t>
  </si>
  <si>
    <t>From Z</t>
  </si>
  <si>
    <t>Approved</t>
  </si>
  <si>
    <t>Submitted</t>
  </si>
  <si>
    <t>Submitted 1</t>
  </si>
  <si>
    <t>Submitted 2</t>
  </si>
  <si>
    <t>Submitted 3</t>
  </si>
  <si>
    <t>Submitted 0</t>
  </si>
  <si>
    <t>Returned</t>
  </si>
  <si>
    <t>No Y</t>
  </si>
  <si>
    <t>Blanks only</t>
  </si>
  <si>
    <t>N/A</t>
  </si>
  <si>
    <t>16-073</t>
  </si>
  <si>
    <t>16-074</t>
  </si>
  <si>
    <t>16-075</t>
  </si>
  <si>
    <t>16-076</t>
  </si>
  <si>
    <t>Tellus</t>
  </si>
  <si>
    <t>Airgas</t>
  </si>
  <si>
    <t>US Sugar</t>
  </si>
  <si>
    <t>Y</t>
  </si>
  <si>
    <t>='Actual Dates'!$A$4:$AB$350</t>
  </si>
  <si>
    <t>Jobs</t>
  </si>
  <si>
    <t>='Date Calcs'!$A$4:$AB$350</t>
  </si>
  <si>
    <t>Solvay</t>
  </si>
  <si>
    <t>NA</t>
  </si>
  <si>
    <t>Andritz</t>
  </si>
  <si>
    <t>Zachry</t>
  </si>
  <si>
    <t>Milliken</t>
  </si>
  <si>
    <t>GAF</t>
  </si>
  <si>
    <t>Domtar</t>
  </si>
  <si>
    <t>Harper Love</t>
  </si>
  <si>
    <t>Kimberly Clark</t>
  </si>
  <si>
    <t>OGSM 2019 (EFFICIENCY MEASURE)</t>
  </si>
  <si>
    <t>JOB</t>
  </si>
  <si>
    <t>CUSTOMER</t>
  </si>
  <si>
    <t>PO RECEIVING</t>
  </si>
  <si>
    <t>KICK-OFF MEETING</t>
  </si>
  <si>
    <t>INITIAL DWG SUBMISSION</t>
  </si>
  <si>
    <t>BILL OF MATERIAL</t>
  </si>
  <si>
    <t>CERTIFIED DWG</t>
  </si>
  <si>
    <t>SHOP RELEASE</t>
  </si>
  <si>
    <t>CYCLE TIME</t>
  </si>
  <si>
    <t>DWG DELAY</t>
  </si>
  <si>
    <t>RELEASE DELAY</t>
  </si>
  <si>
    <t>REMARK</t>
  </si>
  <si>
    <t>EXPECTED</t>
  </si>
  <si>
    <t xml:space="preserve">ACTUAL </t>
  </si>
  <si>
    <t>ACTUAL</t>
  </si>
  <si>
    <t>NP ON VACATION</t>
  </si>
  <si>
    <t>BUILT PLAN</t>
  </si>
  <si>
    <t>Customer changes</t>
  </si>
  <si>
    <t>TOE plate JN 071-18</t>
  </si>
  <si>
    <t>Kemira</t>
  </si>
  <si>
    <t>Kraton</t>
  </si>
  <si>
    <t>APPROVAL ON LEG</t>
  </si>
  <si>
    <t>AI dwg CHECK</t>
  </si>
  <si>
    <t>NO SCALED DWG</t>
  </si>
  <si>
    <t>Symrise</t>
  </si>
  <si>
    <t>CRN APPROVAL</t>
  </si>
  <si>
    <t>Hurricane Dorian</t>
  </si>
  <si>
    <t>YATES JOB WAS PRIORITY</t>
  </si>
  <si>
    <t>Polynt</t>
  </si>
  <si>
    <t>Due Date</t>
  </si>
  <si>
    <t>Date Complete</t>
  </si>
  <si>
    <t>TIME PERIOD</t>
  </si>
  <si>
    <t>DWG DUE</t>
  </si>
  <si>
    <t>DWG ON TIME</t>
  </si>
  <si>
    <t>EFFICIENCY</t>
  </si>
  <si>
    <t>JAN' 2021</t>
  </si>
  <si>
    <t>FAB'2021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</si>
  <si>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</si>
  <si>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</si>
  <si>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</si>
  <si>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</si>
  <si>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</si>
  <si>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</si>
  <si>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</si>
  <si>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</si>
  <si>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</si>
  <si>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</si>
  <si>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</si>
  <si>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</si>
  <si>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TARGET </t>
  </si>
  <si>
    <t>MAR'21</t>
  </si>
  <si>
    <t>Noah Industrial</t>
  </si>
  <si>
    <t>21-132</t>
  </si>
  <si>
    <t>21-133</t>
  </si>
  <si>
    <t>21-134</t>
  </si>
  <si>
    <t>21-135</t>
  </si>
  <si>
    <t>21-136</t>
  </si>
  <si>
    <t>21-137</t>
  </si>
  <si>
    <t>21-141</t>
  </si>
  <si>
    <t>21-142</t>
  </si>
  <si>
    <t>21-143</t>
  </si>
  <si>
    <t>21-144</t>
  </si>
  <si>
    <t>21-145</t>
  </si>
  <si>
    <t>21-146</t>
  </si>
  <si>
    <t>21-147</t>
  </si>
  <si>
    <t>21-148</t>
  </si>
  <si>
    <t>21-149</t>
  </si>
  <si>
    <t>21-150</t>
  </si>
  <si>
    <t>21-151</t>
  </si>
  <si>
    <t>21-152</t>
  </si>
  <si>
    <t>21-153</t>
  </si>
  <si>
    <t>21-154</t>
  </si>
  <si>
    <t>21-155</t>
  </si>
  <si>
    <t>21-156</t>
  </si>
  <si>
    <t>22-001</t>
  </si>
  <si>
    <t>22-002</t>
  </si>
  <si>
    <t>22-003</t>
  </si>
  <si>
    <t>22-004</t>
  </si>
  <si>
    <t>22-005</t>
  </si>
  <si>
    <t>22-006</t>
  </si>
  <si>
    <t>22-007</t>
  </si>
  <si>
    <t>22-008</t>
  </si>
  <si>
    <t>22-009</t>
  </si>
  <si>
    <t>22-010</t>
  </si>
  <si>
    <t>22-011</t>
  </si>
  <si>
    <t>22-012</t>
  </si>
  <si>
    <t>22-015</t>
  </si>
  <si>
    <t>22-016</t>
  </si>
  <si>
    <t>22-017</t>
  </si>
  <si>
    <t>22-018</t>
  </si>
  <si>
    <t>22-019</t>
  </si>
  <si>
    <t>22-020</t>
  </si>
  <si>
    <t>22-021</t>
  </si>
  <si>
    <t>22-022</t>
  </si>
  <si>
    <t>22-023</t>
  </si>
  <si>
    <t>22-024</t>
  </si>
  <si>
    <t>22-025</t>
  </si>
  <si>
    <t>22-026</t>
  </si>
  <si>
    <t>22-027</t>
  </si>
  <si>
    <t>22-028</t>
  </si>
  <si>
    <t>22-029</t>
  </si>
  <si>
    <t>22-030</t>
  </si>
  <si>
    <t>22-031</t>
  </si>
  <si>
    <t>22-032</t>
  </si>
  <si>
    <t>22-033</t>
  </si>
  <si>
    <t>22-034</t>
  </si>
  <si>
    <t>22-035</t>
  </si>
  <si>
    <t>22-036</t>
  </si>
  <si>
    <t>22-037</t>
  </si>
  <si>
    <t>22-038</t>
  </si>
  <si>
    <t>22-040</t>
  </si>
  <si>
    <t>22-041</t>
  </si>
  <si>
    <t>22-042</t>
  </si>
  <si>
    <t>22-043</t>
  </si>
  <si>
    <t>22-044</t>
  </si>
  <si>
    <t>22-045</t>
  </si>
  <si>
    <t>22-046</t>
  </si>
  <si>
    <t>22-047</t>
  </si>
  <si>
    <t>22-048</t>
  </si>
  <si>
    <t>22-049</t>
  </si>
  <si>
    <t>22-050</t>
  </si>
  <si>
    <t>22-051</t>
  </si>
  <si>
    <t>22-052</t>
  </si>
  <si>
    <t>22-053</t>
  </si>
  <si>
    <t>22-054</t>
  </si>
  <si>
    <t>22-055</t>
  </si>
  <si>
    <t>22-056</t>
  </si>
  <si>
    <t>22-058</t>
  </si>
  <si>
    <t>22-059</t>
  </si>
  <si>
    <t>22-061</t>
  </si>
  <si>
    <t>22-062</t>
  </si>
  <si>
    <t>22-063</t>
  </si>
  <si>
    <t>22-064</t>
  </si>
  <si>
    <t>22-065</t>
  </si>
  <si>
    <t>22-066</t>
  </si>
  <si>
    <t>22-067</t>
  </si>
  <si>
    <t>22-068</t>
  </si>
  <si>
    <t>22-069</t>
  </si>
  <si>
    <t>22-070</t>
  </si>
  <si>
    <t>22-071</t>
  </si>
  <si>
    <t>22-072</t>
  </si>
  <si>
    <t>22-074</t>
  </si>
  <si>
    <t>22-075</t>
  </si>
  <si>
    <t>22-076</t>
  </si>
  <si>
    <t>Change Order Status</t>
  </si>
  <si>
    <t>Material Escalation</t>
  </si>
  <si>
    <t>Project Scope</t>
  </si>
  <si>
    <t>SYMS Engineering</t>
  </si>
  <si>
    <t>24-046</t>
  </si>
  <si>
    <t>24-047</t>
  </si>
  <si>
    <t>24-048</t>
  </si>
  <si>
    <t>25-010</t>
  </si>
  <si>
    <t>25-011</t>
  </si>
  <si>
    <t>25-012</t>
  </si>
  <si>
    <t>25-013</t>
  </si>
  <si>
    <t>25-014</t>
  </si>
  <si>
    <t>25-016</t>
  </si>
  <si>
    <t>25-017</t>
  </si>
  <si>
    <t>25-018</t>
  </si>
  <si>
    <t>25-019</t>
  </si>
  <si>
    <t>25-020</t>
  </si>
  <si>
    <t>25-021</t>
  </si>
  <si>
    <t>25-015</t>
  </si>
  <si>
    <t>25-023</t>
  </si>
  <si>
    <t>25-024</t>
  </si>
  <si>
    <t>25-025</t>
  </si>
  <si>
    <t>25-026</t>
  </si>
  <si>
    <t>25-027</t>
  </si>
  <si>
    <t>25-028</t>
  </si>
  <si>
    <t>25-029</t>
  </si>
  <si>
    <t>25-030</t>
  </si>
  <si>
    <t>25-031</t>
  </si>
  <si>
    <t>25-032</t>
  </si>
  <si>
    <t>25-033</t>
  </si>
  <si>
    <t>25-034</t>
  </si>
  <si>
    <t>25-035</t>
  </si>
  <si>
    <t>25-036</t>
  </si>
  <si>
    <t>25-037</t>
  </si>
  <si>
    <t>Irving Tissue</t>
  </si>
  <si>
    <t>25-039</t>
  </si>
  <si>
    <t>25-040</t>
  </si>
  <si>
    <t>NAK Kiln</t>
  </si>
  <si>
    <t>25-042</t>
  </si>
  <si>
    <t>25-044</t>
  </si>
  <si>
    <t>25-045</t>
  </si>
  <si>
    <t>ProPipe</t>
  </si>
  <si>
    <t>25-052</t>
  </si>
  <si>
    <t>25-053</t>
  </si>
  <si>
    <t>25-054</t>
  </si>
  <si>
    <t>Chromascape</t>
  </si>
  <si>
    <t>25-055</t>
  </si>
  <si>
    <t>25-056</t>
  </si>
  <si>
    <t>Reco</t>
  </si>
  <si>
    <t>25-057</t>
  </si>
  <si>
    <t>25-058</t>
  </si>
  <si>
    <t>25-059</t>
  </si>
  <si>
    <t>25-060</t>
  </si>
  <si>
    <t>25-061</t>
  </si>
  <si>
    <t>25-062</t>
  </si>
  <si>
    <t>25-063</t>
  </si>
  <si>
    <t>25-064</t>
  </si>
  <si>
    <t>25-065</t>
  </si>
  <si>
    <t>25-066</t>
  </si>
  <si>
    <t>25-067</t>
  </si>
  <si>
    <t>25-068</t>
  </si>
  <si>
    <t>25-069</t>
  </si>
  <si>
    <t>25-070</t>
  </si>
  <si>
    <t>25-071</t>
  </si>
  <si>
    <t>25-072</t>
  </si>
  <si>
    <t>25-073</t>
  </si>
  <si>
    <t>25-074</t>
  </si>
  <si>
    <t>25-075</t>
  </si>
  <si>
    <t>Burke Industrial</t>
  </si>
  <si>
    <t>25-076</t>
  </si>
  <si>
    <t>25-077</t>
  </si>
  <si>
    <t>25-078</t>
  </si>
  <si>
    <t>25-079</t>
  </si>
  <si>
    <t>25-080</t>
  </si>
  <si>
    <t>25-081</t>
  </si>
  <si>
    <t>7/15/25025</t>
  </si>
  <si>
    <t>Irving tissue</t>
  </si>
  <si>
    <t>Epic Systems</t>
  </si>
  <si>
    <t>25-083</t>
  </si>
  <si>
    <t>Synthomer</t>
  </si>
  <si>
    <t>25-084</t>
  </si>
  <si>
    <t>Atlas Minerals</t>
  </si>
  <si>
    <t>25-085</t>
  </si>
  <si>
    <t>25-086</t>
  </si>
  <si>
    <t>25-087</t>
  </si>
  <si>
    <t>25-088</t>
  </si>
  <si>
    <t>25-089</t>
  </si>
  <si>
    <t>25-090</t>
  </si>
  <si>
    <t>CIL Isotopes</t>
  </si>
  <si>
    <t>Valmet</t>
  </si>
  <si>
    <t>Spool piece 4A-1 CERTIFIED on 8/22/25</t>
  </si>
  <si>
    <t>25-091</t>
  </si>
  <si>
    <t>25-092</t>
  </si>
  <si>
    <t>25-093</t>
  </si>
  <si>
    <t>25-094</t>
  </si>
  <si>
    <t>25-095</t>
  </si>
  <si>
    <t>25-096</t>
  </si>
  <si>
    <t>25-097</t>
  </si>
  <si>
    <t>25-098</t>
  </si>
  <si>
    <t>Coastal Technologies</t>
  </si>
  <si>
    <t>25-099</t>
  </si>
  <si>
    <t>25-101</t>
  </si>
  <si>
    <t>25-102</t>
  </si>
  <si>
    <t>25-103</t>
  </si>
  <si>
    <t>25-104</t>
  </si>
  <si>
    <t>25-105</t>
  </si>
  <si>
    <t>25-106</t>
  </si>
  <si>
    <t>25-107</t>
  </si>
  <si>
    <t>25-108</t>
  </si>
  <si>
    <t>25-109</t>
  </si>
  <si>
    <t>25-110</t>
  </si>
  <si>
    <t>25-111</t>
  </si>
  <si>
    <t>25-112</t>
  </si>
  <si>
    <t>25-113</t>
  </si>
  <si>
    <t>25-114</t>
  </si>
  <si>
    <t>25-115</t>
  </si>
  <si>
    <t>25-116</t>
  </si>
  <si>
    <t>25-117</t>
  </si>
  <si>
    <t>Merrick</t>
  </si>
  <si>
    <t>25-118</t>
  </si>
  <si>
    <t>25-119</t>
  </si>
  <si>
    <t>Vertiv</t>
  </si>
  <si>
    <t>RS</t>
  </si>
  <si>
    <t>25-120</t>
  </si>
  <si>
    <t>25-121</t>
  </si>
  <si>
    <t>25-122</t>
  </si>
  <si>
    <t>25-123</t>
  </si>
  <si>
    <t>25-124</t>
  </si>
  <si>
    <t>25-356</t>
  </si>
  <si>
    <t>25-357</t>
  </si>
  <si>
    <t>25-358</t>
  </si>
  <si>
    <t>Sylvamo</t>
  </si>
  <si>
    <t>26-002</t>
  </si>
  <si>
    <t>26-003</t>
  </si>
  <si>
    <t>26-004</t>
  </si>
  <si>
    <t>26-005</t>
  </si>
  <si>
    <t>26-014</t>
  </si>
  <si>
    <t>26-015</t>
  </si>
  <si>
    <t>26-016</t>
  </si>
  <si>
    <t>26-017</t>
  </si>
  <si>
    <t>26-018</t>
  </si>
  <si>
    <t>SNF</t>
  </si>
  <si>
    <t>Tank size confirmed on 2/9/26</t>
  </si>
  <si>
    <t>Questions answred on 2/10/26</t>
  </si>
  <si>
    <t>26-020</t>
  </si>
  <si>
    <t>26-021</t>
  </si>
  <si>
    <t>26-022</t>
  </si>
  <si>
    <t>Awaiting customer input on (1) nozzle</t>
  </si>
  <si>
    <t>Burn File</t>
  </si>
  <si>
    <t>Ship</t>
  </si>
  <si>
    <t>='Date Calcs from Ship Date'!$A$4:$AB$351</t>
  </si>
  <si>
    <t>Ship Date</t>
  </si>
  <si>
    <t>to c</t>
  </si>
  <si>
    <t>Cleaning</t>
  </si>
  <si>
    <t>Fabrication</t>
  </si>
  <si>
    <t>Testing</t>
  </si>
  <si>
    <t>Painting / Sandblasting</t>
  </si>
  <si>
    <t>26-019</t>
  </si>
  <si>
    <t>Genera</t>
  </si>
  <si>
    <t>Shipping Prep</t>
  </si>
  <si>
    <t>Reco/Nudyne</t>
  </si>
  <si>
    <t>Coastal Tech</t>
  </si>
  <si>
    <t>Burke</t>
  </si>
  <si>
    <t>Nak Kiln</t>
  </si>
  <si>
    <t>Syms</t>
  </si>
  <si>
    <t>Epic</t>
  </si>
  <si>
    <t># of weeks per schedule</t>
  </si>
  <si>
    <t>Release to Shop By Ship Date</t>
  </si>
  <si>
    <t>AIR GAS</t>
  </si>
  <si>
    <t>Ship Date Week Of</t>
  </si>
  <si>
    <t>Drop Dead Date Week of</t>
  </si>
  <si>
    <t>QC Checklist</t>
  </si>
  <si>
    <t>days to go</t>
  </si>
  <si>
    <t>Customer Drop Dead Date</t>
  </si>
  <si>
    <t>Customer Ship Date</t>
  </si>
  <si>
    <t>Weeks on Hold by Customer</t>
  </si>
  <si>
    <t>Days to go</t>
  </si>
  <si>
    <t>Difference drop dead to ship</t>
  </si>
  <si>
    <t>All Purchased Parts Recv'd</t>
  </si>
  <si>
    <t>Purch Recvd</t>
  </si>
  <si>
    <t>Purchase vs Release</t>
  </si>
  <si>
    <t>Released</t>
  </si>
  <si>
    <t>All MAT. 
On hand</t>
  </si>
  <si>
    <t>Actual Ship Date</t>
  </si>
  <si>
    <t>COMMENTS</t>
  </si>
  <si>
    <t xml:space="preserve">MINERAL WOOL &amp;  .024 ALUMINUM  SHEET </t>
  </si>
  <si>
    <t>Head from California</t>
  </si>
  <si>
    <t>Logistics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</si>
</sst>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"/>
      <name val="Verdana"/>
      <family val="2"/>
    </font>
    <font>
      <sz val="8"/>
      <color indexed="12"/>
      <name val="MS Sans Serif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/>
      <bottom style="thin">
        <color indexed="6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/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6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5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left"/>
    </xf>
    <xf numFmtId="0" fontId="0" fillId="0" borderId="0" xfId="0" applyAlignment="1">
      <alignment wrapText="1"/>
    </xf>
    <xf numFmtId="0" fontId="7" fillId="0" borderId="0" xfId="0" applyFont="1"/>
    <xf numFmtId="14" fontId="7" fillId="0" borderId="0" xfId="0" applyNumberFormat="1" applyFont="1"/>
    <xf numFmtId="0" fontId="0" fillId="7" borderId="0" xfId="0" applyFill="1"/>
    <xf numFmtId="0" fontId="1" fillId="7" borderId="1" xfId="0" applyFont="1" applyFill="1" applyBorder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7" borderId="0" xfId="0" applyFont="1" applyFill="1"/>
    <xf numFmtId="0" fontId="9" fillId="0" borderId="0" xfId="0" applyFont="1"/>
    <xf numFmtId="0" fontId="5" fillId="5" borderId="8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14" fontId="6" fillId="6" borderId="6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9" fillId="7" borderId="10" xfId="0" applyFont="1" applyFill="1" applyBorder="1" applyAlignment="1">
      <alignment horizontal="center" wrapText="1"/>
    </xf>
    <xf numFmtId="0" fontId="9" fillId="7" borderId="11" xfId="0" applyFont="1" applyFill="1" applyBorder="1" applyAlignment="1">
      <alignment horizontal="center" wrapText="1"/>
    </xf>
    <xf numFmtId="0" fontId="10" fillId="7" borderId="11" xfId="0" applyFont="1" applyFill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11" fillId="0" borderId="0" xfId="0" applyFont="1" applyAlignment="1">
      <alignment horizontal="center" textRotation="90" wrapText="1"/>
    </xf>
    <xf numFmtId="14" fontId="8" fillId="0" borderId="9" xfId="0" applyNumberFormat="1" applyFont="1" applyBorder="1"/>
    <xf numFmtId="0" fontId="6" fillId="8" borderId="6" xfId="0" applyFont="1" applyFill="1" applyBorder="1" applyAlignment="1">
      <alignment horizontal="left"/>
    </xf>
    <xf numFmtId="1" fontId="3" fillId="0" borderId="1" xfId="0" applyNumberFormat="1" applyFont="1" applyBorder="1" applyAlignment="1">
      <alignment horizontal="center" vertical="center"/>
    </xf>
    <xf numFmtId="0" fontId="8" fillId="7" borderId="9" xfId="0" applyFont="1" applyFill="1" applyBorder="1"/>
    <xf numFmtId="0" fontId="0" fillId="9" borderId="0" xfId="0" applyFill="1"/>
    <xf numFmtId="0" fontId="7" fillId="9" borderId="0" xfId="0" applyFont="1" applyFill="1"/>
    <xf numFmtId="0" fontId="0" fillId="9" borderId="0" xfId="0" applyFill="1" applyAlignment="1">
      <alignment vertical="top"/>
    </xf>
    <xf numFmtId="0" fontId="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8" fillId="7" borderId="14" xfId="0" applyFont="1" applyFill="1" applyBorder="1"/>
    <xf numFmtId="0" fontId="0" fillId="10" borderId="15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textRotation="90" wrapText="1"/>
    </xf>
    <xf numFmtId="0" fontId="9" fillId="11" borderId="11" xfId="0" applyFont="1" applyFill="1" applyBorder="1" applyAlignment="1">
      <alignment horizontal="center" wrapText="1"/>
    </xf>
    <xf numFmtId="0" fontId="14" fillId="0" borderId="0" xfId="0" applyFont="1"/>
    <xf numFmtId="14" fontId="8" fillId="7" borderId="9" xfId="0" applyNumberFormat="1" applyFont="1" applyFill="1" applyBorder="1"/>
    <xf numFmtId="14" fontId="8" fillId="7" borderId="14" xfId="0" applyNumberFormat="1" applyFont="1" applyFill="1" applyBorder="1"/>
    <xf numFmtId="0" fontId="12" fillId="0" borderId="0" xfId="0" applyFont="1" applyAlignment="1">
      <alignment horizontal="center"/>
    </xf>
    <xf numFmtId="0" fontId="15" fillId="0" borderId="23" xfId="0" applyFont="1" applyBorder="1" applyAlignment="1">
      <alignment horizontal="center" wrapText="1"/>
    </xf>
    <xf numFmtId="0" fontId="15" fillId="0" borderId="24" xfId="0" applyFont="1" applyBorder="1" applyAlignment="1">
      <alignment horizontal="center" wrapText="1"/>
    </xf>
    <xf numFmtId="0" fontId="12" fillId="0" borderId="0" xfId="0" applyFont="1"/>
    <xf numFmtId="14" fontId="0" fillId="12" borderId="6" xfId="0" applyNumberFormat="1" applyFill="1" applyBorder="1" applyAlignment="1">
      <alignment horizontal="center"/>
    </xf>
    <xf numFmtId="0" fontId="15" fillId="0" borderId="19" xfId="0" applyFont="1" applyBorder="1" applyAlignment="1">
      <alignment horizontal="center" wrapText="1"/>
    </xf>
    <xf numFmtId="0" fontId="15" fillId="0" borderId="22" xfId="0" applyFont="1" applyBorder="1" applyAlignment="1">
      <alignment horizontal="center" wrapText="1"/>
    </xf>
    <xf numFmtId="0" fontId="0" fillId="0" borderId="27" xfId="0" applyBorder="1" applyAlignment="1">
      <alignment wrapText="1"/>
    </xf>
    <xf numFmtId="0" fontId="6" fillId="8" borderId="6" xfId="0" applyFont="1" applyFill="1" applyBorder="1" applyAlignment="1">
      <alignment horizontal="left" wrapText="1"/>
    </xf>
    <xf numFmtId="0" fontId="6" fillId="6" borderId="6" xfId="0" applyFont="1" applyFill="1" applyBorder="1" applyAlignment="1">
      <alignment horizontal="left" wrapText="1"/>
    </xf>
    <xf numFmtId="14" fontId="6" fillId="6" borderId="6" xfId="0" applyNumberFormat="1" applyFont="1" applyFill="1" applyBorder="1" applyAlignment="1">
      <alignment horizontal="left" wrapText="1"/>
    </xf>
    <xf numFmtId="14" fontId="0" fillId="12" borderId="6" xfId="0" applyNumberFormat="1" applyFill="1" applyBorder="1" applyAlignment="1">
      <alignment horizontal="center" wrapText="1"/>
    </xf>
    <xf numFmtId="1" fontId="0" fillId="13" borderId="6" xfId="0" applyNumberFormat="1" applyFill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14" borderId="0" xfId="0" applyFill="1"/>
    <xf numFmtId="0" fontId="9" fillId="0" borderId="0" xfId="0" applyFont="1" applyAlignment="1">
      <alignment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6" borderId="0" xfId="0" applyFill="1"/>
    <xf numFmtId="0" fontId="0" fillId="9" borderId="0" xfId="0" applyFill="1" applyAlignment="1">
      <alignment horizontal="center"/>
    </xf>
    <xf numFmtId="0" fontId="12" fillId="0" borderId="0" xfId="0" applyFont="1" applyAlignment="1">
      <alignment horizontal="center" wrapText="1"/>
    </xf>
    <xf numFmtId="0" fontId="0" fillId="11" borderId="0" xfId="0" applyFill="1" applyAlignment="1">
      <alignment horizontal="center" wrapText="1"/>
    </xf>
    <xf numFmtId="0" fontId="0" fillId="11" borderId="0" xfId="0" applyFill="1" applyAlignment="1">
      <alignment horizontal="left" wrapText="1"/>
    </xf>
    <xf numFmtId="0" fontId="0" fillId="11" borderId="0" xfId="0" applyFill="1" applyAlignment="1">
      <alignment horizontal="center"/>
    </xf>
    <xf numFmtId="0" fontId="14" fillId="11" borderId="0" xfId="0" applyFont="1" applyFill="1" applyAlignment="1">
      <alignment horizontal="center"/>
    </xf>
    <xf numFmtId="9" fontId="0" fillId="0" borderId="0" xfId="0" applyNumberFormat="1"/>
    <xf numFmtId="9" fontId="0" fillId="0" borderId="0" xfId="1" applyFont="1" applyAlignment="1">
      <alignment vertical="center"/>
    </xf>
    <xf numFmtId="9" fontId="0" fillId="0" borderId="0" xfId="1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8" fillId="7" borderId="9" xfId="0" quotePrefix="1" applyFont="1" applyFill="1" applyBorder="1"/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quotePrefix="1"/>
    <xf numFmtId="0" fontId="0" fillId="0" borderId="0" xfId="0" applyAlignment="1">
      <alignment horizontal="center" wrapText="1"/>
    </xf>
    <xf numFmtId="14" fontId="0" fillId="15" borderId="0" xfId="0" applyNumberFormat="1" applyFill="1"/>
    <xf numFmtId="0" fontId="2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" fillId="15" borderId="1" xfId="0" applyFont="1" applyFill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1" fontId="0" fillId="0" borderId="0" xfId="0" applyNumberFormat="1" applyAlignment="1">
      <alignment horizontal="center"/>
    </xf>
    <xf numFmtId="1" fontId="8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0" fillId="0" borderId="0" xfId="0" applyNumberFormat="1" applyAlignment="1">
      <alignment horizontal="right"/>
    </xf>
    <xf numFmtId="0" fontId="1" fillId="17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0" fontId="14" fillId="11" borderId="28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/>
    </xf>
    <xf numFmtId="0" fontId="0" fillId="11" borderId="28" xfId="0" applyFill="1" applyBorder="1" applyAlignment="1">
      <alignment horizontal="left" wrapText="1"/>
    </xf>
    <xf numFmtId="0" fontId="0" fillId="11" borderId="29" xfId="0" applyFill="1" applyBorder="1" applyAlignment="1">
      <alignment horizontal="left" wrapText="1"/>
    </xf>
    <xf numFmtId="0" fontId="0" fillId="11" borderId="28" xfId="0" applyFill="1" applyBorder="1" applyAlignment="1">
      <alignment horizontal="center" wrapText="1"/>
    </xf>
    <xf numFmtId="0" fontId="0" fillId="11" borderId="29" xfId="0" applyFill="1" applyBorder="1" applyAlignment="1">
      <alignment horizontal="center" wrapText="1"/>
    </xf>
    <xf numFmtId="0" fontId="15" fillId="0" borderId="18" xfId="0" applyFont="1" applyBorder="1" applyAlignment="1">
      <alignment horizontal="center" wrapText="1"/>
    </xf>
    <xf numFmtId="0" fontId="15" fillId="0" borderId="19" xfId="0" applyFont="1" applyBorder="1" applyAlignment="1">
      <alignment horizontal="center" wrapText="1"/>
    </xf>
    <xf numFmtId="0" fontId="15" fillId="0" borderId="15" xfId="0" applyFont="1" applyBorder="1" applyAlignment="1">
      <alignment horizontal="center" wrapText="1"/>
    </xf>
    <xf numFmtId="0" fontId="15" fillId="0" borderId="22" xfId="0" applyFont="1" applyBorder="1" applyAlignment="1">
      <alignment horizontal="center" wrapText="1"/>
    </xf>
    <xf numFmtId="0" fontId="12" fillId="0" borderId="20" xfId="0" applyFont="1" applyBorder="1" applyAlignment="1">
      <alignment horizontal="center" wrapText="1"/>
    </xf>
    <xf numFmtId="0" fontId="12" fillId="0" borderId="21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12" fillId="0" borderId="26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15" fillId="0" borderId="17" xfId="0" applyFont="1" applyBorder="1" applyAlignment="1">
      <alignment horizontal="center" wrapText="1"/>
    </xf>
    <xf numFmtId="0" fontId="1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58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</a:t>
            </a:r>
            <a:r>
              <a:rPr lang="en-US" baseline="0"/>
              <a:t> APPROVAL DWG SUBMISSION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EFFICIENCY'!$C$5:$C$28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0-4129-8143-8F84626AD35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EFFICIENCY'!$D$5:$D$28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0-4129-8143-8F84626AD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2973776"/>
        <c:axId val="1742980848"/>
        <c:axId val="0"/>
      </c:bar3DChart>
      <c:catAx>
        <c:axId val="174297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80848"/>
        <c:crosses val="autoZero"/>
        <c:auto val="1"/>
        <c:lblAlgn val="ctr"/>
        <c:lblOffset val="100"/>
        <c:noMultiLvlLbl val="0"/>
      </c:catAx>
      <c:valAx>
        <c:axId val="174298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DWG SUBMISSION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667467098527574E-2"/>
          <c:y val="0.1007751937984496"/>
          <c:w val="0.89152875039556223"/>
          <c:h val="0.71126147022319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'DRAWING EFFICIENCY'!$B$3:$B$4</c:f>
              <c:strCache>
                <c:ptCount val="2"/>
                <c:pt idx="0">
                  <c:v>TIME PERIOD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EFFICIENCY'!$B$5:$B$28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3-40D1-8DDE-0361BC970DCB}"/>
            </c:ext>
          </c:extLst>
        </c:ser>
        <c:ser>
          <c:idx val="1"/>
          <c:order val="1"/>
          <c:tx>
            <c:strRef>
              <c:f>'DRAWING EFFICIENCY'!$E$3:$E$4</c:f>
              <c:strCache>
                <c:ptCount val="2"/>
                <c:pt idx="0">
                  <c:v>EFFICIENCY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00B0F0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EFFICIENCY'!$E$5:$E$28</c:f>
              <c:numCache>
                <c:formatCode>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A3-40D1-8DDE-0361BC970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16268384"/>
        <c:axId val="2116260896"/>
      </c:barChart>
      <c:lineChart>
        <c:grouping val="standard"/>
        <c:varyColors val="0"/>
        <c:ser>
          <c:idx val="2"/>
          <c:order val="2"/>
          <c:tx>
            <c:strRef>
              <c:f>'DRAWING EFFICIENCY'!$F$3:$F$4</c:f>
              <c:strCache>
                <c:ptCount val="2"/>
                <c:pt idx="0">
                  <c:v>TARGET 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EFFICIENCY'!$F$5:$F$28</c:f>
              <c:numCache>
                <c:formatCode>0%</c:formatCode>
                <c:ptCount val="24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A3-40D1-8DDE-0361BC970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268384"/>
        <c:axId val="2116260896"/>
      </c:lineChart>
      <c:catAx>
        <c:axId val="211626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60896"/>
        <c:crosses val="autoZero"/>
        <c:auto val="1"/>
        <c:lblAlgn val="ctr"/>
        <c:lblOffset val="100"/>
        <c:noMultiLvlLbl val="0"/>
      </c:catAx>
      <c:valAx>
        <c:axId val="21162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6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2</xdr:row>
      <xdr:rowOff>19050</xdr:rowOff>
    </xdr:from>
    <xdr:to>
      <xdr:col>18</xdr:col>
      <xdr:colOff>71438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1EA1A7-A4F6-453A-A08D-4D8F79746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76199</xdr:colOff>
      <xdr:row>2</xdr:row>
      <xdr:rowOff>19050</xdr:rowOff>
    </xdr:from>
    <xdr:to>
      <xdr:col>28</xdr:col>
      <xdr:colOff>457200</xdr:colOff>
      <xdr:row>31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F6AFC8-5015-4109-8BB9-F3BF5AD3F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OGS/OGSM%20-%20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wing Submittal"/>
      <sheetName val="Cust Dwg Return"/>
      <sheetName val="RTR v2"/>
      <sheetName val="Actual Dates"/>
      <sheetName val="OGMS 2019"/>
      <sheetName val="Date"/>
      <sheetName val="Date Calcs"/>
    </sheetNames>
    <sheetDataSet>
      <sheetData sheetId="0" refreshError="1"/>
      <sheetData sheetId="1" refreshError="1"/>
      <sheetData sheetId="2" refreshError="1"/>
      <sheetData sheetId="3" refreshError="1">
        <row r="4">
          <cell r="A4" t="str">
            <v>15-126</v>
          </cell>
          <cell r="B4" t="str">
            <v>Y</v>
          </cell>
          <cell r="C4" t="str">
            <v>Y</v>
          </cell>
          <cell r="D4" t="str">
            <v>Y</v>
          </cell>
          <cell r="E4" t="str">
            <v>N</v>
          </cell>
          <cell r="F4">
            <v>3</v>
          </cell>
          <cell r="G4">
            <v>0</v>
          </cell>
          <cell r="H4">
            <v>42354</v>
          </cell>
          <cell r="I4">
            <v>42357</v>
          </cell>
          <cell r="J4">
            <v>42367</v>
          </cell>
          <cell r="K4">
            <v>42359</v>
          </cell>
          <cell r="L4">
            <v>42376</v>
          </cell>
          <cell r="M4">
            <v>42377</v>
          </cell>
          <cell r="N4">
            <v>0</v>
          </cell>
          <cell r="O4">
            <v>0</v>
          </cell>
          <cell r="P4">
            <v>42348</v>
          </cell>
          <cell r="Q4">
            <v>42354</v>
          </cell>
          <cell r="R4">
            <v>0</v>
          </cell>
          <cell r="S4">
            <v>42367</v>
          </cell>
          <cell r="T4">
            <v>0</v>
          </cell>
          <cell r="U4">
            <v>42376</v>
          </cell>
          <cell r="V4">
            <v>42376</v>
          </cell>
          <cell r="W4">
            <v>42376</v>
          </cell>
          <cell r="X4">
            <v>42383</v>
          </cell>
          <cell r="Y4">
            <v>42383</v>
          </cell>
          <cell r="Z4">
            <v>42480</v>
          </cell>
          <cell r="AA4">
            <v>42471</v>
          </cell>
          <cell r="AB4">
            <v>42598</v>
          </cell>
        </row>
        <row r="5">
          <cell r="A5" t="str">
            <v>16-004</v>
          </cell>
          <cell r="B5" t="str">
            <v>Y</v>
          </cell>
          <cell r="C5" t="str">
            <v>Y</v>
          </cell>
          <cell r="D5" t="str">
            <v>Y</v>
          </cell>
          <cell r="E5" t="str">
            <v>Y</v>
          </cell>
          <cell r="F5">
            <v>3</v>
          </cell>
          <cell r="G5">
            <v>0</v>
          </cell>
          <cell r="H5">
            <v>42398</v>
          </cell>
          <cell r="I5">
            <v>0</v>
          </cell>
          <cell r="J5">
            <v>42426</v>
          </cell>
          <cell r="K5">
            <v>0</v>
          </cell>
          <cell r="L5">
            <v>42437</v>
          </cell>
          <cell r="M5">
            <v>0</v>
          </cell>
          <cell r="N5">
            <v>42543</v>
          </cell>
          <cell r="O5">
            <v>0</v>
          </cell>
          <cell r="P5">
            <v>42469</v>
          </cell>
          <cell r="Q5">
            <v>42493</v>
          </cell>
          <cell r="R5">
            <v>0</v>
          </cell>
          <cell r="S5">
            <v>0</v>
          </cell>
          <cell r="T5">
            <v>0</v>
          </cell>
          <cell r="U5">
            <v>42528</v>
          </cell>
          <cell r="V5">
            <v>42501</v>
          </cell>
          <cell r="W5">
            <v>42495</v>
          </cell>
          <cell r="X5">
            <v>42500</v>
          </cell>
          <cell r="Y5">
            <v>42517</v>
          </cell>
          <cell r="Z5">
            <v>42508</v>
          </cell>
          <cell r="AA5">
            <v>42142</v>
          </cell>
          <cell r="AB5">
            <v>42592</v>
          </cell>
        </row>
        <row r="6">
          <cell r="A6" t="str">
            <v>16-005</v>
          </cell>
          <cell r="B6" t="str">
            <v>Y</v>
          </cell>
          <cell r="C6" t="str">
            <v>Y</v>
          </cell>
          <cell r="D6" t="str">
            <v>Y</v>
          </cell>
          <cell r="E6" t="str">
            <v>Y</v>
          </cell>
          <cell r="F6">
            <v>3</v>
          </cell>
          <cell r="G6">
            <v>0</v>
          </cell>
          <cell r="H6">
            <v>42398</v>
          </cell>
          <cell r="I6">
            <v>0</v>
          </cell>
          <cell r="J6">
            <v>42445</v>
          </cell>
          <cell r="K6">
            <v>0</v>
          </cell>
          <cell r="L6">
            <v>42459</v>
          </cell>
          <cell r="M6">
            <v>0</v>
          </cell>
          <cell r="N6">
            <v>42528</v>
          </cell>
          <cell r="O6">
            <v>0</v>
          </cell>
          <cell r="P6">
            <v>42469</v>
          </cell>
          <cell r="Q6">
            <v>42472</v>
          </cell>
          <cell r="R6">
            <v>0</v>
          </cell>
          <cell r="S6">
            <v>0</v>
          </cell>
          <cell r="T6">
            <v>0</v>
          </cell>
          <cell r="U6">
            <v>42528</v>
          </cell>
          <cell r="V6">
            <v>42499</v>
          </cell>
          <cell r="W6">
            <v>42495</v>
          </cell>
          <cell r="X6">
            <v>42499</v>
          </cell>
          <cell r="Y6">
            <v>42548</v>
          </cell>
          <cell r="Z6">
            <v>42508</v>
          </cell>
          <cell r="AA6">
            <v>42142</v>
          </cell>
          <cell r="AB6">
            <v>42592</v>
          </cell>
        </row>
        <row r="7">
          <cell r="A7" t="str">
            <v>16-006</v>
          </cell>
          <cell r="B7" t="str">
            <v>Y</v>
          </cell>
          <cell r="C7" t="str">
            <v>Y</v>
          </cell>
          <cell r="D7" t="str">
            <v>Y</v>
          </cell>
          <cell r="E7" t="str">
            <v>Y</v>
          </cell>
          <cell r="F7">
            <v>3</v>
          </cell>
          <cell r="G7" t="str">
            <v>y</v>
          </cell>
          <cell r="H7">
            <v>42398</v>
          </cell>
          <cell r="I7">
            <v>0</v>
          </cell>
          <cell r="J7">
            <v>42445</v>
          </cell>
          <cell r="K7">
            <v>0</v>
          </cell>
          <cell r="L7">
            <v>42459</v>
          </cell>
          <cell r="M7">
            <v>0</v>
          </cell>
          <cell r="N7">
            <v>42528</v>
          </cell>
          <cell r="O7">
            <v>0</v>
          </cell>
          <cell r="P7">
            <v>42469</v>
          </cell>
          <cell r="Q7">
            <v>42495</v>
          </cell>
          <cell r="R7">
            <v>0</v>
          </cell>
          <cell r="S7">
            <v>0</v>
          </cell>
          <cell r="T7">
            <v>0</v>
          </cell>
          <cell r="U7">
            <v>42528</v>
          </cell>
          <cell r="V7">
            <v>42499</v>
          </cell>
          <cell r="W7">
            <v>42495</v>
          </cell>
          <cell r="X7">
            <v>42499</v>
          </cell>
          <cell r="Y7">
            <v>42548</v>
          </cell>
          <cell r="Z7">
            <v>42508</v>
          </cell>
          <cell r="AA7">
            <v>42142</v>
          </cell>
          <cell r="AB7">
            <v>42592</v>
          </cell>
        </row>
        <row r="8">
          <cell r="A8" t="str">
            <v>16-007</v>
          </cell>
          <cell r="B8" t="str">
            <v>Y</v>
          </cell>
          <cell r="C8" t="str">
            <v>Y</v>
          </cell>
          <cell r="D8" t="str">
            <v>Y</v>
          </cell>
          <cell r="E8" t="str">
            <v>Y</v>
          </cell>
          <cell r="F8">
            <v>3</v>
          </cell>
          <cell r="G8" t="str">
            <v>y</v>
          </cell>
          <cell r="H8">
            <v>42398</v>
          </cell>
          <cell r="I8">
            <v>0</v>
          </cell>
          <cell r="J8">
            <v>42426</v>
          </cell>
          <cell r="K8">
            <v>0</v>
          </cell>
          <cell r="L8">
            <v>42445</v>
          </cell>
          <cell r="M8">
            <v>0</v>
          </cell>
          <cell r="N8">
            <v>42471</v>
          </cell>
          <cell r="O8">
            <v>42486</v>
          </cell>
          <cell r="P8">
            <v>42469</v>
          </cell>
          <cell r="Q8">
            <v>42469</v>
          </cell>
          <cell r="R8">
            <v>0</v>
          </cell>
          <cell r="S8">
            <v>0</v>
          </cell>
          <cell r="T8">
            <v>0</v>
          </cell>
          <cell r="U8">
            <v>42471</v>
          </cell>
          <cell r="V8">
            <v>42510</v>
          </cell>
          <cell r="W8">
            <v>42510</v>
          </cell>
          <cell r="X8">
            <v>42510</v>
          </cell>
          <cell r="Y8">
            <v>42513</v>
          </cell>
          <cell r="Z8">
            <v>42515</v>
          </cell>
          <cell r="AA8">
            <v>42515</v>
          </cell>
          <cell r="AB8">
            <v>0</v>
          </cell>
        </row>
        <row r="9">
          <cell r="A9" t="str">
            <v>16-011</v>
          </cell>
          <cell r="B9" t="str">
            <v>N</v>
          </cell>
          <cell r="C9" t="str">
            <v>Y</v>
          </cell>
          <cell r="D9" t="str">
            <v>Y</v>
          </cell>
          <cell r="E9" t="str">
            <v>Y</v>
          </cell>
          <cell r="F9" t="str">
            <v xml:space="preserve">  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 t="str">
            <v>16-014</v>
          </cell>
          <cell r="B10" t="str">
            <v>N</v>
          </cell>
          <cell r="C10" t="str">
            <v>Y</v>
          </cell>
          <cell r="D10" t="str">
            <v>Y</v>
          </cell>
          <cell r="E10" t="str">
            <v>Y</v>
          </cell>
          <cell r="F10" t="str">
            <v xml:space="preserve">  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 t="str">
            <v>16-015</v>
          </cell>
          <cell r="B11" t="str">
            <v>N</v>
          </cell>
          <cell r="C11" t="str">
            <v>Y</v>
          </cell>
          <cell r="D11" t="str">
            <v>Y</v>
          </cell>
          <cell r="E11" t="str">
            <v>Y</v>
          </cell>
          <cell r="F11" t="str">
            <v xml:space="preserve">  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 t="str">
            <v>16-016</v>
          </cell>
          <cell r="B12" t="str">
            <v>N</v>
          </cell>
          <cell r="C12" t="str">
            <v>Y</v>
          </cell>
          <cell r="D12" t="str">
            <v>Y</v>
          </cell>
          <cell r="E12" t="str">
            <v>Y</v>
          </cell>
          <cell r="F12" t="str">
            <v xml:space="preserve">  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A13" t="str">
            <v>16-017</v>
          </cell>
          <cell r="B13" t="str">
            <v>N</v>
          </cell>
          <cell r="C13" t="str">
            <v>Y</v>
          </cell>
          <cell r="D13" t="str">
            <v>Y</v>
          </cell>
          <cell r="E13" t="str">
            <v>Y</v>
          </cell>
          <cell r="F13" t="str">
            <v xml:space="preserve">  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 t="str">
            <v>16-018</v>
          </cell>
          <cell r="B14" t="str">
            <v>N</v>
          </cell>
          <cell r="C14" t="str">
            <v>Y</v>
          </cell>
          <cell r="D14" t="str">
            <v>Y</v>
          </cell>
          <cell r="E14" t="str">
            <v>Y</v>
          </cell>
          <cell r="F14" t="str">
            <v xml:space="preserve">  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A15" t="str">
            <v>16-019</v>
          </cell>
          <cell r="B15" t="str">
            <v>N</v>
          </cell>
          <cell r="C15" t="str">
            <v>Y</v>
          </cell>
          <cell r="D15" t="str">
            <v>Y</v>
          </cell>
          <cell r="E15" t="str">
            <v>Y</v>
          </cell>
          <cell r="F15" t="str">
            <v xml:space="preserve">  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A16" t="str">
            <v>16-020</v>
          </cell>
          <cell r="B16" t="str">
            <v>N</v>
          </cell>
          <cell r="C16" t="str">
            <v>Y</v>
          </cell>
          <cell r="D16" t="str">
            <v>Y</v>
          </cell>
          <cell r="E16" t="str">
            <v>Y</v>
          </cell>
          <cell r="F16" t="str">
            <v xml:space="preserve">  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 t="str">
            <v>16-021</v>
          </cell>
          <cell r="B17" t="str">
            <v>N</v>
          </cell>
          <cell r="C17" t="str">
            <v>Y</v>
          </cell>
          <cell r="D17" t="str">
            <v>Y</v>
          </cell>
          <cell r="E17" t="str">
            <v>Y</v>
          </cell>
          <cell r="F17" t="str">
            <v xml:space="preserve">  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 t="str">
            <v>16-022</v>
          </cell>
          <cell r="B18" t="str">
            <v>N</v>
          </cell>
          <cell r="C18" t="str">
            <v>Y</v>
          </cell>
          <cell r="D18" t="str">
            <v>Y</v>
          </cell>
          <cell r="E18" t="str">
            <v>Y</v>
          </cell>
          <cell r="F18" t="str">
            <v xml:space="preserve">  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 t="str">
            <v>16-023</v>
          </cell>
          <cell r="B19" t="str">
            <v>N</v>
          </cell>
          <cell r="C19" t="str">
            <v>Y</v>
          </cell>
          <cell r="D19" t="str">
            <v>Y</v>
          </cell>
          <cell r="E19" t="str">
            <v>Y</v>
          </cell>
          <cell r="F19" t="str">
            <v xml:space="preserve">  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 t="str">
            <v>16-024</v>
          </cell>
          <cell r="B20" t="str">
            <v>N</v>
          </cell>
          <cell r="C20" t="str">
            <v>Y</v>
          </cell>
          <cell r="D20" t="str">
            <v>Y</v>
          </cell>
          <cell r="E20" t="str">
            <v>Y</v>
          </cell>
          <cell r="F20" t="str">
            <v xml:space="preserve">  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 t="str">
            <v>16-025</v>
          </cell>
          <cell r="B21" t="str">
            <v>N</v>
          </cell>
          <cell r="C21" t="str">
            <v>Y</v>
          </cell>
          <cell r="D21" t="str">
            <v>Y</v>
          </cell>
          <cell r="E21" t="str">
            <v>Y</v>
          </cell>
          <cell r="F21" t="str">
            <v xml:space="preserve">  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 t="str">
            <v>16-026</v>
          </cell>
          <cell r="B22" t="str">
            <v>N</v>
          </cell>
          <cell r="C22" t="str">
            <v>Y</v>
          </cell>
          <cell r="D22" t="str">
            <v>Y</v>
          </cell>
          <cell r="E22" t="str">
            <v>Y</v>
          </cell>
          <cell r="F22" t="str">
            <v xml:space="preserve">  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 t="str">
            <v>16-027</v>
          </cell>
          <cell r="B23" t="str">
            <v>N</v>
          </cell>
          <cell r="C23" t="str">
            <v>Y</v>
          </cell>
          <cell r="D23" t="str">
            <v>Y</v>
          </cell>
          <cell r="E23" t="str">
            <v>Y</v>
          </cell>
          <cell r="F23" t="str">
            <v xml:space="preserve">  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 t="str">
            <v>16-028</v>
          </cell>
          <cell r="B24" t="str">
            <v>N</v>
          </cell>
          <cell r="C24" t="str">
            <v>Y</v>
          </cell>
          <cell r="D24" t="str">
            <v>Y</v>
          </cell>
          <cell r="E24" t="str">
            <v>Y</v>
          </cell>
          <cell r="F24" t="str">
            <v xml:space="preserve">  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 t="str">
            <v>16-029</v>
          </cell>
          <cell r="B25" t="str">
            <v>N</v>
          </cell>
          <cell r="C25" t="str">
            <v>Y</v>
          </cell>
          <cell r="D25" t="str">
            <v>Y</v>
          </cell>
          <cell r="E25" t="str">
            <v>Y</v>
          </cell>
          <cell r="F25" t="str">
            <v xml:space="preserve">  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 t="str">
            <v>16-030</v>
          </cell>
          <cell r="B26" t="str">
            <v>N</v>
          </cell>
          <cell r="C26" t="str">
            <v>Y</v>
          </cell>
          <cell r="D26" t="str">
            <v>Y</v>
          </cell>
          <cell r="E26" t="str">
            <v>Y</v>
          </cell>
          <cell r="F26" t="str">
            <v xml:space="preserve">  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A27" t="str">
            <v>16-031</v>
          </cell>
          <cell r="B27" t="str">
            <v>N</v>
          </cell>
          <cell r="C27" t="str">
            <v>Y</v>
          </cell>
          <cell r="D27" t="str">
            <v>Y</v>
          </cell>
          <cell r="E27" t="str">
            <v>Y</v>
          </cell>
          <cell r="F27" t="str">
            <v xml:space="preserve">  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 t="str">
            <v>16-032</v>
          </cell>
          <cell r="B28" t="str">
            <v>N</v>
          </cell>
          <cell r="C28" t="str">
            <v>Y</v>
          </cell>
          <cell r="D28" t="str">
            <v>Y</v>
          </cell>
          <cell r="E28" t="str">
            <v>Y</v>
          </cell>
          <cell r="F28" t="str">
            <v xml:space="preserve">  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A29" t="str">
            <v>16-033</v>
          </cell>
          <cell r="B29" t="str">
            <v>N</v>
          </cell>
          <cell r="C29" t="str">
            <v>Y</v>
          </cell>
          <cell r="D29" t="str">
            <v>Y</v>
          </cell>
          <cell r="E29" t="str">
            <v>Y</v>
          </cell>
          <cell r="F29" t="str">
            <v xml:space="preserve">  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A30" t="str">
            <v>16-034</v>
          </cell>
          <cell r="B30" t="str">
            <v>N</v>
          </cell>
          <cell r="C30" t="str">
            <v>Y</v>
          </cell>
          <cell r="D30" t="str">
            <v>Y</v>
          </cell>
          <cell r="E30" t="str">
            <v>Y</v>
          </cell>
          <cell r="F30" t="str">
            <v xml:space="preserve">  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A31" t="str">
            <v>16-035</v>
          </cell>
          <cell r="B31" t="str">
            <v>N</v>
          </cell>
          <cell r="C31" t="str">
            <v>Y</v>
          </cell>
          <cell r="D31" t="str">
            <v>Y</v>
          </cell>
          <cell r="E31" t="str">
            <v>Y</v>
          </cell>
          <cell r="F31" t="str">
            <v xml:space="preserve">  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A32" t="str">
            <v>16-042</v>
          </cell>
          <cell r="B32" t="str">
            <v>N</v>
          </cell>
          <cell r="C32" t="str">
            <v>Y</v>
          </cell>
          <cell r="D32" t="str">
            <v>Y</v>
          </cell>
          <cell r="E32" t="str">
            <v>Y</v>
          </cell>
          <cell r="F32" t="str">
            <v xml:space="preserve">  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</row>
        <row r="33">
          <cell r="A33" t="str">
            <v>16-043</v>
          </cell>
          <cell r="B33" t="str">
            <v>Y</v>
          </cell>
          <cell r="C33" t="str">
            <v>Y</v>
          </cell>
          <cell r="D33" t="str">
            <v>N</v>
          </cell>
          <cell r="E33" t="str">
            <v>Y</v>
          </cell>
          <cell r="F33">
            <v>1</v>
          </cell>
          <cell r="G33" t="str">
            <v>y</v>
          </cell>
          <cell r="H33">
            <v>42466</v>
          </cell>
          <cell r="I33">
            <v>42663</v>
          </cell>
          <cell r="J33">
            <v>42675</v>
          </cell>
          <cell r="K33">
            <v>42702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42468</v>
          </cell>
          <cell r="Q33">
            <v>42468</v>
          </cell>
          <cell r="R33">
            <v>2</v>
          </cell>
          <cell r="S33">
            <v>42702</v>
          </cell>
          <cell r="T33">
            <v>42472</v>
          </cell>
          <cell r="U33">
            <v>42702</v>
          </cell>
          <cell r="V33">
            <v>42704</v>
          </cell>
          <cell r="W33">
            <v>42704</v>
          </cell>
          <cell r="X33">
            <v>42704</v>
          </cell>
          <cell r="Y33">
            <v>42705</v>
          </cell>
          <cell r="Z33">
            <v>42705</v>
          </cell>
          <cell r="AA33">
            <v>42705</v>
          </cell>
          <cell r="AB33">
            <v>0</v>
          </cell>
        </row>
        <row r="34">
          <cell r="A34" t="str">
            <v>16-044</v>
          </cell>
          <cell r="B34" t="str">
            <v>N</v>
          </cell>
          <cell r="C34" t="str">
            <v>Y</v>
          </cell>
          <cell r="D34" t="str">
            <v>Y</v>
          </cell>
          <cell r="E34" t="str">
            <v>Y</v>
          </cell>
          <cell r="F34" t="str">
            <v xml:space="preserve">  </v>
          </cell>
          <cell r="G34" t="str">
            <v xml:space="preserve">  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16-045</v>
          </cell>
          <cell r="B35" t="str">
            <v>N</v>
          </cell>
          <cell r="C35" t="str">
            <v>Y</v>
          </cell>
          <cell r="D35" t="str">
            <v>Y</v>
          </cell>
          <cell r="E35" t="str">
            <v>Y</v>
          </cell>
          <cell r="F35" t="str">
            <v xml:space="preserve">  </v>
          </cell>
          <cell r="G35" t="str">
            <v xml:space="preserve">  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16-046</v>
          </cell>
          <cell r="B36" t="str">
            <v>N</v>
          </cell>
          <cell r="C36" t="str">
            <v>Y</v>
          </cell>
          <cell r="D36" t="str">
            <v>Y</v>
          </cell>
          <cell r="E36" t="str">
            <v>Y</v>
          </cell>
          <cell r="F36" t="str">
            <v xml:space="preserve">  </v>
          </cell>
          <cell r="G36" t="str">
            <v xml:space="preserve">  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16-047</v>
          </cell>
          <cell r="B37" t="str">
            <v>N</v>
          </cell>
          <cell r="C37" t="str">
            <v>Y</v>
          </cell>
          <cell r="D37" t="str">
            <v>Y</v>
          </cell>
          <cell r="E37" t="str">
            <v>Y</v>
          </cell>
          <cell r="F37" t="str">
            <v xml:space="preserve">  </v>
          </cell>
          <cell r="G37" t="str">
            <v xml:space="preserve">  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16-049</v>
          </cell>
          <cell r="B38" t="str">
            <v>N</v>
          </cell>
          <cell r="C38" t="str">
            <v>Y</v>
          </cell>
          <cell r="D38" t="str">
            <v>Y</v>
          </cell>
          <cell r="E38" t="str">
            <v>Y</v>
          </cell>
          <cell r="F38" t="str">
            <v xml:space="preserve">  </v>
          </cell>
          <cell r="G38" t="str">
            <v xml:space="preserve">  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16-050</v>
          </cell>
          <cell r="B39" t="str">
            <v>N</v>
          </cell>
          <cell r="C39" t="str">
            <v>Y</v>
          </cell>
          <cell r="D39" t="str">
            <v>Y</v>
          </cell>
          <cell r="E39" t="str">
            <v>Y</v>
          </cell>
          <cell r="F39" t="str">
            <v xml:space="preserve">  </v>
          </cell>
          <cell r="G39" t="str">
            <v xml:space="preserve">  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16-051</v>
          </cell>
          <cell r="B40" t="str">
            <v>N</v>
          </cell>
          <cell r="C40" t="str">
            <v>Y</v>
          </cell>
          <cell r="D40" t="str">
            <v>Y</v>
          </cell>
          <cell r="E40" t="str">
            <v>Y</v>
          </cell>
          <cell r="F40" t="str">
            <v xml:space="preserve">  </v>
          </cell>
          <cell r="G40" t="str">
            <v xml:space="preserve">  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16-052</v>
          </cell>
          <cell r="B41" t="str">
            <v>N</v>
          </cell>
          <cell r="C41" t="str">
            <v>Y</v>
          </cell>
          <cell r="D41" t="str">
            <v>Y</v>
          </cell>
          <cell r="E41" t="str">
            <v>Y</v>
          </cell>
          <cell r="F41" t="str">
            <v xml:space="preserve">  </v>
          </cell>
          <cell r="G41" t="str">
            <v xml:space="preserve">  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16-053</v>
          </cell>
          <cell r="B42" t="str">
            <v>N</v>
          </cell>
          <cell r="C42" t="str">
            <v>Y</v>
          </cell>
          <cell r="D42" t="str">
            <v>Y</v>
          </cell>
          <cell r="E42" t="str">
            <v>Y</v>
          </cell>
          <cell r="F42" t="str">
            <v xml:space="preserve">  </v>
          </cell>
          <cell r="G42" t="str">
            <v xml:space="preserve">  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16-054</v>
          </cell>
          <cell r="B43" t="str">
            <v>N</v>
          </cell>
          <cell r="C43" t="str">
            <v>Y</v>
          </cell>
          <cell r="D43" t="str">
            <v>Y</v>
          </cell>
          <cell r="E43" t="str">
            <v>Y</v>
          </cell>
          <cell r="F43" t="str">
            <v xml:space="preserve">  </v>
          </cell>
          <cell r="G43" t="str">
            <v xml:space="preserve">  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16-057</v>
          </cell>
          <cell r="B44" t="str">
            <v>N</v>
          </cell>
          <cell r="C44" t="str">
            <v>Y</v>
          </cell>
          <cell r="D44" t="str">
            <v>Y</v>
          </cell>
          <cell r="E44" t="str">
            <v>Y</v>
          </cell>
          <cell r="F44" t="str">
            <v xml:space="preserve">  </v>
          </cell>
          <cell r="G44" t="str">
            <v xml:space="preserve">  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16-058</v>
          </cell>
          <cell r="B45" t="str">
            <v>Y</v>
          </cell>
          <cell r="C45" t="str">
            <v>Y</v>
          </cell>
          <cell r="D45" t="str">
            <v>Y</v>
          </cell>
          <cell r="E45" t="str">
            <v>N</v>
          </cell>
          <cell r="F45">
            <v>2</v>
          </cell>
          <cell r="G45" t="str">
            <v>y</v>
          </cell>
          <cell r="H45">
            <v>42531</v>
          </cell>
          <cell r="I45">
            <v>42549</v>
          </cell>
          <cell r="J45">
            <v>42559</v>
          </cell>
          <cell r="K45">
            <v>42593</v>
          </cell>
          <cell r="L45">
            <v>42601</v>
          </cell>
          <cell r="M45">
            <v>42608</v>
          </cell>
          <cell r="N45">
            <v>0</v>
          </cell>
          <cell r="O45">
            <v>0</v>
          </cell>
          <cell r="P45">
            <v>42536</v>
          </cell>
          <cell r="Q45">
            <v>42607</v>
          </cell>
          <cell r="R45">
            <v>3</v>
          </cell>
          <cell r="S45">
            <v>42612</v>
          </cell>
          <cell r="T45">
            <v>42584</v>
          </cell>
          <cell r="U45">
            <v>42612</v>
          </cell>
          <cell r="V45">
            <v>42607</v>
          </cell>
          <cell r="W45">
            <v>42607</v>
          </cell>
          <cell r="X45">
            <v>42608</v>
          </cell>
          <cell r="Y45">
            <v>42608</v>
          </cell>
          <cell r="Z45">
            <v>42619</v>
          </cell>
          <cell r="AA45">
            <v>42619</v>
          </cell>
          <cell r="AB45">
            <v>0</v>
          </cell>
        </row>
        <row r="46">
          <cell r="A46" t="str">
            <v>16-059</v>
          </cell>
          <cell r="B46" t="str">
            <v>Y</v>
          </cell>
          <cell r="C46" t="str">
            <v>Y</v>
          </cell>
          <cell r="D46" t="str">
            <v>N</v>
          </cell>
          <cell r="E46" t="str">
            <v>Y</v>
          </cell>
          <cell r="F46">
            <v>1</v>
          </cell>
          <cell r="G46" t="str">
            <v>y</v>
          </cell>
          <cell r="H46">
            <v>42545</v>
          </cell>
          <cell r="I46">
            <v>42565</v>
          </cell>
          <cell r="J46">
            <v>42579</v>
          </cell>
          <cell r="K46">
            <v>42580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42541</v>
          </cell>
          <cell r="Q46">
            <v>42541</v>
          </cell>
          <cell r="R46">
            <v>2</v>
          </cell>
          <cell r="S46">
            <v>42583</v>
          </cell>
          <cell r="T46">
            <v>42594</v>
          </cell>
          <cell r="U46">
            <v>42583</v>
          </cell>
          <cell r="V46">
            <v>42605</v>
          </cell>
          <cell r="W46">
            <v>42585</v>
          </cell>
          <cell r="X46">
            <v>42585</v>
          </cell>
          <cell r="Y46">
            <v>42585</v>
          </cell>
          <cell r="Z46">
            <v>42600</v>
          </cell>
          <cell r="AA46">
            <v>42600</v>
          </cell>
          <cell r="AB46">
            <v>0</v>
          </cell>
        </row>
        <row r="47">
          <cell r="A47" t="str">
            <v>16-060</v>
          </cell>
          <cell r="B47" t="str">
            <v>Y</v>
          </cell>
          <cell r="C47" t="str">
            <v>Y</v>
          </cell>
          <cell r="D47" t="str">
            <v>N</v>
          </cell>
          <cell r="E47" t="str">
            <v>Y</v>
          </cell>
          <cell r="F47">
            <v>1</v>
          </cell>
          <cell r="G47" t="str">
            <v>y</v>
          </cell>
          <cell r="H47">
            <v>42545</v>
          </cell>
          <cell r="I47">
            <v>42565</v>
          </cell>
          <cell r="J47">
            <v>42579</v>
          </cell>
          <cell r="K47">
            <v>42580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42541</v>
          </cell>
          <cell r="Q47">
            <v>42541</v>
          </cell>
          <cell r="R47">
            <v>2</v>
          </cell>
          <cell r="S47">
            <v>42583</v>
          </cell>
          <cell r="T47">
            <v>42594</v>
          </cell>
          <cell r="U47">
            <v>42583</v>
          </cell>
          <cell r="V47">
            <v>42584</v>
          </cell>
          <cell r="W47">
            <v>42585</v>
          </cell>
          <cell r="X47">
            <v>42585</v>
          </cell>
          <cell r="Y47">
            <v>42585</v>
          </cell>
          <cell r="Z47">
            <v>42600</v>
          </cell>
          <cell r="AA47">
            <v>42600</v>
          </cell>
          <cell r="AB47">
            <v>0</v>
          </cell>
        </row>
        <row r="48">
          <cell r="A48" t="str">
            <v>16-061</v>
          </cell>
          <cell r="B48" t="str">
            <v>Y</v>
          </cell>
          <cell r="C48" t="str">
            <v>Y</v>
          </cell>
          <cell r="D48" t="str">
            <v>Y</v>
          </cell>
          <cell r="E48" t="str">
            <v>N</v>
          </cell>
          <cell r="F48">
            <v>2</v>
          </cell>
          <cell r="G48" t="str">
            <v>y</v>
          </cell>
          <cell r="H48">
            <v>42551</v>
          </cell>
          <cell r="I48">
            <v>42563</v>
          </cell>
          <cell r="J48">
            <v>42564</v>
          </cell>
          <cell r="K48">
            <v>42571</v>
          </cell>
          <cell r="L48">
            <v>42577</v>
          </cell>
          <cell r="M48">
            <v>42578</v>
          </cell>
          <cell r="N48">
            <v>0</v>
          </cell>
          <cell r="O48">
            <v>0</v>
          </cell>
          <cell r="P48">
            <v>42550</v>
          </cell>
          <cell r="Q48">
            <v>42584</v>
          </cell>
          <cell r="R48">
            <v>3</v>
          </cell>
          <cell r="S48">
            <v>42577</v>
          </cell>
          <cell r="T48">
            <v>42584</v>
          </cell>
          <cell r="U48">
            <v>42577</v>
          </cell>
          <cell r="V48">
            <v>42585</v>
          </cell>
          <cell r="W48">
            <v>42585</v>
          </cell>
          <cell r="X48">
            <v>42586</v>
          </cell>
          <cell r="Y48">
            <v>42586</v>
          </cell>
          <cell r="Z48">
            <v>42577</v>
          </cell>
          <cell r="AA48">
            <v>42577</v>
          </cell>
          <cell r="AB48">
            <v>0</v>
          </cell>
        </row>
        <row r="49">
          <cell r="A49" t="str">
            <v>16-063</v>
          </cell>
          <cell r="B49" t="str">
            <v>Y</v>
          </cell>
          <cell r="C49" t="str">
            <v>N</v>
          </cell>
          <cell r="D49" t="str">
            <v>Y</v>
          </cell>
          <cell r="E49" t="str">
            <v>Y</v>
          </cell>
          <cell r="F49">
            <v>0</v>
          </cell>
          <cell r="G49" t="str">
            <v>y</v>
          </cell>
          <cell r="H49">
            <v>42552</v>
          </cell>
          <cell r="I49">
            <v>42562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42550</v>
          </cell>
          <cell r="Q49">
            <v>42565</v>
          </cell>
          <cell r="R49">
            <v>1</v>
          </cell>
          <cell r="S49">
            <v>42572</v>
          </cell>
          <cell r="T49" t="str">
            <v>N/A</v>
          </cell>
          <cell r="U49">
            <v>42572</v>
          </cell>
          <cell r="V49">
            <v>42565</v>
          </cell>
          <cell r="W49">
            <v>42565</v>
          </cell>
          <cell r="X49">
            <v>42566</v>
          </cell>
          <cell r="Y49">
            <v>42566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16-064</v>
          </cell>
          <cell r="B50" t="str">
            <v>Y</v>
          </cell>
          <cell r="C50" t="str">
            <v>N</v>
          </cell>
          <cell r="D50" t="str">
            <v>Y</v>
          </cell>
          <cell r="E50" t="str">
            <v>Y</v>
          </cell>
          <cell r="F50">
            <v>0</v>
          </cell>
          <cell r="G50" t="str">
            <v>y</v>
          </cell>
          <cell r="H50">
            <v>42601</v>
          </cell>
          <cell r="I50">
            <v>42608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42583</v>
          </cell>
          <cell r="Q50">
            <v>42607</v>
          </cell>
          <cell r="R50">
            <v>1</v>
          </cell>
          <cell r="S50">
            <v>42612</v>
          </cell>
          <cell r="T50">
            <v>42584</v>
          </cell>
          <cell r="U50">
            <v>42612</v>
          </cell>
          <cell r="V50">
            <v>42607</v>
          </cell>
          <cell r="W50">
            <v>42607</v>
          </cell>
          <cell r="X50">
            <v>42608</v>
          </cell>
          <cell r="Y50">
            <v>42608</v>
          </cell>
          <cell r="Z50">
            <v>42619</v>
          </cell>
          <cell r="AA50">
            <v>42619</v>
          </cell>
          <cell r="AB50">
            <v>0</v>
          </cell>
        </row>
        <row r="51">
          <cell r="A51" t="str">
            <v>16-065</v>
          </cell>
          <cell r="B51" t="str">
            <v>Y</v>
          </cell>
          <cell r="C51" t="str">
            <v>N</v>
          </cell>
          <cell r="D51" t="str">
            <v>Y</v>
          </cell>
          <cell r="E51" t="str">
            <v>Y</v>
          </cell>
          <cell r="F51">
            <v>0</v>
          </cell>
          <cell r="G51" t="str">
            <v>y</v>
          </cell>
          <cell r="H51">
            <v>42601</v>
          </cell>
          <cell r="I51">
            <v>42608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42583</v>
          </cell>
          <cell r="Q51">
            <v>42607</v>
          </cell>
          <cell r="R51">
            <v>1</v>
          </cell>
          <cell r="S51">
            <v>42612</v>
          </cell>
          <cell r="T51">
            <v>42584</v>
          </cell>
          <cell r="U51">
            <v>42612</v>
          </cell>
          <cell r="V51">
            <v>42607</v>
          </cell>
          <cell r="W51">
            <v>42607</v>
          </cell>
          <cell r="X51">
            <v>42608</v>
          </cell>
          <cell r="Y51">
            <v>42608</v>
          </cell>
          <cell r="Z51">
            <v>42619</v>
          </cell>
          <cell r="AA51">
            <v>42619</v>
          </cell>
          <cell r="AB51">
            <v>0</v>
          </cell>
        </row>
        <row r="52">
          <cell r="A52" t="str">
            <v>16-066</v>
          </cell>
          <cell r="B52" t="str">
            <v>Y</v>
          </cell>
          <cell r="C52" t="str">
            <v>Y</v>
          </cell>
          <cell r="D52" t="str">
            <v>Y</v>
          </cell>
          <cell r="E52" t="str">
            <v>Y</v>
          </cell>
          <cell r="F52">
            <v>0</v>
          </cell>
          <cell r="G52" t="str">
            <v>y</v>
          </cell>
          <cell r="H52" t="str">
            <v>N/A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42590</v>
          </cell>
          <cell r="Q52">
            <v>42590</v>
          </cell>
          <cell r="R52">
            <v>1</v>
          </cell>
          <cell r="S52" t="str">
            <v>N/A</v>
          </cell>
          <cell r="T52">
            <v>42584</v>
          </cell>
          <cell r="U52" t="str">
            <v>N/A</v>
          </cell>
          <cell r="V52">
            <v>42590</v>
          </cell>
          <cell r="W52">
            <v>42590</v>
          </cell>
          <cell r="X52">
            <v>42591</v>
          </cell>
          <cell r="Y52">
            <v>42591</v>
          </cell>
          <cell r="Z52">
            <v>42600</v>
          </cell>
          <cell r="AA52">
            <v>42604</v>
          </cell>
          <cell r="AB52">
            <v>0</v>
          </cell>
        </row>
        <row r="53">
          <cell r="A53" t="str">
            <v>16-067</v>
          </cell>
          <cell r="B53" t="str">
            <v>Y</v>
          </cell>
          <cell r="C53" t="str">
            <v>N</v>
          </cell>
          <cell r="D53" t="str">
            <v>Y</v>
          </cell>
          <cell r="E53" t="str">
            <v>Y</v>
          </cell>
          <cell r="F53">
            <v>0</v>
          </cell>
          <cell r="G53" t="str">
            <v>y</v>
          </cell>
          <cell r="H53">
            <v>42587</v>
          </cell>
          <cell r="I53">
            <v>42597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42590</v>
          </cell>
          <cell r="Q53">
            <v>42600</v>
          </cell>
          <cell r="R53">
            <v>1</v>
          </cell>
          <cell r="S53">
            <v>42599</v>
          </cell>
          <cell r="T53">
            <v>42606</v>
          </cell>
          <cell r="U53">
            <v>42599</v>
          </cell>
          <cell r="V53">
            <v>42600</v>
          </cell>
          <cell r="W53">
            <v>42600</v>
          </cell>
          <cell r="X53">
            <v>42604</v>
          </cell>
          <cell r="Y53">
            <v>42604</v>
          </cell>
          <cell r="Z53">
            <v>42600</v>
          </cell>
          <cell r="AA53">
            <v>42604</v>
          </cell>
          <cell r="AB53">
            <v>0</v>
          </cell>
        </row>
        <row r="54">
          <cell r="A54" t="str">
            <v>16-068</v>
          </cell>
          <cell r="B54" t="str">
            <v>N</v>
          </cell>
          <cell r="C54" t="str">
            <v>Y</v>
          </cell>
          <cell r="D54" t="str">
            <v>Y</v>
          </cell>
          <cell r="E54" t="str">
            <v>Y</v>
          </cell>
          <cell r="F54" t="str">
            <v xml:space="preserve">  </v>
          </cell>
          <cell r="G54" t="str">
            <v>y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42585</v>
          </cell>
          <cell r="Q54" t="str">
            <v>N/A</v>
          </cell>
          <cell r="R54">
            <v>0</v>
          </cell>
          <cell r="S54" t="str">
            <v>N/A</v>
          </cell>
          <cell r="T54" t="str">
            <v>N/A</v>
          </cell>
          <cell r="U54" t="str">
            <v>N/A</v>
          </cell>
          <cell r="V54" t="str">
            <v>N/A</v>
          </cell>
          <cell r="W54" t="str">
            <v>N/A</v>
          </cell>
          <cell r="X54" t="str">
            <v>N/A</v>
          </cell>
          <cell r="Y54" t="str">
            <v>N/A</v>
          </cell>
          <cell r="Z54">
            <v>42583</v>
          </cell>
          <cell r="AA54">
            <v>42583</v>
          </cell>
          <cell r="AB54">
            <v>42599</v>
          </cell>
        </row>
        <row r="55">
          <cell r="A55" t="str">
            <v>16-069</v>
          </cell>
          <cell r="B55" t="str">
            <v>Y</v>
          </cell>
          <cell r="C55" t="str">
            <v>N</v>
          </cell>
          <cell r="D55" t="str">
            <v>Y</v>
          </cell>
          <cell r="E55" t="str">
            <v>Y</v>
          </cell>
          <cell r="F55">
            <v>0</v>
          </cell>
          <cell r="G55" t="str">
            <v>y</v>
          </cell>
          <cell r="H55">
            <v>42608</v>
          </cell>
          <cell r="I55">
            <v>42614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42605</v>
          </cell>
          <cell r="Q55">
            <v>42627</v>
          </cell>
          <cell r="R55">
            <v>1</v>
          </cell>
          <cell r="S55">
            <v>42620</v>
          </cell>
          <cell r="T55" t="str">
            <v>N/A</v>
          </cell>
          <cell r="U55">
            <v>42620</v>
          </cell>
          <cell r="V55">
            <v>42627</v>
          </cell>
          <cell r="W55">
            <v>42627</v>
          </cell>
          <cell r="X55">
            <v>42628</v>
          </cell>
          <cell r="Y55">
            <v>42628</v>
          </cell>
          <cell r="Z55">
            <v>42627</v>
          </cell>
          <cell r="AA55">
            <v>42627</v>
          </cell>
          <cell r="AB55">
            <v>0</v>
          </cell>
        </row>
        <row r="56">
          <cell r="A56" t="str">
            <v>16-070</v>
          </cell>
          <cell r="B56" t="str">
            <v>Y</v>
          </cell>
          <cell r="C56" t="str">
            <v>N</v>
          </cell>
          <cell r="D56" t="str">
            <v>Y</v>
          </cell>
          <cell r="E56" t="str">
            <v>Y</v>
          </cell>
          <cell r="F56">
            <v>0</v>
          </cell>
          <cell r="G56" t="str">
            <v>y</v>
          </cell>
          <cell r="H56">
            <v>42601</v>
          </cell>
          <cell r="I56">
            <v>42611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42604</v>
          </cell>
          <cell r="Q56">
            <v>42621</v>
          </cell>
          <cell r="R56">
            <v>1</v>
          </cell>
          <cell r="S56">
            <v>42614</v>
          </cell>
          <cell r="T56">
            <v>42606</v>
          </cell>
          <cell r="U56">
            <v>42614</v>
          </cell>
          <cell r="V56">
            <v>42621</v>
          </cell>
          <cell r="W56">
            <v>42622</v>
          </cell>
          <cell r="X56">
            <v>42622</v>
          </cell>
          <cell r="Y56">
            <v>42622</v>
          </cell>
          <cell r="Z56">
            <v>42626</v>
          </cell>
          <cell r="AA56">
            <v>42626</v>
          </cell>
          <cell r="AB56">
            <v>0</v>
          </cell>
        </row>
        <row r="57">
          <cell r="A57" t="str">
            <v>16-071</v>
          </cell>
          <cell r="B57" t="str">
            <v>Y</v>
          </cell>
          <cell r="C57" t="str">
            <v>Y</v>
          </cell>
          <cell r="D57" t="str">
            <v>Y</v>
          </cell>
          <cell r="E57" t="str">
            <v>Y</v>
          </cell>
          <cell r="F57">
            <v>0</v>
          </cell>
          <cell r="G57" t="str">
            <v>y</v>
          </cell>
          <cell r="H57">
            <v>42615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42607</v>
          </cell>
          <cell r="Q57">
            <v>42634</v>
          </cell>
          <cell r="R57">
            <v>1</v>
          </cell>
          <cell r="S57">
            <v>42642</v>
          </cell>
          <cell r="T57" t="str">
            <v>N/A</v>
          </cell>
          <cell r="U57">
            <v>42642</v>
          </cell>
          <cell r="V57">
            <v>42633</v>
          </cell>
          <cell r="W57">
            <v>42633</v>
          </cell>
          <cell r="X57">
            <v>42642</v>
          </cell>
          <cell r="Y57">
            <v>42642</v>
          </cell>
          <cell r="Z57">
            <v>42634</v>
          </cell>
          <cell r="AA57">
            <v>42634</v>
          </cell>
          <cell r="AB57">
            <v>0</v>
          </cell>
        </row>
        <row r="58">
          <cell r="A58" t="str">
            <v>16-072</v>
          </cell>
          <cell r="B58" t="str">
            <v>Y</v>
          </cell>
          <cell r="C58" t="str">
            <v>Y</v>
          </cell>
          <cell r="D58" t="str">
            <v>Y</v>
          </cell>
          <cell r="E58" t="str">
            <v>Y</v>
          </cell>
          <cell r="F58">
            <v>0</v>
          </cell>
          <cell r="G58" t="str">
            <v>y</v>
          </cell>
          <cell r="H58">
            <v>42625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42621</v>
          </cell>
          <cell r="Q58">
            <v>42621</v>
          </cell>
          <cell r="R58">
            <v>1</v>
          </cell>
          <cell r="S58">
            <v>42635</v>
          </cell>
          <cell r="T58">
            <v>42639</v>
          </cell>
          <cell r="U58">
            <v>42635</v>
          </cell>
          <cell r="V58">
            <v>42621</v>
          </cell>
          <cell r="W58">
            <v>42622</v>
          </cell>
          <cell r="X58">
            <v>42628</v>
          </cell>
          <cell r="Y58">
            <v>42628</v>
          </cell>
          <cell r="Z58">
            <v>42633</v>
          </cell>
          <cell r="AA58">
            <v>42633</v>
          </cell>
          <cell r="AB58">
            <v>0</v>
          </cell>
        </row>
        <row r="59">
          <cell r="A59" t="str">
            <v>16-073</v>
          </cell>
          <cell r="B59" t="str">
            <v>Y</v>
          </cell>
          <cell r="C59" t="str">
            <v>Y</v>
          </cell>
          <cell r="D59" t="str">
            <v>N</v>
          </cell>
          <cell r="E59" t="str">
            <v>N</v>
          </cell>
          <cell r="F59">
            <v>1</v>
          </cell>
          <cell r="G59" t="str">
            <v>y</v>
          </cell>
          <cell r="H59">
            <v>42635</v>
          </cell>
          <cell r="I59">
            <v>42656</v>
          </cell>
          <cell r="J59">
            <v>42678</v>
          </cell>
          <cell r="K59">
            <v>42682</v>
          </cell>
          <cell r="L59">
            <v>0</v>
          </cell>
          <cell r="M59">
            <v>42704</v>
          </cell>
          <cell r="N59">
            <v>0</v>
          </cell>
          <cell r="O59">
            <v>0</v>
          </cell>
          <cell r="P59">
            <v>42628</v>
          </cell>
          <cell r="Q59">
            <v>42628</v>
          </cell>
          <cell r="R59">
            <v>2</v>
          </cell>
          <cell r="S59">
            <v>42717</v>
          </cell>
          <cell r="T59" t="str">
            <v>N/A</v>
          </cell>
          <cell r="U59">
            <v>42717</v>
          </cell>
          <cell r="V59">
            <v>42716</v>
          </cell>
          <cell r="W59">
            <v>42717</v>
          </cell>
          <cell r="X59">
            <v>42717</v>
          </cell>
          <cell r="Y59">
            <v>42717</v>
          </cell>
          <cell r="Z59">
            <v>42705</v>
          </cell>
          <cell r="AA59">
            <v>42705</v>
          </cell>
          <cell r="AB59">
            <v>0</v>
          </cell>
        </row>
        <row r="60">
          <cell r="A60" t="str">
            <v>16-074</v>
          </cell>
          <cell r="B60" t="str">
            <v>Y</v>
          </cell>
          <cell r="C60" t="str">
            <v>Y</v>
          </cell>
          <cell r="D60" t="str">
            <v>N</v>
          </cell>
          <cell r="E60" t="str">
            <v>N</v>
          </cell>
          <cell r="F60">
            <v>1</v>
          </cell>
          <cell r="G60" t="str">
            <v>y</v>
          </cell>
          <cell r="H60">
            <v>42635</v>
          </cell>
          <cell r="I60">
            <v>42656</v>
          </cell>
          <cell r="J60">
            <v>42678</v>
          </cell>
          <cell r="K60">
            <v>42682</v>
          </cell>
          <cell r="L60">
            <v>0</v>
          </cell>
          <cell r="M60">
            <v>42704</v>
          </cell>
          <cell r="N60">
            <v>0</v>
          </cell>
          <cell r="O60">
            <v>0</v>
          </cell>
          <cell r="P60">
            <v>42628</v>
          </cell>
          <cell r="Q60">
            <v>42628</v>
          </cell>
          <cell r="R60">
            <v>2</v>
          </cell>
          <cell r="S60">
            <v>42717</v>
          </cell>
          <cell r="T60" t="str">
            <v>N/A</v>
          </cell>
          <cell r="U60">
            <v>42717</v>
          </cell>
          <cell r="V60">
            <v>42716</v>
          </cell>
          <cell r="W60">
            <v>42717</v>
          </cell>
          <cell r="X60">
            <v>42717</v>
          </cell>
          <cell r="Y60">
            <v>42717</v>
          </cell>
          <cell r="Z60">
            <v>42705</v>
          </cell>
          <cell r="AA60">
            <v>42705</v>
          </cell>
          <cell r="AB60">
            <v>0</v>
          </cell>
        </row>
        <row r="61">
          <cell r="A61" t="str">
            <v>16-075</v>
          </cell>
          <cell r="B61" t="str">
            <v>Y</v>
          </cell>
          <cell r="C61" t="str">
            <v>Y</v>
          </cell>
          <cell r="D61" t="str">
            <v>N</v>
          </cell>
          <cell r="E61" t="str">
            <v>N</v>
          </cell>
          <cell r="F61">
            <v>1</v>
          </cell>
          <cell r="G61" t="str">
            <v>y</v>
          </cell>
          <cell r="H61">
            <v>42635</v>
          </cell>
          <cell r="I61">
            <v>42656</v>
          </cell>
          <cell r="J61">
            <v>42678</v>
          </cell>
          <cell r="K61">
            <v>42682</v>
          </cell>
          <cell r="L61">
            <v>0</v>
          </cell>
          <cell r="M61">
            <v>42704</v>
          </cell>
          <cell r="N61">
            <v>0</v>
          </cell>
          <cell r="O61">
            <v>0</v>
          </cell>
          <cell r="P61">
            <v>42629</v>
          </cell>
          <cell r="Q61">
            <v>42629</v>
          </cell>
          <cell r="R61">
            <v>2</v>
          </cell>
          <cell r="S61">
            <v>42717</v>
          </cell>
          <cell r="T61" t="str">
            <v>N/A</v>
          </cell>
          <cell r="U61">
            <v>42717</v>
          </cell>
          <cell r="V61">
            <v>42716</v>
          </cell>
          <cell r="W61">
            <v>42717</v>
          </cell>
          <cell r="X61">
            <v>42717</v>
          </cell>
          <cell r="Y61">
            <v>42717</v>
          </cell>
          <cell r="Z61">
            <v>42705</v>
          </cell>
          <cell r="AA61">
            <v>42705</v>
          </cell>
          <cell r="AB61">
            <v>0</v>
          </cell>
        </row>
        <row r="62">
          <cell r="A62" t="str">
            <v>16-076</v>
          </cell>
          <cell r="B62" t="str">
            <v>Y</v>
          </cell>
          <cell r="C62" t="str">
            <v>Y</v>
          </cell>
          <cell r="D62" t="str">
            <v>N</v>
          </cell>
          <cell r="E62" t="str">
            <v>N</v>
          </cell>
          <cell r="F62">
            <v>1</v>
          </cell>
          <cell r="G62" t="str">
            <v>y</v>
          </cell>
          <cell r="H62">
            <v>42635</v>
          </cell>
          <cell r="I62">
            <v>42656</v>
          </cell>
          <cell r="J62">
            <v>42678</v>
          </cell>
          <cell r="K62">
            <v>42682</v>
          </cell>
          <cell r="L62">
            <v>0</v>
          </cell>
          <cell r="M62">
            <v>42704</v>
          </cell>
          <cell r="N62">
            <v>0</v>
          </cell>
          <cell r="O62">
            <v>0</v>
          </cell>
          <cell r="P62">
            <v>42628</v>
          </cell>
          <cell r="Q62">
            <v>42628</v>
          </cell>
          <cell r="R62">
            <v>2</v>
          </cell>
          <cell r="S62">
            <v>42717</v>
          </cell>
          <cell r="T62" t="str">
            <v>N/A</v>
          </cell>
          <cell r="U62">
            <v>42717</v>
          </cell>
          <cell r="V62">
            <v>42716</v>
          </cell>
          <cell r="W62">
            <v>42717</v>
          </cell>
          <cell r="X62">
            <v>42717</v>
          </cell>
          <cell r="Y62">
            <v>42717</v>
          </cell>
          <cell r="Z62">
            <v>42705</v>
          </cell>
          <cell r="AA62">
            <v>42705</v>
          </cell>
          <cell r="AB62">
            <v>0</v>
          </cell>
        </row>
        <row r="63">
          <cell r="A63" t="str">
            <v>16-077</v>
          </cell>
          <cell r="B63" t="str">
            <v>Y</v>
          </cell>
          <cell r="C63" t="str">
            <v>N</v>
          </cell>
          <cell r="D63" t="str">
            <v>Y</v>
          </cell>
          <cell r="E63" t="str">
            <v>Y</v>
          </cell>
          <cell r="F63">
            <v>0</v>
          </cell>
          <cell r="G63" t="str">
            <v>y</v>
          </cell>
          <cell r="H63">
            <v>42642</v>
          </cell>
          <cell r="I63">
            <v>42656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42639</v>
          </cell>
          <cell r="Q63">
            <v>42639</v>
          </cell>
          <cell r="R63">
            <v>1</v>
          </cell>
          <cell r="S63">
            <v>42660</v>
          </cell>
          <cell r="T63" t="str">
            <v>N/A</v>
          </cell>
          <cell r="U63">
            <v>42660</v>
          </cell>
          <cell r="V63">
            <v>42661</v>
          </cell>
          <cell r="W63">
            <v>42662</v>
          </cell>
          <cell r="X63">
            <v>42663</v>
          </cell>
          <cell r="Y63">
            <v>42663</v>
          </cell>
          <cell r="Z63">
            <v>42667</v>
          </cell>
          <cell r="AA63">
            <v>42667</v>
          </cell>
          <cell r="AB63">
            <v>0</v>
          </cell>
        </row>
        <row r="64">
          <cell r="A64" t="str">
            <v>16-078</v>
          </cell>
          <cell r="B64" t="str">
            <v>Y</v>
          </cell>
          <cell r="C64" t="str">
            <v>N</v>
          </cell>
          <cell r="D64" t="str">
            <v>Y</v>
          </cell>
          <cell r="E64" t="str">
            <v>Y</v>
          </cell>
          <cell r="F64">
            <v>0</v>
          </cell>
          <cell r="G64" t="str">
            <v>y</v>
          </cell>
          <cell r="H64">
            <v>42642</v>
          </cell>
          <cell r="I64">
            <v>42656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42639</v>
          </cell>
          <cell r="Q64">
            <v>42639</v>
          </cell>
          <cell r="R64">
            <v>1</v>
          </cell>
          <cell r="S64">
            <v>42660</v>
          </cell>
          <cell r="T64" t="str">
            <v>N/A</v>
          </cell>
          <cell r="U64">
            <v>42660</v>
          </cell>
          <cell r="V64">
            <v>42661</v>
          </cell>
          <cell r="W64">
            <v>42662</v>
          </cell>
          <cell r="X64">
            <v>42663</v>
          </cell>
          <cell r="Y64">
            <v>42663</v>
          </cell>
          <cell r="Z64">
            <v>42667</v>
          </cell>
          <cell r="AA64">
            <v>42667</v>
          </cell>
          <cell r="AB64">
            <v>0</v>
          </cell>
        </row>
        <row r="65">
          <cell r="A65" t="str">
            <v>16-079</v>
          </cell>
          <cell r="B65" t="str">
            <v>Y</v>
          </cell>
          <cell r="C65" t="str">
            <v>N</v>
          </cell>
          <cell r="D65" t="str">
            <v>Y</v>
          </cell>
          <cell r="E65" t="str">
            <v>Y</v>
          </cell>
          <cell r="F65">
            <v>0</v>
          </cell>
          <cell r="G65" t="str">
            <v>y</v>
          </cell>
          <cell r="H65">
            <v>42642</v>
          </cell>
          <cell r="I65">
            <v>42656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42639</v>
          </cell>
          <cell r="Q65">
            <v>42639</v>
          </cell>
          <cell r="R65">
            <v>1</v>
          </cell>
          <cell r="S65">
            <v>42660</v>
          </cell>
          <cell r="T65" t="str">
            <v>N/A</v>
          </cell>
          <cell r="U65">
            <v>42660</v>
          </cell>
          <cell r="V65">
            <v>42661</v>
          </cell>
          <cell r="W65">
            <v>42662</v>
          </cell>
          <cell r="X65">
            <v>42663</v>
          </cell>
          <cell r="Y65">
            <v>42663</v>
          </cell>
          <cell r="Z65">
            <v>42667</v>
          </cell>
          <cell r="AA65">
            <v>42667</v>
          </cell>
          <cell r="AB65">
            <v>0</v>
          </cell>
        </row>
        <row r="66">
          <cell r="A66" t="str">
            <v>16-080</v>
          </cell>
          <cell r="B66" t="str">
            <v>Y</v>
          </cell>
          <cell r="C66" t="str">
            <v>N</v>
          </cell>
          <cell r="D66" t="str">
            <v>Y</v>
          </cell>
          <cell r="E66" t="str">
            <v>Y</v>
          </cell>
          <cell r="F66">
            <v>0</v>
          </cell>
          <cell r="G66" t="str">
            <v>y</v>
          </cell>
          <cell r="H66">
            <v>42642</v>
          </cell>
          <cell r="I66">
            <v>42656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42639</v>
          </cell>
          <cell r="Q66">
            <v>42639</v>
          </cell>
          <cell r="R66">
            <v>1</v>
          </cell>
          <cell r="S66">
            <v>42660</v>
          </cell>
          <cell r="T66" t="str">
            <v>N/A</v>
          </cell>
          <cell r="U66">
            <v>42660</v>
          </cell>
          <cell r="V66">
            <v>42661</v>
          </cell>
          <cell r="W66">
            <v>42662</v>
          </cell>
          <cell r="X66">
            <v>42663</v>
          </cell>
          <cell r="Y66">
            <v>42663</v>
          </cell>
          <cell r="Z66">
            <v>42667</v>
          </cell>
          <cell r="AA66">
            <v>42667</v>
          </cell>
          <cell r="AB66">
            <v>0</v>
          </cell>
        </row>
        <row r="67">
          <cell r="A67" t="str">
            <v>16-082</v>
          </cell>
          <cell r="B67" t="str">
            <v>Y</v>
          </cell>
          <cell r="C67" t="str">
            <v>Y</v>
          </cell>
          <cell r="D67" t="str">
            <v>N</v>
          </cell>
          <cell r="E67" t="str">
            <v>Y</v>
          </cell>
          <cell r="F67">
            <v>1</v>
          </cell>
          <cell r="G67" t="str">
            <v>y</v>
          </cell>
          <cell r="H67">
            <v>42657</v>
          </cell>
          <cell r="I67">
            <v>42667</v>
          </cell>
          <cell r="J67">
            <v>42671</v>
          </cell>
          <cell r="K67">
            <v>42682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42640</v>
          </cell>
          <cell r="Q67">
            <v>42640</v>
          </cell>
          <cell r="R67">
            <v>2</v>
          </cell>
          <cell r="S67">
            <v>42684</v>
          </cell>
          <cell r="T67">
            <v>42660</v>
          </cell>
          <cell r="U67">
            <v>42684</v>
          </cell>
          <cell r="V67">
            <v>42696</v>
          </cell>
          <cell r="W67">
            <v>42696</v>
          </cell>
          <cell r="X67">
            <v>42697</v>
          </cell>
          <cell r="Y67">
            <v>42697</v>
          </cell>
          <cell r="Z67">
            <v>42702</v>
          </cell>
          <cell r="AA67">
            <v>42702</v>
          </cell>
          <cell r="AB67">
            <v>0</v>
          </cell>
        </row>
        <row r="68">
          <cell r="A68" t="str">
            <v>16-083</v>
          </cell>
          <cell r="B68" t="str">
            <v>Y</v>
          </cell>
          <cell r="C68" t="str">
            <v>Y</v>
          </cell>
          <cell r="D68" t="str">
            <v>Y</v>
          </cell>
          <cell r="E68" t="str">
            <v>N</v>
          </cell>
          <cell r="F68">
            <v>2</v>
          </cell>
          <cell r="G68" t="str">
            <v>y</v>
          </cell>
          <cell r="H68">
            <v>42647</v>
          </cell>
          <cell r="I68">
            <v>42664</v>
          </cell>
          <cell r="J68">
            <v>42678</v>
          </cell>
          <cell r="K68">
            <v>42695</v>
          </cell>
          <cell r="L68">
            <v>42706</v>
          </cell>
          <cell r="M68">
            <v>42744</v>
          </cell>
          <cell r="N68">
            <v>0</v>
          </cell>
          <cell r="O68">
            <v>0</v>
          </cell>
          <cell r="P68">
            <v>42641</v>
          </cell>
          <cell r="Q68">
            <v>42641</v>
          </cell>
          <cell r="R68">
            <v>3</v>
          </cell>
          <cell r="S68">
            <v>42744</v>
          </cell>
          <cell r="T68" t="str">
            <v>N/A</v>
          </cell>
          <cell r="U68">
            <v>42744</v>
          </cell>
          <cell r="V68">
            <v>42745</v>
          </cell>
          <cell r="W68">
            <v>42746</v>
          </cell>
          <cell r="X68">
            <v>42747</v>
          </cell>
          <cell r="Y68">
            <v>42747</v>
          </cell>
          <cell r="Z68">
            <v>42748</v>
          </cell>
          <cell r="AA68">
            <v>42753</v>
          </cell>
          <cell r="AB68">
            <v>0</v>
          </cell>
        </row>
        <row r="69">
          <cell r="A69" t="str">
            <v>16-084</v>
          </cell>
          <cell r="B69" t="str">
            <v>Y</v>
          </cell>
          <cell r="C69" t="str">
            <v>Y</v>
          </cell>
          <cell r="D69" t="str">
            <v>N</v>
          </cell>
          <cell r="E69" t="str">
            <v>Y</v>
          </cell>
          <cell r="F69">
            <v>1</v>
          </cell>
          <cell r="G69" t="str">
            <v>y</v>
          </cell>
          <cell r="H69">
            <v>42656</v>
          </cell>
          <cell r="I69">
            <v>42664</v>
          </cell>
          <cell r="J69">
            <v>42668</v>
          </cell>
          <cell r="K69">
            <v>42670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42646</v>
          </cell>
          <cell r="Q69">
            <v>42646</v>
          </cell>
          <cell r="R69">
            <v>2</v>
          </cell>
          <cell r="S69">
            <v>42671</v>
          </cell>
          <cell r="T69" t="str">
            <v>N/A</v>
          </cell>
          <cell r="U69">
            <v>42671</v>
          </cell>
          <cell r="V69">
            <v>42675</v>
          </cell>
          <cell r="W69">
            <v>42675</v>
          </cell>
          <cell r="X69">
            <v>42676</v>
          </cell>
          <cell r="Y69">
            <v>42676</v>
          </cell>
          <cell r="Z69">
            <v>42676</v>
          </cell>
          <cell r="AA69">
            <v>42676</v>
          </cell>
          <cell r="AB69">
            <v>0</v>
          </cell>
        </row>
        <row r="70">
          <cell r="A70" t="str">
            <v>16-085</v>
          </cell>
          <cell r="B70" t="str">
            <v>Y</v>
          </cell>
          <cell r="C70" t="str">
            <v>Y</v>
          </cell>
          <cell r="D70" t="str">
            <v>Y</v>
          </cell>
          <cell r="E70" t="str">
            <v>N</v>
          </cell>
          <cell r="F70">
            <v>2</v>
          </cell>
          <cell r="G70" t="str">
            <v>y</v>
          </cell>
          <cell r="H70">
            <v>42663</v>
          </cell>
          <cell r="I70">
            <v>42706</v>
          </cell>
          <cell r="J70">
            <v>42725</v>
          </cell>
          <cell r="K70">
            <v>42753</v>
          </cell>
          <cell r="L70">
            <v>42760</v>
          </cell>
          <cell r="M70">
            <v>42772</v>
          </cell>
          <cell r="N70">
            <v>0</v>
          </cell>
          <cell r="O70">
            <v>0</v>
          </cell>
          <cell r="P70">
            <v>42660</v>
          </cell>
          <cell r="Q70">
            <v>42660</v>
          </cell>
          <cell r="R70">
            <v>3</v>
          </cell>
          <cell r="S70">
            <v>42775</v>
          </cell>
          <cell r="T70" t="str">
            <v>N/A</v>
          </cell>
          <cell r="U70">
            <v>42775</v>
          </cell>
          <cell r="V70">
            <v>42779</v>
          </cell>
          <cell r="W70">
            <v>42779</v>
          </cell>
          <cell r="X70">
            <v>42780</v>
          </cell>
          <cell r="Y70">
            <v>42781</v>
          </cell>
          <cell r="Z70">
            <v>42416</v>
          </cell>
          <cell r="AA70">
            <v>42783</v>
          </cell>
          <cell r="AB70">
            <v>0</v>
          </cell>
        </row>
        <row r="71">
          <cell r="A71" t="str">
            <v>16-086</v>
          </cell>
          <cell r="B71" t="str">
            <v>Y</v>
          </cell>
          <cell r="C71" t="str">
            <v>Y</v>
          </cell>
          <cell r="D71" t="str">
            <v>Y</v>
          </cell>
          <cell r="E71" t="str">
            <v>N</v>
          </cell>
          <cell r="F71">
            <v>2</v>
          </cell>
          <cell r="G71" t="str">
            <v>y</v>
          </cell>
          <cell r="H71">
            <v>42663</v>
          </cell>
          <cell r="I71">
            <v>42706</v>
          </cell>
          <cell r="J71">
            <v>42725</v>
          </cell>
          <cell r="K71">
            <v>42753</v>
          </cell>
          <cell r="L71">
            <v>42760</v>
          </cell>
          <cell r="M71">
            <v>42772</v>
          </cell>
          <cell r="N71">
            <v>0</v>
          </cell>
          <cell r="O71">
            <v>0</v>
          </cell>
          <cell r="P71">
            <v>42660</v>
          </cell>
          <cell r="Q71">
            <v>42660</v>
          </cell>
          <cell r="R71">
            <v>3</v>
          </cell>
          <cell r="S71">
            <v>42775</v>
          </cell>
          <cell r="T71" t="str">
            <v>N/A</v>
          </cell>
          <cell r="U71">
            <v>42775</v>
          </cell>
          <cell r="V71">
            <v>42779</v>
          </cell>
          <cell r="W71">
            <v>42779</v>
          </cell>
          <cell r="X71">
            <v>42780</v>
          </cell>
          <cell r="Y71">
            <v>42781</v>
          </cell>
          <cell r="Z71">
            <v>42416</v>
          </cell>
          <cell r="AA71">
            <v>42783</v>
          </cell>
          <cell r="AB71">
            <v>0</v>
          </cell>
        </row>
        <row r="72">
          <cell r="A72" t="str">
            <v>16-087</v>
          </cell>
          <cell r="B72" t="str">
            <v>Y</v>
          </cell>
          <cell r="C72" t="str">
            <v>Y</v>
          </cell>
          <cell r="D72" t="str">
            <v>Y</v>
          </cell>
          <cell r="E72" t="str">
            <v>N</v>
          </cell>
          <cell r="F72">
            <v>2</v>
          </cell>
          <cell r="G72" t="str">
            <v>y</v>
          </cell>
          <cell r="H72">
            <v>42663</v>
          </cell>
          <cell r="I72">
            <v>42706</v>
          </cell>
          <cell r="J72">
            <v>42725</v>
          </cell>
          <cell r="K72">
            <v>42753</v>
          </cell>
          <cell r="L72">
            <v>42760</v>
          </cell>
          <cell r="M72">
            <v>42772</v>
          </cell>
          <cell r="N72">
            <v>0</v>
          </cell>
          <cell r="O72">
            <v>0</v>
          </cell>
          <cell r="P72">
            <v>42660</v>
          </cell>
          <cell r="Q72">
            <v>42660</v>
          </cell>
          <cell r="R72">
            <v>3</v>
          </cell>
          <cell r="S72">
            <v>42775</v>
          </cell>
          <cell r="T72" t="str">
            <v>N/A</v>
          </cell>
          <cell r="U72">
            <v>42775</v>
          </cell>
          <cell r="V72">
            <v>42779</v>
          </cell>
          <cell r="W72">
            <v>42779</v>
          </cell>
          <cell r="X72">
            <v>42780</v>
          </cell>
          <cell r="Y72">
            <v>42781</v>
          </cell>
          <cell r="Z72">
            <v>42416</v>
          </cell>
          <cell r="AA72">
            <v>42783</v>
          </cell>
          <cell r="AB72">
            <v>0</v>
          </cell>
        </row>
        <row r="73">
          <cell r="A73" t="str">
            <v>16-088</v>
          </cell>
          <cell r="B73" t="str">
            <v>Y</v>
          </cell>
          <cell r="C73" t="str">
            <v>N</v>
          </cell>
          <cell r="D73" t="str">
            <v>Y</v>
          </cell>
          <cell r="E73" t="str">
            <v>Y</v>
          </cell>
          <cell r="F73">
            <v>0</v>
          </cell>
          <cell r="G73" t="str">
            <v>y</v>
          </cell>
          <cell r="H73">
            <v>42668</v>
          </cell>
          <cell r="I73">
            <v>42669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42664</v>
          </cell>
          <cell r="Q73">
            <v>42664</v>
          </cell>
          <cell r="R73">
            <v>1</v>
          </cell>
          <cell r="S73">
            <v>42670</v>
          </cell>
          <cell r="T73" t="str">
            <v>N/A</v>
          </cell>
          <cell r="U73">
            <v>42670</v>
          </cell>
          <cell r="V73">
            <v>42676</v>
          </cell>
          <cell r="W73">
            <v>42676</v>
          </cell>
          <cell r="X73">
            <v>42677</v>
          </cell>
          <cell r="Y73">
            <v>42677</v>
          </cell>
          <cell r="Z73">
            <v>42678</v>
          </cell>
          <cell r="AA73">
            <v>42682</v>
          </cell>
          <cell r="AB73">
            <v>0</v>
          </cell>
        </row>
        <row r="74">
          <cell r="A74" t="str">
            <v>16-089</v>
          </cell>
          <cell r="B74" t="str">
            <v>Y</v>
          </cell>
          <cell r="C74" t="str">
            <v>N</v>
          </cell>
          <cell r="D74" t="str">
            <v>Y</v>
          </cell>
          <cell r="E74" t="str">
            <v>Y</v>
          </cell>
          <cell r="F74">
            <v>0</v>
          </cell>
          <cell r="G74" t="str">
            <v>y</v>
          </cell>
          <cell r="H74">
            <v>42677</v>
          </cell>
          <cell r="I74">
            <v>42682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42664</v>
          </cell>
          <cell r="Q74">
            <v>42660</v>
          </cell>
          <cell r="R74">
            <v>1</v>
          </cell>
          <cell r="S74">
            <v>42725</v>
          </cell>
          <cell r="T74" t="str">
            <v>N/A</v>
          </cell>
          <cell r="U74">
            <v>42725</v>
          </cell>
          <cell r="V74">
            <v>42718</v>
          </cell>
          <cell r="W74">
            <v>43084</v>
          </cell>
          <cell r="X74">
            <v>42739</v>
          </cell>
          <cell r="Y74">
            <v>42739</v>
          </cell>
          <cell r="Z74">
            <v>42724</v>
          </cell>
          <cell r="AA74">
            <v>42724</v>
          </cell>
          <cell r="AB74">
            <v>0</v>
          </cell>
        </row>
        <row r="75">
          <cell r="A75" t="str">
            <v>16-090</v>
          </cell>
          <cell r="B75" t="str">
            <v>Y</v>
          </cell>
          <cell r="C75" t="str">
            <v>Y</v>
          </cell>
          <cell r="D75" t="str">
            <v>Y</v>
          </cell>
          <cell r="E75" t="str">
            <v>Y</v>
          </cell>
          <cell r="F75">
            <v>0</v>
          </cell>
          <cell r="G75" t="str">
            <v>y</v>
          </cell>
          <cell r="H75">
            <v>42655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 t="str">
            <v>N/A</v>
          </cell>
          <cell r="Q75" t="str">
            <v>N/A</v>
          </cell>
          <cell r="R75">
            <v>1</v>
          </cell>
          <cell r="S75" t="str">
            <v>N/A</v>
          </cell>
          <cell r="T75" t="str">
            <v>N/A</v>
          </cell>
          <cell r="U75" t="str">
            <v>N/A</v>
          </cell>
          <cell r="V75" t="str">
            <v>N/A</v>
          </cell>
          <cell r="W75" t="str">
            <v>N/A</v>
          </cell>
          <cell r="X75" t="str">
            <v>N/A</v>
          </cell>
          <cell r="Y75" t="str">
            <v>N/A</v>
          </cell>
          <cell r="Z75">
            <v>42677</v>
          </cell>
          <cell r="AA75">
            <v>42677</v>
          </cell>
          <cell r="AB75">
            <v>0</v>
          </cell>
        </row>
        <row r="76">
          <cell r="A76" t="str">
            <v>16-091</v>
          </cell>
          <cell r="B76" t="str">
            <v>Y</v>
          </cell>
          <cell r="C76" t="str">
            <v>N</v>
          </cell>
          <cell r="D76" t="str">
            <v>Y</v>
          </cell>
          <cell r="E76" t="str">
            <v>Y</v>
          </cell>
          <cell r="F76">
            <v>0</v>
          </cell>
          <cell r="G76" t="str">
            <v>y</v>
          </cell>
          <cell r="H76">
            <v>42662</v>
          </cell>
          <cell r="I76">
            <v>42662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42663</v>
          </cell>
          <cell r="Q76">
            <v>42662</v>
          </cell>
          <cell r="R76">
            <v>1</v>
          </cell>
          <cell r="S76">
            <v>42662</v>
          </cell>
          <cell r="T76" t="str">
            <v>N/A</v>
          </cell>
          <cell r="U76">
            <v>42662</v>
          </cell>
          <cell r="V76">
            <v>42663</v>
          </cell>
          <cell r="W76">
            <v>42663</v>
          </cell>
          <cell r="X76">
            <v>42663</v>
          </cell>
          <cell r="Y76">
            <v>42663</v>
          </cell>
          <cell r="Z76">
            <v>42668</v>
          </cell>
          <cell r="AA76">
            <v>42668</v>
          </cell>
          <cell r="AB76">
            <v>0</v>
          </cell>
        </row>
        <row r="77">
          <cell r="A77" t="str">
            <v>16-092</v>
          </cell>
          <cell r="B77" t="str">
            <v>Y</v>
          </cell>
          <cell r="C77" t="str">
            <v>Y</v>
          </cell>
          <cell r="D77" t="str">
            <v>Y</v>
          </cell>
          <cell r="E77" t="str">
            <v>N</v>
          </cell>
          <cell r="F77">
            <v>2</v>
          </cell>
          <cell r="G77" t="str">
            <v>y</v>
          </cell>
          <cell r="H77">
            <v>42685</v>
          </cell>
          <cell r="I77">
            <v>42706</v>
          </cell>
          <cell r="J77">
            <v>42733</v>
          </cell>
          <cell r="K77">
            <v>42759</v>
          </cell>
          <cell r="L77">
            <v>42767</v>
          </cell>
          <cell r="M77">
            <v>42794</v>
          </cell>
          <cell r="N77">
            <v>0</v>
          </cell>
          <cell r="O77">
            <v>0</v>
          </cell>
          <cell r="P77">
            <v>42685</v>
          </cell>
          <cell r="Q77">
            <v>42682</v>
          </cell>
          <cell r="R77">
            <v>3</v>
          </cell>
          <cell r="S77">
            <v>42794</v>
          </cell>
          <cell r="T77" t="str">
            <v>N/A</v>
          </cell>
          <cell r="U77">
            <v>42794</v>
          </cell>
          <cell r="V77">
            <v>42801</v>
          </cell>
          <cell r="W77">
            <v>42801</v>
          </cell>
          <cell r="X77">
            <v>42801</v>
          </cell>
          <cell r="Y77">
            <v>42801</v>
          </cell>
          <cell r="Z77">
            <v>42803</v>
          </cell>
          <cell r="AA77">
            <v>42804</v>
          </cell>
          <cell r="AB77">
            <v>0</v>
          </cell>
        </row>
        <row r="78">
          <cell r="A78" t="str">
            <v>16-093</v>
          </cell>
          <cell r="B78" t="str">
            <v>Y</v>
          </cell>
          <cell r="C78" t="str">
            <v>Y</v>
          </cell>
          <cell r="D78" t="str">
            <v>Y</v>
          </cell>
          <cell r="E78" t="str">
            <v>N</v>
          </cell>
          <cell r="F78">
            <v>2</v>
          </cell>
          <cell r="G78" t="str">
            <v>y</v>
          </cell>
          <cell r="H78">
            <v>42685</v>
          </cell>
          <cell r="I78">
            <v>42706</v>
          </cell>
          <cell r="J78">
            <v>42733</v>
          </cell>
          <cell r="K78">
            <v>42759</v>
          </cell>
          <cell r="L78">
            <v>42767</v>
          </cell>
          <cell r="M78">
            <v>42794</v>
          </cell>
          <cell r="N78">
            <v>0</v>
          </cell>
          <cell r="O78">
            <v>0</v>
          </cell>
          <cell r="P78">
            <v>42685</v>
          </cell>
          <cell r="Q78">
            <v>42682</v>
          </cell>
          <cell r="R78">
            <v>3</v>
          </cell>
          <cell r="S78">
            <v>42794</v>
          </cell>
          <cell r="T78" t="str">
            <v>N/A</v>
          </cell>
          <cell r="U78">
            <v>42794</v>
          </cell>
          <cell r="V78">
            <v>42801</v>
          </cell>
          <cell r="W78">
            <v>42801</v>
          </cell>
          <cell r="X78">
            <v>42801</v>
          </cell>
          <cell r="Y78">
            <v>42801</v>
          </cell>
          <cell r="Z78">
            <v>42803</v>
          </cell>
          <cell r="AA78">
            <v>42804</v>
          </cell>
          <cell r="AB78">
            <v>0</v>
          </cell>
        </row>
        <row r="79">
          <cell r="A79" t="str">
            <v>16-094</v>
          </cell>
          <cell r="B79" t="str">
            <v>Y</v>
          </cell>
          <cell r="C79" t="str">
            <v>Y</v>
          </cell>
          <cell r="D79" t="str">
            <v>Y</v>
          </cell>
          <cell r="E79" t="str">
            <v>N</v>
          </cell>
          <cell r="F79">
            <v>2</v>
          </cell>
          <cell r="G79" t="str">
            <v>y</v>
          </cell>
          <cell r="H79">
            <v>42685</v>
          </cell>
          <cell r="I79">
            <v>42706</v>
          </cell>
          <cell r="J79">
            <v>42733</v>
          </cell>
          <cell r="K79">
            <v>42759</v>
          </cell>
          <cell r="L79">
            <v>42767</v>
          </cell>
          <cell r="M79">
            <v>42794</v>
          </cell>
          <cell r="N79">
            <v>0</v>
          </cell>
          <cell r="O79">
            <v>0</v>
          </cell>
          <cell r="P79">
            <v>42685</v>
          </cell>
          <cell r="Q79">
            <v>42682</v>
          </cell>
          <cell r="R79">
            <v>3</v>
          </cell>
          <cell r="S79">
            <v>42794</v>
          </cell>
          <cell r="T79" t="str">
            <v>N/A</v>
          </cell>
          <cell r="U79">
            <v>42794</v>
          </cell>
          <cell r="V79">
            <v>42801</v>
          </cell>
          <cell r="W79">
            <v>42801</v>
          </cell>
          <cell r="X79">
            <v>42801</v>
          </cell>
          <cell r="Y79">
            <v>42801</v>
          </cell>
          <cell r="Z79">
            <v>42803</v>
          </cell>
          <cell r="AA79">
            <v>42804</v>
          </cell>
          <cell r="AB79">
            <v>0</v>
          </cell>
        </row>
        <row r="80">
          <cell r="A80" t="str">
            <v>16-095</v>
          </cell>
          <cell r="B80" t="str">
            <v>Y</v>
          </cell>
          <cell r="C80" t="str">
            <v>N</v>
          </cell>
          <cell r="D80" t="str">
            <v>Y</v>
          </cell>
          <cell r="E80" t="str">
            <v>Y</v>
          </cell>
          <cell r="F80">
            <v>0</v>
          </cell>
          <cell r="G80" t="str">
            <v>y</v>
          </cell>
          <cell r="H80">
            <v>42681</v>
          </cell>
          <cell r="I80">
            <v>42695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42676</v>
          </cell>
          <cell r="Q80">
            <v>42675</v>
          </cell>
          <cell r="R80">
            <v>1</v>
          </cell>
          <cell r="S80">
            <v>42695</v>
          </cell>
          <cell r="T80">
            <v>42709</v>
          </cell>
          <cell r="U80">
            <v>42695</v>
          </cell>
          <cell r="V80">
            <v>42702</v>
          </cell>
          <cell r="W80">
            <v>42702</v>
          </cell>
          <cell r="X80">
            <v>42703</v>
          </cell>
          <cell r="Y80">
            <v>42703</v>
          </cell>
          <cell r="Z80">
            <v>42703</v>
          </cell>
          <cell r="AA80">
            <v>42704</v>
          </cell>
          <cell r="AB80">
            <v>0</v>
          </cell>
        </row>
        <row r="81">
          <cell r="A81" t="str">
            <v>16-096</v>
          </cell>
          <cell r="B81" t="str">
            <v>Y</v>
          </cell>
          <cell r="C81" t="str">
            <v>Y</v>
          </cell>
          <cell r="D81" t="str">
            <v>N</v>
          </cell>
          <cell r="E81" t="str">
            <v>Y</v>
          </cell>
          <cell r="F81">
            <v>1</v>
          </cell>
          <cell r="G81" t="str">
            <v>y</v>
          </cell>
          <cell r="H81">
            <v>42696</v>
          </cell>
          <cell r="I81">
            <v>42746</v>
          </cell>
          <cell r="J81">
            <v>42769</v>
          </cell>
          <cell r="K81">
            <v>42775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42675</v>
          </cell>
          <cell r="Q81">
            <v>42670</v>
          </cell>
          <cell r="R81">
            <v>2</v>
          </cell>
          <cell r="S81">
            <v>42796</v>
          </cell>
          <cell r="T81">
            <v>42795</v>
          </cell>
          <cell r="U81">
            <v>42796</v>
          </cell>
          <cell r="V81">
            <v>42803</v>
          </cell>
          <cell r="W81">
            <v>42803</v>
          </cell>
          <cell r="X81">
            <v>42807</v>
          </cell>
          <cell r="Y81">
            <v>42846</v>
          </cell>
          <cell r="Z81">
            <v>42807</v>
          </cell>
          <cell r="AA81">
            <v>42821</v>
          </cell>
          <cell r="AB81">
            <v>0</v>
          </cell>
        </row>
        <row r="82">
          <cell r="A82" t="str">
            <v>16-097</v>
          </cell>
          <cell r="B82" t="str">
            <v>Y</v>
          </cell>
          <cell r="C82" t="str">
            <v>Y</v>
          </cell>
          <cell r="D82" t="str">
            <v>N</v>
          </cell>
          <cell r="E82" t="str">
            <v>N</v>
          </cell>
          <cell r="F82">
            <v>1</v>
          </cell>
          <cell r="G82" t="str">
            <v>y</v>
          </cell>
          <cell r="H82">
            <v>42696</v>
          </cell>
          <cell r="I82">
            <v>42746</v>
          </cell>
          <cell r="J82">
            <v>42769</v>
          </cell>
          <cell r="K82">
            <v>42776</v>
          </cell>
          <cell r="L82">
            <v>0</v>
          </cell>
          <cell r="M82">
            <v>42809</v>
          </cell>
          <cell r="N82">
            <v>0</v>
          </cell>
          <cell r="O82">
            <v>42831</v>
          </cell>
          <cell r="P82">
            <v>42675</v>
          </cell>
          <cell r="Q82">
            <v>42670</v>
          </cell>
          <cell r="R82">
            <v>2</v>
          </cell>
          <cell r="S82">
            <v>42797</v>
          </cell>
          <cell r="T82">
            <v>42795</v>
          </cell>
          <cell r="U82">
            <v>42797</v>
          </cell>
          <cell r="V82">
            <v>42801</v>
          </cell>
          <cell r="W82">
            <v>42802</v>
          </cell>
          <cell r="X82">
            <v>42803</v>
          </cell>
          <cell r="Y82">
            <v>42851</v>
          </cell>
          <cell r="Z82">
            <v>42807</v>
          </cell>
          <cell r="AA82">
            <v>42828</v>
          </cell>
          <cell r="AB82">
            <v>0</v>
          </cell>
        </row>
        <row r="83">
          <cell r="A83" t="str">
            <v>16-098</v>
          </cell>
          <cell r="B83" t="str">
            <v>Y</v>
          </cell>
          <cell r="C83" t="str">
            <v>Y</v>
          </cell>
          <cell r="D83" t="str">
            <v>Y</v>
          </cell>
          <cell r="E83" t="str">
            <v>Y</v>
          </cell>
          <cell r="F83">
            <v>1</v>
          </cell>
          <cell r="G83" t="str">
            <v>y</v>
          </cell>
          <cell r="H83">
            <v>42751</v>
          </cell>
          <cell r="I83">
            <v>42752</v>
          </cell>
          <cell r="J83">
            <v>42753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42674</v>
          </cell>
          <cell r="Q83">
            <v>42670</v>
          </cell>
          <cell r="R83">
            <v>2</v>
          </cell>
          <cell r="S83">
            <v>42753</v>
          </cell>
          <cell r="T83">
            <v>42804</v>
          </cell>
          <cell r="U83">
            <v>42753</v>
          </cell>
          <cell r="V83">
            <v>42759</v>
          </cell>
          <cell r="W83">
            <v>42759</v>
          </cell>
          <cell r="X83">
            <v>42769</v>
          </cell>
          <cell r="Y83">
            <v>42769</v>
          </cell>
          <cell r="Z83">
            <v>42767</v>
          </cell>
          <cell r="AA83">
            <v>42769</v>
          </cell>
          <cell r="AB83">
            <v>0</v>
          </cell>
        </row>
        <row r="84">
          <cell r="A84" t="str">
            <v>16-099</v>
          </cell>
          <cell r="B84" t="str">
            <v>Y</v>
          </cell>
          <cell r="C84" t="str">
            <v>Y</v>
          </cell>
          <cell r="D84" t="str">
            <v>Y</v>
          </cell>
          <cell r="E84" t="str">
            <v>Y</v>
          </cell>
          <cell r="F84">
            <v>1</v>
          </cell>
          <cell r="G84" t="str">
            <v>Y</v>
          </cell>
          <cell r="H84">
            <v>42689</v>
          </cell>
          <cell r="I84">
            <v>42738</v>
          </cell>
          <cell r="J84">
            <v>42739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42684</v>
          </cell>
          <cell r="Q84">
            <v>42681</v>
          </cell>
          <cell r="R84">
            <v>2</v>
          </cell>
          <cell r="S84">
            <v>42739</v>
          </cell>
          <cell r="T84">
            <v>42724</v>
          </cell>
          <cell r="U84">
            <v>42739</v>
          </cell>
          <cell r="V84">
            <v>42746</v>
          </cell>
          <cell r="W84">
            <v>42746</v>
          </cell>
          <cell r="X84">
            <v>42747</v>
          </cell>
          <cell r="Y84">
            <v>42747</v>
          </cell>
          <cell r="Z84">
            <v>42746</v>
          </cell>
          <cell r="AA84">
            <v>42753</v>
          </cell>
          <cell r="AB84">
            <v>0</v>
          </cell>
        </row>
        <row r="85">
          <cell r="A85" t="str">
            <v>16-100</v>
          </cell>
          <cell r="B85" t="str">
            <v>Y</v>
          </cell>
          <cell r="C85" t="str">
            <v>Y</v>
          </cell>
          <cell r="D85" t="str">
            <v>Y</v>
          </cell>
          <cell r="E85" t="str">
            <v>Y</v>
          </cell>
          <cell r="F85">
            <v>1</v>
          </cell>
          <cell r="G85" t="str">
            <v>Y</v>
          </cell>
          <cell r="H85">
            <v>42689</v>
          </cell>
          <cell r="I85">
            <v>42738</v>
          </cell>
          <cell r="J85">
            <v>42739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42682</v>
          </cell>
          <cell r="Q85">
            <v>42681</v>
          </cell>
          <cell r="R85">
            <v>2</v>
          </cell>
          <cell r="S85">
            <v>42739</v>
          </cell>
          <cell r="T85">
            <v>42724</v>
          </cell>
          <cell r="U85">
            <v>42739</v>
          </cell>
          <cell r="V85">
            <v>42746</v>
          </cell>
          <cell r="W85">
            <v>42747</v>
          </cell>
          <cell r="X85">
            <v>42747</v>
          </cell>
          <cell r="Y85">
            <v>42747</v>
          </cell>
          <cell r="Z85">
            <v>42746</v>
          </cell>
          <cell r="AA85">
            <v>42753</v>
          </cell>
          <cell r="AB85">
            <v>0</v>
          </cell>
        </row>
        <row r="86">
          <cell r="A86" t="str">
            <v>16-101</v>
          </cell>
          <cell r="B86" t="str">
            <v>Y</v>
          </cell>
          <cell r="C86" t="str">
            <v>N</v>
          </cell>
          <cell r="D86" t="str">
            <v>Y</v>
          </cell>
          <cell r="E86" t="str">
            <v>Y</v>
          </cell>
          <cell r="F86">
            <v>0</v>
          </cell>
          <cell r="G86" t="str">
            <v>Y</v>
          </cell>
          <cell r="H86">
            <v>42683</v>
          </cell>
          <cell r="I86">
            <v>42768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42677</v>
          </cell>
          <cell r="Q86">
            <v>42676</v>
          </cell>
          <cell r="R86">
            <v>1</v>
          </cell>
          <cell r="S86">
            <v>42769</v>
          </cell>
          <cell r="T86">
            <v>42724</v>
          </cell>
          <cell r="U86">
            <v>42769</v>
          </cell>
          <cell r="V86">
            <v>42769</v>
          </cell>
          <cell r="W86">
            <v>42769</v>
          </cell>
          <cell r="X86">
            <v>42772</v>
          </cell>
          <cell r="Y86">
            <v>42772</v>
          </cell>
          <cell r="Z86">
            <v>42775</v>
          </cell>
          <cell r="AA86">
            <v>42775</v>
          </cell>
          <cell r="AB86">
            <v>0</v>
          </cell>
        </row>
        <row r="87">
          <cell r="A87" t="str">
            <v>16-102</v>
          </cell>
          <cell r="B87" t="str">
            <v>Y</v>
          </cell>
          <cell r="C87" t="str">
            <v>N</v>
          </cell>
          <cell r="D87" t="str">
            <v>Y</v>
          </cell>
          <cell r="E87" t="str">
            <v>Y</v>
          </cell>
          <cell r="F87">
            <v>0</v>
          </cell>
          <cell r="G87" t="str">
            <v>Y</v>
          </cell>
          <cell r="H87">
            <v>42683</v>
          </cell>
          <cell r="I87">
            <v>42768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42677</v>
          </cell>
          <cell r="Q87">
            <v>42676</v>
          </cell>
          <cell r="R87">
            <v>1</v>
          </cell>
          <cell r="S87">
            <v>42769</v>
          </cell>
          <cell r="T87">
            <v>42724</v>
          </cell>
          <cell r="U87">
            <v>42769</v>
          </cell>
          <cell r="V87">
            <v>42769</v>
          </cell>
          <cell r="W87">
            <v>42769</v>
          </cell>
          <cell r="X87">
            <v>42772</v>
          </cell>
          <cell r="Y87">
            <v>42772</v>
          </cell>
          <cell r="Z87">
            <v>42775</v>
          </cell>
          <cell r="AA87">
            <v>42775</v>
          </cell>
          <cell r="AB87">
            <v>0</v>
          </cell>
        </row>
        <row r="88">
          <cell r="A88" t="str">
            <v>16-103</v>
          </cell>
          <cell r="B88" t="str">
            <v>Y</v>
          </cell>
          <cell r="C88" t="str">
            <v>N</v>
          </cell>
          <cell r="D88" t="str">
            <v>N</v>
          </cell>
          <cell r="E88" t="str">
            <v>Y</v>
          </cell>
          <cell r="F88">
            <v>0</v>
          </cell>
          <cell r="G88" t="str">
            <v>y</v>
          </cell>
          <cell r="H88">
            <v>42705</v>
          </cell>
          <cell r="I88">
            <v>42706</v>
          </cell>
          <cell r="J88">
            <v>0</v>
          </cell>
          <cell r="K88">
            <v>42738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42702</v>
          </cell>
          <cell r="Q88">
            <v>42697</v>
          </cell>
          <cell r="R88">
            <v>1</v>
          </cell>
          <cell r="S88">
            <v>42706</v>
          </cell>
          <cell r="T88">
            <v>42709</v>
          </cell>
          <cell r="U88">
            <v>42706</v>
          </cell>
          <cell r="V88">
            <v>42706</v>
          </cell>
          <cell r="W88">
            <v>42706</v>
          </cell>
          <cell r="X88">
            <v>42710</v>
          </cell>
          <cell r="Y88">
            <v>42710</v>
          </cell>
          <cell r="Z88">
            <v>42719</v>
          </cell>
          <cell r="AA88">
            <v>42719</v>
          </cell>
          <cell r="AB88">
            <v>0</v>
          </cell>
        </row>
        <row r="89">
          <cell r="A89" t="str">
            <v>16-104</v>
          </cell>
          <cell r="B89" t="str">
            <v>Y</v>
          </cell>
          <cell r="C89" t="str">
            <v>Y</v>
          </cell>
          <cell r="D89" t="str">
            <v>N</v>
          </cell>
          <cell r="E89" t="str">
            <v>Y</v>
          </cell>
          <cell r="F89">
            <v>1</v>
          </cell>
          <cell r="G89" t="str">
            <v>y</v>
          </cell>
          <cell r="H89">
            <v>42717</v>
          </cell>
          <cell r="I89">
            <v>0</v>
          </cell>
          <cell r="J89">
            <v>42725</v>
          </cell>
          <cell r="K89">
            <v>42726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42702</v>
          </cell>
          <cell r="Q89">
            <v>42697</v>
          </cell>
          <cell r="R89">
            <v>2</v>
          </cell>
          <cell r="S89">
            <v>42731</v>
          </cell>
          <cell r="T89" t="str">
            <v>N/A</v>
          </cell>
          <cell r="U89">
            <v>42731</v>
          </cell>
          <cell r="V89">
            <v>42744</v>
          </cell>
          <cell r="W89">
            <v>42745</v>
          </cell>
          <cell r="X89">
            <v>42745</v>
          </cell>
          <cell r="Y89">
            <v>42745</v>
          </cell>
          <cell r="Z89">
            <v>42746</v>
          </cell>
          <cell r="AA89">
            <v>42745</v>
          </cell>
          <cell r="AB89">
            <v>0</v>
          </cell>
        </row>
        <row r="90">
          <cell r="A90" t="str">
            <v>16-105</v>
          </cell>
          <cell r="B90" t="str">
            <v>Y</v>
          </cell>
          <cell r="C90" t="str">
            <v>N</v>
          </cell>
          <cell r="D90" t="str">
            <v>Y</v>
          </cell>
          <cell r="E90" t="str">
            <v>Y</v>
          </cell>
          <cell r="F90">
            <v>0</v>
          </cell>
          <cell r="G90" t="str">
            <v>y</v>
          </cell>
          <cell r="H90">
            <v>42711</v>
          </cell>
          <cell r="I90">
            <v>42717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42702</v>
          </cell>
          <cell r="Q90">
            <v>42697</v>
          </cell>
          <cell r="R90">
            <v>1</v>
          </cell>
          <cell r="S90">
            <v>42725</v>
          </cell>
          <cell r="T90" t="str">
            <v>N/A</v>
          </cell>
          <cell r="U90">
            <v>42725</v>
          </cell>
          <cell r="V90">
            <v>42739</v>
          </cell>
          <cell r="W90">
            <v>42741</v>
          </cell>
          <cell r="X90">
            <v>42741</v>
          </cell>
          <cell r="Y90">
            <v>42741</v>
          </cell>
          <cell r="Z90">
            <v>42724</v>
          </cell>
          <cell r="AA90">
            <v>42726</v>
          </cell>
          <cell r="AB90">
            <v>0</v>
          </cell>
        </row>
        <row r="91">
          <cell r="A91" t="str">
            <v>16-106</v>
          </cell>
          <cell r="B91" t="str">
            <v>Y</v>
          </cell>
          <cell r="C91" t="str">
            <v>Y</v>
          </cell>
          <cell r="D91" t="str">
            <v>N</v>
          </cell>
          <cell r="E91" t="str">
            <v>Y</v>
          </cell>
          <cell r="F91">
            <v>1</v>
          </cell>
          <cell r="G91" t="str">
            <v>y</v>
          </cell>
          <cell r="H91">
            <v>42724</v>
          </cell>
          <cell r="I91">
            <v>42724</v>
          </cell>
          <cell r="J91">
            <v>42725</v>
          </cell>
          <cell r="K91">
            <v>42725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 t="str">
            <v>N/A</v>
          </cell>
          <cell r="Q91" t="str">
            <v>N/A</v>
          </cell>
          <cell r="R91">
            <v>2</v>
          </cell>
          <cell r="S91">
            <v>42731</v>
          </cell>
          <cell r="T91" t="str">
            <v>N/A</v>
          </cell>
          <cell r="U91">
            <v>42731</v>
          </cell>
          <cell r="V91">
            <v>42739</v>
          </cell>
          <cell r="W91">
            <v>42740</v>
          </cell>
          <cell r="X91">
            <v>42741</v>
          </cell>
          <cell r="Y91">
            <v>42741</v>
          </cell>
          <cell r="Z91">
            <v>42746</v>
          </cell>
          <cell r="AA91">
            <v>42745</v>
          </cell>
          <cell r="AB91">
            <v>0</v>
          </cell>
        </row>
        <row r="92">
          <cell r="A92" t="str">
            <v>16-107</v>
          </cell>
          <cell r="B92" t="str">
            <v>Y</v>
          </cell>
          <cell r="C92" t="str">
            <v>Y</v>
          </cell>
          <cell r="D92" t="str">
            <v>Y</v>
          </cell>
          <cell r="E92" t="str">
            <v>Y</v>
          </cell>
          <cell r="F92">
            <v>0</v>
          </cell>
          <cell r="G92" t="str">
            <v>y</v>
          </cell>
          <cell r="H92">
            <v>42712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42704</v>
          </cell>
          <cell r="Q92">
            <v>42703</v>
          </cell>
          <cell r="R92">
            <v>1</v>
          </cell>
          <cell r="S92">
            <v>42719</v>
          </cell>
          <cell r="T92" t="str">
            <v>N/A</v>
          </cell>
          <cell r="U92">
            <v>42719</v>
          </cell>
          <cell r="V92">
            <v>42741</v>
          </cell>
          <cell r="W92">
            <v>42744</v>
          </cell>
          <cell r="X92">
            <v>42745</v>
          </cell>
          <cell r="Y92">
            <v>42748</v>
          </cell>
          <cell r="Z92">
            <v>42733</v>
          </cell>
          <cell r="AA92">
            <v>42733</v>
          </cell>
          <cell r="AB92">
            <v>0</v>
          </cell>
        </row>
        <row r="93">
          <cell r="A93" t="str">
            <v>16-108</v>
          </cell>
          <cell r="B93" t="str">
            <v>Y</v>
          </cell>
          <cell r="C93" t="str">
            <v>Y</v>
          </cell>
          <cell r="D93" t="str">
            <v>Y</v>
          </cell>
          <cell r="E93" t="str">
            <v>Y</v>
          </cell>
          <cell r="F93">
            <v>1</v>
          </cell>
          <cell r="G93" t="str">
            <v>y</v>
          </cell>
          <cell r="H93">
            <v>42719</v>
          </cell>
          <cell r="I93">
            <v>0</v>
          </cell>
          <cell r="J93">
            <v>42725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42709</v>
          </cell>
          <cell r="Q93">
            <v>42705</v>
          </cell>
          <cell r="R93">
            <v>2</v>
          </cell>
          <cell r="S93">
            <v>42738</v>
          </cell>
          <cell r="T93" t="str">
            <v>N/A</v>
          </cell>
          <cell r="U93">
            <v>42738</v>
          </cell>
          <cell r="V93">
            <v>42745</v>
          </cell>
          <cell r="W93">
            <v>42745</v>
          </cell>
          <cell r="X93">
            <v>42745</v>
          </cell>
          <cell r="Y93">
            <v>42746</v>
          </cell>
          <cell r="Z93">
            <v>42746</v>
          </cell>
          <cell r="AA93">
            <v>42752</v>
          </cell>
          <cell r="AB93">
            <v>0</v>
          </cell>
        </row>
        <row r="94">
          <cell r="A94" t="str">
            <v>16-109</v>
          </cell>
          <cell r="B94" t="str">
            <v>Y</v>
          </cell>
          <cell r="C94" t="str">
            <v>Y</v>
          </cell>
          <cell r="D94" t="str">
            <v>Y</v>
          </cell>
          <cell r="E94" t="str">
            <v>Y</v>
          </cell>
          <cell r="F94">
            <v>1</v>
          </cell>
          <cell r="G94" t="str">
            <v>y</v>
          </cell>
          <cell r="H94">
            <v>42719</v>
          </cell>
          <cell r="I94">
            <v>0</v>
          </cell>
          <cell r="J94">
            <v>42725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42709</v>
          </cell>
          <cell r="Q94">
            <v>42705</v>
          </cell>
          <cell r="R94">
            <v>2</v>
          </cell>
          <cell r="S94">
            <v>42738</v>
          </cell>
          <cell r="T94" t="str">
            <v>N/A</v>
          </cell>
          <cell r="U94">
            <v>42738</v>
          </cell>
          <cell r="V94">
            <v>42745</v>
          </cell>
          <cell r="W94">
            <v>42745</v>
          </cell>
          <cell r="X94">
            <v>42745</v>
          </cell>
          <cell r="Y94">
            <v>42746</v>
          </cell>
          <cell r="Z94">
            <v>42746</v>
          </cell>
          <cell r="AA94">
            <v>42752</v>
          </cell>
          <cell r="AB94">
            <v>0</v>
          </cell>
        </row>
        <row r="95">
          <cell r="A95" t="str">
            <v>16-110</v>
          </cell>
          <cell r="B95" t="str">
            <v>Y</v>
          </cell>
          <cell r="C95" t="str">
            <v>Y</v>
          </cell>
          <cell r="D95" t="str">
            <v>Y</v>
          </cell>
          <cell r="E95" t="str">
            <v>Y</v>
          </cell>
          <cell r="F95">
            <v>1</v>
          </cell>
          <cell r="G95" t="str">
            <v>y</v>
          </cell>
          <cell r="H95">
            <v>42719</v>
          </cell>
          <cell r="I95">
            <v>0</v>
          </cell>
          <cell r="J95">
            <v>42725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42709</v>
          </cell>
          <cell r="Q95">
            <v>42705</v>
          </cell>
          <cell r="R95">
            <v>2</v>
          </cell>
          <cell r="S95">
            <v>42738</v>
          </cell>
          <cell r="T95" t="str">
            <v>N/A</v>
          </cell>
          <cell r="U95">
            <v>42738</v>
          </cell>
          <cell r="V95">
            <v>42745</v>
          </cell>
          <cell r="W95">
            <v>42745</v>
          </cell>
          <cell r="X95">
            <v>42745</v>
          </cell>
          <cell r="Y95">
            <v>42746</v>
          </cell>
          <cell r="Z95">
            <v>42746</v>
          </cell>
          <cell r="AA95">
            <v>42752</v>
          </cell>
          <cell r="AB95">
            <v>0</v>
          </cell>
        </row>
        <row r="96">
          <cell r="A96" t="str">
            <v>16-111</v>
          </cell>
          <cell r="B96" t="str">
            <v>Y</v>
          </cell>
          <cell r="C96" t="str">
            <v>Y</v>
          </cell>
          <cell r="D96" t="str">
            <v>Y</v>
          </cell>
          <cell r="E96" t="str">
            <v>Y</v>
          </cell>
          <cell r="F96">
            <v>1</v>
          </cell>
          <cell r="G96" t="str">
            <v>y</v>
          </cell>
          <cell r="H96">
            <v>42719</v>
          </cell>
          <cell r="I96">
            <v>0</v>
          </cell>
          <cell r="J96">
            <v>42725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42709</v>
          </cell>
          <cell r="Q96">
            <v>42705</v>
          </cell>
          <cell r="R96">
            <v>2</v>
          </cell>
          <cell r="S96">
            <v>42738</v>
          </cell>
          <cell r="T96" t="str">
            <v>N/A</v>
          </cell>
          <cell r="U96">
            <v>42738</v>
          </cell>
          <cell r="V96">
            <v>42745</v>
          </cell>
          <cell r="W96">
            <v>42745</v>
          </cell>
          <cell r="X96">
            <v>42745</v>
          </cell>
          <cell r="Y96">
            <v>42746</v>
          </cell>
          <cell r="Z96">
            <v>42746</v>
          </cell>
          <cell r="AA96">
            <v>42752</v>
          </cell>
          <cell r="AB96">
            <v>0</v>
          </cell>
        </row>
        <row r="97">
          <cell r="A97" t="str">
            <v>16-112</v>
          </cell>
          <cell r="B97" t="str">
            <v>Y</v>
          </cell>
          <cell r="C97" t="str">
            <v>Y</v>
          </cell>
          <cell r="D97" t="str">
            <v>Y</v>
          </cell>
          <cell r="E97" t="str">
            <v>Y</v>
          </cell>
          <cell r="F97">
            <v>1</v>
          </cell>
          <cell r="G97" t="str">
            <v>y</v>
          </cell>
          <cell r="H97">
            <v>42719</v>
          </cell>
          <cell r="I97">
            <v>0</v>
          </cell>
          <cell r="J97">
            <v>42725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42709</v>
          </cell>
          <cell r="Q97">
            <v>42705</v>
          </cell>
          <cell r="R97">
            <v>2</v>
          </cell>
          <cell r="S97">
            <v>42738</v>
          </cell>
          <cell r="T97" t="str">
            <v>N/A</v>
          </cell>
          <cell r="U97">
            <v>42738</v>
          </cell>
          <cell r="V97">
            <v>42745</v>
          </cell>
          <cell r="W97">
            <v>42745</v>
          </cell>
          <cell r="X97">
            <v>42745</v>
          </cell>
          <cell r="Y97">
            <v>42746</v>
          </cell>
          <cell r="Z97">
            <v>42746</v>
          </cell>
          <cell r="AA97">
            <v>42752</v>
          </cell>
          <cell r="AB97">
            <v>0</v>
          </cell>
        </row>
        <row r="98">
          <cell r="A98" t="str">
            <v>16-113</v>
          </cell>
          <cell r="B98" t="str">
            <v>Y</v>
          </cell>
          <cell r="C98" t="str">
            <v>Y</v>
          </cell>
          <cell r="D98" t="str">
            <v>Y</v>
          </cell>
          <cell r="E98" t="str">
            <v>Y</v>
          </cell>
          <cell r="F98">
            <v>1</v>
          </cell>
          <cell r="G98" t="str">
            <v>y</v>
          </cell>
          <cell r="H98">
            <v>42719</v>
          </cell>
          <cell r="I98">
            <v>0</v>
          </cell>
          <cell r="J98">
            <v>42725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42709</v>
          </cell>
          <cell r="Q98">
            <v>42705</v>
          </cell>
          <cell r="R98">
            <v>2</v>
          </cell>
          <cell r="S98">
            <v>42738</v>
          </cell>
          <cell r="T98" t="str">
            <v>N/A</v>
          </cell>
          <cell r="U98">
            <v>42738</v>
          </cell>
          <cell r="V98">
            <v>42745</v>
          </cell>
          <cell r="W98">
            <v>42745</v>
          </cell>
          <cell r="X98">
            <v>42745</v>
          </cell>
          <cell r="Y98">
            <v>42746</v>
          </cell>
          <cell r="Z98">
            <v>42746</v>
          </cell>
          <cell r="AA98">
            <v>42752</v>
          </cell>
          <cell r="AB98">
            <v>0</v>
          </cell>
        </row>
        <row r="99">
          <cell r="A99" t="str">
            <v>16-114</v>
          </cell>
          <cell r="B99" t="str">
            <v>Y</v>
          </cell>
          <cell r="C99" t="str">
            <v>N</v>
          </cell>
          <cell r="D99" t="str">
            <v>Y</v>
          </cell>
          <cell r="E99" t="str">
            <v>Y</v>
          </cell>
          <cell r="F99">
            <v>0</v>
          </cell>
          <cell r="G99" t="str">
            <v>y</v>
          </cell>
          <cell r="H99">
            <v>42741</v>
          </cell>
          <cell r="I99">
            <v>42788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42751</v>
          </cell>
          <cell r="Q99">
            <v>42751</v>
          </cell>
          <cell r="R99">
            <v>1</v>
          </cell>
          <cell r="S99">
            <v>42789</v>
          </cell>
          <cell r="T99">
            <v>42795</v>
          </cell>
          <cell r="U99">
            <v>42789</v>
          </cell>
          <cell r="V99">
            <v>42790</v>
          </cell>
          <cell r="W99">
            <v>42793</v>
          </cell>
          <cell r="X99">
            <v>42793</v>
          </cell>
          <cell r="Y99">
            <v>42793</v>
          </cell>
          <cell r="Z99">
            <v>42790</v>
          </cell>
          <cell r="AA99">
            <v>42815</v>
          </cell>
          <cell r="AB99">
            <v>0</v>
          </cell>
        </row>
        <row r="100">
          <cell r="A100" t="str">
            <v>16-115</v>
          </cell>
          <cell r="B100" t="str">
            <v>Y</v>
          </cell>
          <cell r="C100" t="str">
            <v>N</v>
          </cell>
          <cell r="D100" t="str">
            <v>Y</v>
          </cell>
          <cell r="E100" t="str">
            <v>Y</v>
          </cell>
          <cell r="F100">
            <v>0</v>
          </cell>
          <cell r="G100" t="str">
            <v>y</v>
          </cell>
          <cell r="H100">
            <v>42739</v>
          </cell>
          <cell r="I100">
            <v>42788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42751</v>
          </cell>
          <cell r="Q100">
            <v>42751</v>
          </cell>
          <cell r="R100">
            <v>1</v>
          </cell>
          <cell r="S100">
            <v>42789</v>
          </cell>
          <cell r="T100">
            <v>42795</v>
          </cell>
          <cell r="U100">
            <v>42789</v>
          </cell>
          <cell r="V100">
            <v>42790</v>
          </cell>
          <cell r="W100">
            <v>42793</v>
          </cell>
          <cell r="X100">
            <v>42793</v>
          </cell>
          <cell r="Y100">
            <v>42793</v>
          </cell>
          <cell r="Z100">
            <v>42790</v>
          </cell>
          <cell r="AA100">
            <v>42815</v>
          </cell>
          <cell r="AB100">
            <v>0</v>
          </cell>
        </row>
        <row r="101">
          <cell r="A101" t="str">
            <v>16-116</v>
          </cell>
          <cell r="B101" t="str">
            <v>Y</v>
          </cell>
          <cell r="C101" t="str">
            <v>N</v>
          </cell>
          <cell r="D101" t="str">
            <v>Y</v>
          </cell>
          <cell r="E101" t="str">
            <v>Y</v>
          </cell>
          <cell r="F101">
            <v>0</v>
          </cell>
          <cell r="G101" t="str">
            <v>y</v>
          </cell>
          <cell r="H101">
            <v>42748</v>
          </cell>
          <cell r="I101">
            <v>42779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42786</v>
          </cell>
          <cell r="Q101">
            <v>42751</v>
          </cell>
          <cell r="R101">
            <v>1</v>
          </cell>
          <cell r="S101">
            <v>42789</v>
          </cell>
          <cell r="T101" t="str">
            <v>N/A</v>
          </cell>
          <cell r="U101">
            <v>42789</v>
          </cell>
          <cell r="V101">
            <v>42794</v>
          </cell>
          <cell r="W101">
            <v>42794</v>
          </cell>
          <cell r="X101">
            <v>42795</v>
          </cell>
          <cell r="Y101">
            <v>42795</v>
          </cell>
          <cell r="Z101">
            <v>42790</v>
          </cell>
          <cell r="AA101">
            <v>42843</v>
          </cell>
          <cell r="AB101">
            <v>0</v>
          </cell>
        </row>
        <row r="102">
          <cell r="A102" t="str">
            <v>16-117</v>
          </cell>
          <cell r="B102" t="str">
            <v>Y</v>
          </cell>
          <cell r="C102" t="str">
            <v>Y</v>
          </cell>
          <cell r="D102" t="str">
            <v>Y</v>
          </cell>
          <cell r="E102" t="str">
            <v>Y</v>
          </cell>
          <cell r="F102">
            <v>1</v>
          </cell>
          <cell r="G102" t="str">
            <v>y</v>
          </cell>
          <cell r="H102">
            <v>42748</v>
          </cell>
          <cell r="I102">
            <v>42779</v>
          </cell>
          <cell r="J102">
            <v>42816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42786</v>
          </cell>
          <cell r="Q102">
            <v>42751</v>
          </cell>
          <cell r="R102">
            <v>2</v>
          </cell>
          <cell r="S102">
            <v>42816</v>
          </cell>
          <cell r="T102" t="str">
            <v>N/A</v>
          </cell>
          <cell r="U102">
            <v>42816</v>
          </cell>
          <cell r="V102">
            <v>42794</v>
          </cell>
          <cell r="W102">
            <v>42794</v>
          </cell>
          <cell r="X102">
            <v>42795</v>
          </cell>
          <cell r="Y102">
            <v>42795</v>
          </cell>
          <cell r="Z102">
            <v>42797</v>
          </cell>
          <cell r="AA102">
            <v>42828</v>
          </cell>
          <cell r="AB102">
            <v>0</v>
          </cell>
        </row>
        <row r="103">
          <cell r="A103" t="str">
            <v>16-118</v>
          </cell>
          <cell r="B103" t="str">
            <v>Y</v>
          </cell>
          <cell r="C103" t="str">
            <v>N</v>
          </cell>
          <cell r="D103" t="str">
            <v>N</v>
          </cell>
          <cell r="E103" t="str">
            <v>Y</v>
          </cell>
          <cell r="F103">
            <v>0</v>
          </cell>
          <cell r="G103" t="str">
            <v>y</v>
          </cell>
          <cell r="H103">
            <v>42755</v>
          </cell>
          <cell r="I103">
            <v>42779</v>
          </cell>
          <cell r="J103">
            <v>0</v>
          </cell>
          <cell r="K103">
            <v>42845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42786</v>
          </cell>
          <cell r="Q103">
            <v>42755</v>
          </cell>
          <cell r="R103">
            <v>1</v>
          </cell>
          <cell r="S103">
            <v>42865</v>
          </cell>
          <cell r="T103">
            <v>42804</v>
          </cell>
          <cell r="U103">
            <v>42865</v>
          </cell>
          <cell r="V103">
            <v>42807</v>
          </cell>
          <cell r="W103">
            <v>42808</v>
          </cell>
          <cell r="X103">
            <v>42922</v>
          </cell>
          <cell r="Y103">
            <v>42922</v>
          </cell>
          <cell r="Z103">
            <v>42822</v>
          </cell>
          <cell r="AA103">
            <v>42867</v>
          </cell>
          <cell r="AB103">
            <v>0</v>
          </cell>
        </row>
        <row r="104">
          <cell r="A104" t="str">
            <v>16-119</v>
          </cell>
          <cell r="B104" t="str">
            <v>Y</v>
          </cell>
          <cell r="C104" t="str">
            <v>N</v>
          </cell>
          <cell r="D104" t="str">
            <v>Y</v>
          </cell>
          <cell r="E104" t="str">
            <v>Y</v>
          </cell>
          <cell r="F104">
            <v>0</v>
          </cell>
          <cell r="G104" t="str">
            <v>y</v>
          </cell>
          <cell r="H104">
            <v>42753</v>
          </cell>
          <cell r="I104">
            <v>42779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42786</v>
          </cell>
          <cell r="Q104">
            <v>42755</v>
          </cell>
          <cell r="R104">
            <v>1</v>
          </cell>
          <cell r="S104">
            <v>42789</v>
          </cell>
          <cell r="T104">
            <v>42795</v>
          </cell>
          <cell r="U104">
            <v>42789</v>
          </cell>
          <cell r="V104">
            <v>42800</v>
          </cell>
          <cell r="W104">
            <v>42802</v>
          </cell>
          <cell r="X104">
            <v>42804</v>
          </cell>
          <cell r="Y104">
            <v>42804</v>
          </cell>
          <cell r="Z104">
            <v>42797</v>
          </cell>
          <cell r="AA104">
            <v>42843</v>
          </cell>
          <cell r="AB104">
            <v>0</v>
          </cell>
        </row>
        <row r="105">
          <cell r="A105" t="str">
            <v>16-120</v>
          </cell>
          <cell r="B105" t="str">
            <v>Y</v>
          </cell>
          <cell r="C105" t="str">
            <v>Y</v>
          </cell>
          <cell r="D105" t="str">
            <v>Y</v>
          </cell>
          <cell r="E105" t="str">
            <v>Y</v>
          </cell>
          <cell r="F105">
            <v>1</v>
          </cell>
          <cell r="G105" t="str">
            <v>y</v>
          </cell>
          <cell r="H105">
            <v>42753</v>
          </cell>
          <cell r="I105">
            <v>42779</v>
          </cell>
          <cell r="J105">
            <v>42817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42786</v>
          </cell>
          <cell r="Q105">
            <v>42755</v>
          </cell>
          <cell r="R105">
            <v>2</v>
          </cell>
          <cell r="S105">
            <v>42817</v>
          </cell>
          <cell r="T105">
            <v>42795</v>
          </cell>
          <cell r="U105">
            <v>42817</v>
          </cell>
          <cell r="V105">
            <v>42800</v>
          </cell>
          <cell r="W105">
            <v>42802</v>
          </cell>
          <cell r="X105">
            <v>42804</v>
          </cell>
          <cell r="Y105">
            <v>42804</v>
          </cell>
          <cell r="Z105">
            <v>42797</v>
          </cell>
          <cell r="AA105">
            <v>42828</v>
          </cell>
          <cell r="AB105">
            <v>0</v>
          </cell>
        </row>
        <row r="106">
          <cell r="A106" t="str">
            <v>16-121</v>
          </cell>
          <cell r="B106" t="str">
            <v>Y</v>
          </cell>
          <cell r="C106" t="str">
            <v>N</v>
          </cell>
          <cell r="D106" t="str">
            <v>N</v>
          </cell>
          <cell r="E106" t="str">
            <v>Y</v>
          </cell>
          <cell r="F106">
            <v>0</v>
          </cell>
          <cell r="G106" t="str">
            <v>y</v>
          </cell>
          <cell r="H106">
            <v>42754</v>
          </cell>
          <cell r="I106">
            <v>42779</v>
          </cell>
          <cell r="J106">
            <v>0</v>
          </cell>
          <cell r="K106">
            <v>42845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42786</v>
          </cell>
          <cell r="Q106">
            <v>42755</v>
          </cell>
          <cell r="R106">
            <v>1</v>
          </cell>
          <cell r="S106">
            <v>42865</v>
          </cell>
          <cell r="T106">
            <v>42804</v>
          </cell>
          <cell r="U106">
            <v>42865</v>
          </cell>
          <cell r="V106">
            <v>42808</v>
          </cell>
          <cell r="W106">
            <v>42808</v>
          </cell>
          <cell r="X106">
            <v>42922</v>
          </cell>
          <cell r="Y106">
            <v>42922</v>
          </cell>
          <cell r="Z106">
            <v>42823</v>
          </cell>
          <cell r="AA106">
            <v>42867</v>
          </cell>
          <cell r="AB106">
            <v>0</v>
          </cell>
        </row>
        <row r="107">
          <cell r="A107" t="str">
            <v>16-122</v>
          </cell>
          <cell r="B107" t="str">
            <v>Y</v>
          </cell>
          <cell r="C107" t="str">
            <v>N</v>
          </cell>
          <cell r="D107" t="str">
            <v>N</v>
          </cell>
          <cell r="E107" t="str">
            <v>Y</v>
          </cell>
          <cell r="F107">
            <v>0</v>
          </cell>
          <cell r="G107" t="str">
            <v>y</v>
          </cell>
          <cell r="H107">
            <v>42754</v>
          </cell>
          <cell r="I107">
            <v>42779</v>
          </cell>
          <cell r="J107">
            <v>0</v>
          </cell>
          <cell r="K107">
            <v>42845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42786</v>
          </cell>
          <cell r="Q107">
            <v>42755</v>
          </cell>
          <cell r="R107">
            <v>1</v>
          </cell>
          <cell r="S107">
            <v>42865</v>
          </cell>
          <cell r="T107">
            <v>42804</v>
          </cell>
          <cell r="U107">
            <v>42865</v>
          </cell>
          <cell r="V107">
            <v>42808</v>
          </cell>
          <cell r="W107">
            <v>42808</v>
          </cell>
          <cell r="X107">
            <v>42922</v>
          </cell>
          <cell r="Y107">
            <v>42922</v>
          </cell>
          <cell r="Z107">
            <v>42825</v>
          </cell>
          <cell r="AA107">
            <v>42867</v>
          </cell>
          <cell r="AB107">
            <v>0</v>
          </cell>
        </row>
        <row r="108">
          <cell r="A108" t="str">
            <v>16-123</v>
          </cell>
          <cell r="B108" t="str">
            <v>Y</v>
          </cell>
          <cell r="C108" t="str">
            <v>N</v>
          </cell>
          <cell r="D108" t="str">
            <v>Y</v>
          </cell>
          <cell r="E108" t="str">
            <v>Y</v>
          </cell>
          <cell r="F108">
            <v>0</v>
          </cell>
          <cell r="G108" t="str">
            <v>y</v>
          </cell>
          <cell r="H108">
            <v>42761</v>
          </cell>
          <cell r="I108">
            <v>42779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42786</v>
          </cell>
          <cell r="Q108">
            <v>42758</v>
          </cell>
          <cell r="R108">
            <v>1</v>
          </cell>
          <cell r="S108">
            <v>42801</v>
          </cell>
          <cell r="T108">
            <v>42804</v>
          </cell>
          <cell r="U108">
            <v>42801</v>
          </cell>
          <cell r="V108">
            <v>42810</v>
          </cell>
          <cell r="W108">
            <v>42810</v>
          </cell>
          <cell r="X108">
            <v>42814</v>
          </cell>
          <cell r="Y108">
            <v>42814</v>
          </cell>
          <cell r="Z108">
            <v>42825</v>
          </cell>
          <cell r="AA108">
            <v>42843</v>
          </cell>
          <cell r="AB108">
            <v>0</v>
          </cell>
        </row>
        <row r="109">
          <cell r="A109" t="str">
            <v>16-124</v>
          </cell>
          <cell r="B109" t="str">
            <v>Y</v>
          </cell>
          <cell r="C109" t="str">
            <v>N</v>
          </cell>
          <cell r="D109" t="str">
            <v>Y</v>
          </cell>
          <cell r="E109" t="str">
            <v>Y</v>
          </cell>
          <cell r="F109">
            <v>0</v>
          </cell>
          <cell r="G109" t="str">
            <v>y</v>
          </cell>
          <cell r="H109">
            <v>42761</v>
          </cell>
          <cell r="I109">
            <v>42779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42786</v>
          </cell>
          <cell r="Q109">
            <v>42758</v>
          </cell>
          <cell r="R109">
            <v>1</v>
          </cell>
          <cell r="S109">
            <v>42801</v>
          </cell>
          <cell r="T109">
            <v>42804</v>
          </cell>
          <cell r="U109">
            <v>42801</v>
          </cell>
          <cell r="V109">
            <v>42810</v>
          </cell>
          <cell r="W109">
            <v>42810</v>
          </cell>
          <cell r="X109">
            <v>42814</v>
          </cell>
          <cell r="Y109">
            <v>42814</v>
          </cell>
          <cell r="Z109">
            <v>42825</v>
          </cell>
          <cell r="AA109">
            <v>42843</v>
          </cell>
          <cell r="AB109">
            <v>0</v>
          </cell>
        </row>
        <row r="110">
          <cell r="A110" t="str">
            <v>16-125</v>
          </cell>
          <cell r="B110" t="str">
            <v>Y</v>
          </cell>
          <cell r="C110" t="str">
            <v>Y</v>
          </cell>
          <cell r="D110" t="str">
            <v>Y</v>
          </cell>
          <cell r="E110" t="str">
            <v>Y</v>
          </cell>
          <cell r="F110">
            <v>1</v>
          </cell>
          <cell r="G110" t="str">
            <v>y</v>
          </cell>
          <cell r="H110">
            <v>42762</v>
          </cell>
          <cell r="I110">
            <v>42779</v>
          </cell>
          <cell r="J110">
            <v>42817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42786</v>
          </cell>
          <cell r="Q110">
            <v>42758</v>
          </cell>
          <cell r="R110">
            <v>2</v>
          </cell>
          <cell r="S110">
            <v>42817</v>
          </cell>
          <cell r="T110">
            <v>42804</v>
          </cell>
          <cell r="U110">
            <v>42817</v>
          </cell>
          <cell r="V110">
            <v>42810</v>
          </cell>
          <cell r="W110">
            <v>42810</v>
          </cell>
          <cell r="X110">
            <v>42814</v>
          </cell>
          <cell r="Y110">
            <v>42814</v>
          </cell>
          <cell r="Z110">
            <v>42822</v>
          </cell>
          <cell r="AA110">
            <v>42828</v>
          </cell>
          <cell r="AB110">
            <v>0</v>
          </cell>
        </row>
        <row r="111">
          <cell r="A111" t="str">
            <v>16-126</v>
          </cell>
          <cell r="B111" t="str">
            <v>Y</v>
          </cell>
          <cell r="C111" t="str">
            <v>Y</v>
          </cell>
          <cell r="D111" t="str">
            <v>Y</v>
          </cell>
          <cell r="E111" t="str">
            <v>Y</v>
          </cell>
          <cell r="F111">
            <v>1</v>
          </cell>
          <cell r="G111" t="str">
            <v>y</v>
          </cell>
          <cell r="H111">
            <v>42762</v>
          </cell>
          <cell r="I111">
            <v>42779</v>
          </cell>
          <cell r="J111">
            <v>42817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42786</v>
          </cell>
          <cell r="Q111">
            <v>42758</v>
          </cell>
          <cell r="R111">
            <v>2</v>
          </cell>
          <cell r="S111">
            <v>42817</v>
          </cell>
          <cell r="T111">
            <v>42795</v>
          </cell>
          <cell r="U111">
            <v>42817</v>
          </cell>
          <cell r="V111">
            <v>42800</v>
          </cell>
          <cell r="W111">
            <v>42802</v>
          </cell>
          <cell r="X111">
            <v>42804</v>
          </cell>
          <cell r="Y111">
            <v>42804</v>
          </cell>
          <cell r="Z111">
            <v>42797</v>
          </cell>
          <cell r="AA111">
            <v>42828</v>
          </cell>
          <cell r="AB111">
            <v>0</v>
          </cell>
        </row>
        <row r="112">
          <cell r="A112" t="str">
            <v>16-127</v>
          </cell>
          <cell r="B112" t="str">
            <v>Y</v>
          </cell>
          <cell r="C112" t="str">
            <v>N</v>
          </cell>
          <cell r="D112" t="str">
            <v>Y</v>
          </cell>
          <cell r="E112" t="str">
            <v>Y</v>
          </cell>
          <cell r="F112">
            <v>0</v>
          </cell>
          <cell r="G112" t="str">
            <v>y</v>
          </cell>
          <cell r="H112">
            <v>42808</v>
          </cell>
          <cell r="I112">
            <v>42849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42786</v>
          </cell>
          <cell r="Q112">
            <v>42758</v>
          </cell>
          <cell r="R112">
            <v>1</v>
          </cell>
          <cell r="S112">
            <v>42866</v>
          </cell>
          <cell r="T112">
            <v>42822</v>
          </cell>
          <cell r="U112">
            <v>42866</v>
          </cell>
          <cell r="V112">
            <v>42879</v>
          </cell>
          <cell r="W112">
            <v>42879</v>
          </cell>
          <cell r="X112">
            <v>42922</v>
          </cell>
          <cell r="Y112">
            <v>42922</v>
          </cell>
          <cell r="Z112">
            <v>42906</v>
          </cell>
          <cell r="AA112">
            <v>42907</v>
          </cell>
          <cell r="AB112">
            <v>0</v>
          </cell>
        </row>
        <row r="113">
          <cell r="A113" t="str">
            <v>16-128</v>
          </cell>
          <cell r="B113" t="str">
            <v>Y</v>
          </cell>
          <cell r="C113" t="str">
            <v>N</v>
          </cell>
          <cell r="D113" t="str">
            <v>Y</v>
          </cell>
          <cell r="E113" t="str">
            <v>Y</v>
          </cell>
          <cell r="F113">
            <v>0</v>
          </cell>
          <cell r="G113" t="str">
            <v>y</v>
          </cell>
          <cell r="H113">
            <v>42808</v>
          </cell>
          <cell r="I113">
            <v>42851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42786</v>
          </cell>
          <cell r="Q113">
            <v>42758</v>
          </cell>
          <cell r="R113">
            <v>1</v>
          </cell>
          <cell r="S113">
            <v>42866</v>
          </cell>
          <cell r="T113">
            <v>42822</v>
          </cell>
          <cell r="U113">
            <v>42866</v>
          </cell>
          <cell r="V113">
            <v>42877</v>
          </cell>
          <cell r="W113">
            <v>42877</v>
          </cell>
          <cell r="X113">
            <v>42878</v>
          </cell>
          <cell r="Y113">
            <v>42878</v>
          </cell>
          <cell r="Z113">
            <v>42908</v>
          </cell>
          <cell r="AA113">
            <v>42914</v>
          </cell>
          <cell r="AB113">
            <v>0</v>
          </cell>
        </row>
        <row r="114">
          <cell r="A114" t="str">
            <v>16-129</v>
          </cell>
          <cell r="B114" t="str">
            <v>Y</v>
          </cell>
          <cell r="C114" t="str">
            <v>N</v>
          </cell>
          <cell r="D114" t="str">
            <v>Y</v>
          </cell>
          <cell r="E114" t="str">
            <v>Y</v>
          </cell>
          <cell r="F114">
            <v>0</v>
          </cell>
          <cell r="G114" t="str">
            <v>y</v>
          </cell>
          <cell r="H114">
            <v>42808</v>
          </cell>
          <cell r="I114">
            <v>42851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42786</v>
          </cell>
          <cell r="Q114">
            <v>42758</v>
          </cell>
          <cell r="R114">
            <v>1</v>
          </cell>
          <cell r="S114">
            <v>42866</v>
          </cell>
          <cell r="T114">
            <v>42822</v>
          </cell>
          <cell r="U114">
            <v>42866</v>
          </cell>
          <cell r="V114">
            <v>42886</v>
          </cell>
          <cell r="W114">
            <v>42886</v>
          </cell>
          <cell r="X114">
            <v>42887</v>
          </cell>
          <cell r="Y114">
            <v>42887</v>
          </cell>
          <cell r="Z114">
            <v>42908</v>
          </cell>
          <cell r="AA114">
            <v>42914</v>
          </cell>
          <cell r="AB114">
            <v>0</v>
          </cell>
        </row>
        <row r="115">
          <cell r="A115" t="str">
            <v>16-130</v>
          </cell>
          <cell r="B115" t="str">
            <v>Y</v>
          </cell>
          <cell r="C115" t="str">
            <v>N</v>
          </cell>
          <cell r="D115" t="str">
            <v>Y</v>
          </cell>
          <cell r="E115" t="str">
            <v>Y</v>
          </cell>
          <cell r="F115">
            <v>0</v>
          </cell>
          <cell r="G115" t="str">
            <v>y</v>
          </cell>
          <cell r="H115">
            <v>42808</v>
          </cell>
          <cell r="I115">
            <v>42856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42786</v>
          </cell>
          <cell r="Q115">
            <v>42758</v>
          </cell>
          <cell r="R115">
            <v>1</v>
          </cell>
          <cell r="S115">
            <v>42866</v>
          </cell>
          <cell r="T115">
            <v>42822</v>
          </cell>
          <cell r="U115">
            <v>42866</v>
          </cell>
          <cell r="V115">
            <v>42878</v>
          </cell>
          <cell r="W115">
            <v>42878</v>
          </cell>
          <cell r="X115">
            <v>42878</v>
          </cell>
          <cell r="Y115">
            <v>42878</v>
          </cell>
          <cell r="Z115">
            <v>42908</v>
          </cell>
          <cell r="AA115">
            <v>42914</v>
          </cell>
          <cell r="AB115">
            <v>0</v>
          </cell>
        </row>
        <row r="116">
          <cell r="A116" t="str">
            <v>16-131</v>
          </cell>
          <cell r="B116" t="str">
            <v>Y</v>
          </cell>
          <cell r="C116" t="str">
            <v>N</v>
          </cell>
          <cell r="D116" t="str">
            <v>Y</v>
          </cell>
          <cell r="E116" t="str">
            <v>Y</v>
          </cell>
          <cell r="F116">
            <v>0</v>
          </cell>
          <cell r="G116" t="str">
            <v>y</v>
          </cell>
          <cell r="H116">
            <v>42810</v>
          </cell>
          <cell r="I116">
            <v>42845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42786</v>
          </cell>
          <cell r="Q116">
            <v>42758</v>
          </cell>
          <cell r="R116">
            <v>1</v>
          </cell>
          <cell r="S116">
            <v>42866</v>
          </cell>
          <cell r="T116">
            <v>42822</v>
          </cell>
          <cell r="U116">
            <v>42866</v>
          </cell>
          <cell r="V116">
            <v>42886</v>
          </cell>
          <cell r="W116">
            <v>42886</v>
          </cell>
          <cell r="X116">
            <v>42922</v>
          </cell>
          <cell r="Y116">
            <v>42922</v>
          </cell>
          <cell r="Z116">
            <v>42906</v>
          </cell>
          <cell r="AA116">
            <v>42907</v>
          </cell>
          <cell r="AB116">
            <v>0</v>
          </cell>
        </row>
        <row r="117">
          <cell r="A117" t="str">
            <v>16-132</v>
          </cell>
          <cell r="B117" t="str">
            <v>Y</v>
          </cell>
          <cell r="C117" t="str">
            <v>N</v>
          </cell>
          <cell r="D117" t="str">
            <v>Y</v>
          </cell>
          <cell r="E117" t="str">
            <v>Y</v>
          </cell>
          <cell r="F117">
            <v>0</v>
          </cell>
          <cell r="G117" t="str">
            <v>y</v>
          </cell>
          <cell r="H117">
            <v>42810</v>
          </cell>
          <cell r="I117">
            <v>42851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42786</v>
          </cell>
          <cell r="Q117">
            <v>42758</v>
          </cell>
          <cell r="R117">
            <v>1</v>
          </cell>
          <cell r="S117">
            <v>42866</v>
          </cell>
          <cell r="T117">
            <v>42822</v>
          </cell>
          <cell r="U117">
            <v>42866</v>
          </cell>
          <cell r="V117">
            <v>42880</v>
          </cell>
          <cell r="W117">
            <v>42880</v>
          </cell>
          <cell r="X117">
            <v>42922</v>
          </cell>
          <cell r="Y117">
            <v>42922</v>
          </cell>
          <cell r="Z117">
            <v>42906</v>
          </cell>
          <cell r="AA117">
            <v>42907</v>
          </cell>
          <cell r="AB117">
            <v>0</v>
          </cell>
        </row>
        <row r="118">
          <cell r="A118" t="str">
            <v>16-133</v>
          </cell>
          <cell r="B118" t="str">
            <v>Y</v>
          </cell>
          <cell r="C118" t="str">
            <v>N</v>
          </cell>
          <cell r="D118" t="str">
            <v>Y</v>
          </cell>
          <cell r="E118" t="str">
            <v>Y</v>
          </cell>
          <cell r="F118">
            <v>0</v>
          </cell>
          <cell r="G118" t="str">
            <v>y</v>
          </cell>
          <cell r="H118">
            <v>42810</v>
          </cell>
          <cell r="I118">
            <v>42849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42786</v>
          </cell>
          <cell r="Q118">
            <v>42758</v>
          </cell>
          <cell r="R118">
            <v>1</v>
          </cell>
          <cell r="S118">
            <v>42866</v>
          </cell>
          <cell r="T118">
            <v>42822</v>
          </cell>
          <cell r="U118">
            <v>42866</v>
          </cell>
          <cell r="V118">
            <v>42880</v>
          </cell>
          <cell r="W118">
            <v>42880</v>
          </cell>
          <cell r="X118">
            <v>42881</v>
          </cell>
          <cell r="Y118">
            <v>42881</v>
          </cell>
          <cell r="Z118">
            <v>42906</v>
          </cell>
          <cell r="AA118">
            <v>43024</v>
          </cell>
          <cell r="AB118">
            <v>0</v>
          </cell>
        </row>
        <row r="119">
          <cell r="A119" t="str">
            <v>16-134</v>
          </cell>
          <cell r="B119" t="str">
            <v>Y</v>
          </cell>
          <cell r="C119" t="str">
            <v>N</v>
          </cell>
          <cell r="D119" t="str">
            <v>Y</v>
          </cell>
          <cell r="E119" t="str">
            <v>Y</v>
          </cell>
          <cell r="F119">
            <v>0</v>
          </cell>
          <cell r="G119" t="str">
            <v>y</v>
          </cell>
          <cell r="H119">
            <v>42815</v>
          </cell>
          <cell r="I119">
            <v>42849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42786</v>
          </cell>
          <cell r="Q119">
            <v>42758</v>
          </cell>
          <cell r="R119">
            <v>1</v>
          </cell>
          <cell r="S119">
            <v>42865</v>
          </cell>
          <cell r="T119">
            <v>42822</v>
          </cell>
          <cell r="U119">
            <v>42865</v>
          </cell>
          <cell r="V119">
            <v>42867</v>
          </cell>
          <cell r="W119">
            <v>42867</v>
          </cell>
          <cell r="X119">
            <v>42870</v>
          </cell>
          <cell r="Y119">
            <v>42870</v>
          </cell>
          <cell r="Z119">
            <v>42909</v>
          </cell>
          <cell r="AA119">
            <v>42928</v>
          </cell>
          <cell r="AB119">
            <v>0</v>
          </cell>
        </row>
        <row r="120">
          <cell r="A120" t="str">
            <v>16-135</v>
          </cell>
          <cell r="B120" t="str">
            <v>Y</v>
          </cell>
          <cell r="C120" t="str">
            <v>N</v>
          </cell>
          <cell r="D120" t="str">
            <v>Y</v>
          </cell>
          <cell r="E120" t="str">
            <v>Y</v>
          </cell>
          <cell r="F120">
            <v>0</v>
          </cell>
          <cell r="G120" t="str">
            <v>y</v>
          </cell>
          <cell r="H120">
            <v>42815</v>
          </cell>
          <cell r="I120">
            <v>42849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42786</v>
          </cell>
          <cell r="Q120">
            <v>42758</v>
          </cell>
          <cell r="R120">
            <v>1</v>
          </cell>
          <cell r="S120">
            <v>42865</v>
          </cell>
          <cell r="T120">
            <v>42822</v>
          </cell>
          <cell r="U120">
            <v>42865</v>
          </cell>
          <cell r="V120">
            <v>42873</v>
          </cell>
          <cell r="W120">
            <v>42873</v>
          </cell>
          <cell r="X120">
            <v>42874</v>
          </cell>
          <cell r="Y120">
            <v>42874</v>
          </cell>
          <cell r="Z120">
            <v>42909</v>
          </cell>
          <cell r="AA120">
            <v>42928</v>
          </cell>
          <cell r="AB120">
            <v>0</v>
          </cell>
        </row>
        <row r="121">
          <cell r="A121" t="str">
            <v>16-136</v>
          </cell>
          <cell r="B121" t="str">
            <v>Y</v>
          </cell>
          <cell r="C121" t="str">
            <v>N</v>
          </cell>
          <cell r="D121" t="str">
            <v>Y</v>
          </cell>
          <cell r="E121" t="str">
            <v>Y</v>
          </cell>
          <cell r="F121">
            <v>0</v>
          </cell>
          <cell r="G121" t="str">
            <v>y</v>
          </cell>
          <cell r="H121">
            <v>42815</v>
          </cell>
          <cell r="I121">
            <v>42849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42786</v>
          </cell>
          <cell r="Q121">
            <v>42758</v>
          </cell>
          <cell r="R121">
            <v>1</v>
          </cell>
          <cell r="S121">
            <v>42865</v>
          </cell>
          <cell r="T121">
            <v>42822</v>
          </cell>
          <cell r="U121">
            <v>42865</v>
          </cell>
          <cell r="V121">
            <v>42873</v>
          </cell>
          <cell r="W121">
            <v>42873</v>
          </cell>
          <cell r="X121">
            <v>42874</v>
          </cell>
          <cell r="Y121">
            <v>42874</v>
          </cell>
          <cell r="Z121">
            <v>42909</v>
          </cell>
          <cell r="AA121">
            <v>42928</v>
          </cell>
          <cell r="AB121">
            <v>0</v>
          </cell>
        </row>
        <row r="122">
          <cell r="A122" t="str">
            <v>16-137</v>
          </cell>
          <cell r="B122" t="str">
            <v>Y</v>
          </cell>
          <cell r="C122" t="str">
            <v>N</v>
          </cell>
          <cell r="D122" t="str">
            <v>Y</v>
          </cell>
          <cell r="E122" t="str">
            <v>Y</v>
          </cell>
          <cell r="F122">
            <v>0</v>
          </cell>
          <cell r="G122" t="str">
            <v>y</v>
          </cell>
          <cell r="H122">
            <v>42808</v>
          </cell>
          <cell r="I122">
            <v>42856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42786</v>
          </cell>
          <cell r="Q122">
            <v>42758</v>
          </cell>
          <cell r="R122">
            <v>1</v>
          </cell>
          <cell r="S122">
            <v>42865</v>
          </cell>
          <cell r="T122" t="str">
            <v>N/A</v>
          </cell>
          <cell r="U122">
            <v>42865</v>
          </cell>
          <cell r="V122">
            <v>42887</v>
          </cell>
          <cell r="W122">
            <v>42887</v>
          </cell>
          <cell r="X122">
            <v>42892</v>
          </cell>
          <cell r="Y122">
            <v>42892</v>
          </cell>
          <cell r="Z122">
            <v>42910</v>
          </cell>
          <cell r="AA122">
            <v>42928</v>
          </cell>
          <cell r="AB122">
            <v>0</v>
          </cell>
        </row>
        <row r="123">
          <cell r="A123" t="str">
            <v>16-138</v>
          </cell>
          <cell r="B123" t="str">
            <v>Y</v>
          </cell>
          <cell r="C123" t="str">
            <v>N</v>
          </cell>
          <cell r="D123" t="str">
            <v>Y</v>
          </cell>
          <cell r="E123" t="str">
            <v>Y</v>
          </cell>
          <cell r="F123">
            <v>0</v>
          </cell>
          <cell r="G123" t="str">
            <v>y</v>
          </cell>
          <cell r="H123">
            <v>42738</v>
          </cell>
          <cell r="I123">
            <v>42773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42741</v>
          </cell>
          <cell r="Q123">
            <v>42738</v>
          </cell>
          <cell r="R123">
            <v>1</v>
          </cell>
          <cell r="S123">
            <v>42786</v>
          </cell>
          <cell r="T123" t="str">
            <v>N/A</v>
          </cell>
          <cell r="U123">
            <v>42786</v>
          </cell>
          <cell r="V123">
            <v>42787</v>
          </cell>
          <cell r="W123">
            <v>42788</v>
          </cell>
          <cell r="X123">
            <v>42788</v>
          </cell>
          <cell r="Y123">
            <v>42788</v>
          </cell>
          <cell r="Z123">
            <v>42790</v>
          </cell>
          <cell r="AA123">
            <v>42796</v>
          </cell>
          <cell r="AB123">
            <v>0</v>
          </cell>
        </row>
        <row r="124">
          <cell r="A124" t="str">
            <v>16-139</v>
          </cell>
          <cell r="B124" t="str">
            <v>Y</v>
          </cell>
          <cell r="C124" t="str">
            <v>Y</v>
          </cell>
          <cell r="D124" t="str">
            <v>N</v>
          </cell>
          <cell r="E124" t="str">
            <v>Y</v>
          </cell>
          <cell r="F124">
            <v>1</v>
          </cell>
          <cell r="G124" t="str">
            <v>y</v>
          </cell>
          <cell r="H124">
            <v>42754</v>
          </cell>
          <cell r="I124">
            <v>42766</v>
          </cell>
          <cell r="J124">
            <v>42797</v>
          </cell>
          <cell r="K124">
            <v>42807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42754</v>
          </cell>
          <cell r="Q124">
            <v>42738</v>
          </cell>
          <cell r="R124">
            <v>2</v>
          </cell>
          <cell r="S124">
            <v>42815</v>
          </cell>
          <cell r="T124">
            <v>42804</v>
          </cell>
          <cell r="U124">
            <v>42815</v>
          </cell>
          <cell r="V124">
            <v>42817</v>
          </cell>
          <cell r="W124">
            <v>42817</v>
          </cell>
          <cell r="X124">
            <v>42821</v>
          </cell>
          <cell r="Y124">
            <v>42821</v>
          </cell>
          <cell r="Z124">
            <v>42832</v>
          </cell>
          <cell r="AA124">
            <v>42846</v>
          </cell>
          <cell r="AB124">
            <v>0</v>
          </cell>
        </row>
        <row r="125">
          <cell r="A125" t="str">
            <v>17-001</v>
          </cell>
          <cell r="B125" t="str">
            <v>Y</v>
          </cell>
          <cell r="C125" t="str">
            <v>Y</v>
          </cell>
          <cell r="D125" t="str">
            <v>Y</v>
          </cell>
          <cell r="E125" t="str">
            <v>Y</v>
          </cell>
          <cell r="F125">
            <v>1</v>
          </cell>
          <cell r="G125" t="str">
            <v>y</v>
          </cell>
          <cell r="H125">
            <v>42769</v>
          </cell>
          <cell r="I125">
            <v>42782</v>
          </cell>
          <cell r="J125">
            <v>42815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42755</v>
          </cell>
          <cell r="Q125">
            <v>42751</v>
          </cell>
          <cell r="R125">
            <v>2</v>
          </cell>
          <cell r="S125">
            <v>42815</v>
          </cell>
          <cell r="T125">
            <v>42795</v>
          </cell>
          <cell r="U125">
            <v>42815</v>
          </cell>
          <cell r="V125">
            <v>42788</v>
          </cell>
          <cell r="W125">
            <v>42788</v>
          </cell>
          <cell r="X125">
            <v>42789</v>
          </cell>
          <cell r="Y125">
            <v>42789</v>
          </cell>
          <cell r="Z125">
            <v>42789</v>
          </cell>
          <cell r="AA125">
            <v>42795</v>
          </cell>
          <cell r="AB125">
            <v>0</v>
          </cell>
        </row>
        <row r="126">
          <cell r="A126" t="str">
            <v>17-002</v>
          </cell>
          <cell r="B126" t="str">
            <v>Y</v>
          </cell>
          <cell r="C126" t="str">
            <v>Y</v>
          </cell>
          <cell r="D126" t="str">
            <v>Y</v>
          </cell>
          <cell r="E126" t="str">
            <v>Y</v>
          </cell>
          <cell r="F126">
            <v>1</v>
          </cell>
          <cell r="G126" t="str">
            <v>y</v>
          </cell>
          <cell r="H126">
            <v>42769</v>
          </cell>
          <cell r="I126">
            <v>42782</v>
          </cell>
          <cell r="J126">
            <v>42815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42755</v>
          </cell>
          <cell r="Q126">
            <v>42751</v>
          </cell>
          <cell r="R126">
            <v>2</v>
          </cell>
          <cell r="S126">
            <v>42815</v>
          </cell>
          <cell r="T126">
            <v>42795</v>
          </cell>
          <cell r="U126">
            <v>42815</v>
          </cell>
          <cell r="V126">
            <v>42788</v>
          </cell>
          <cell r="W126">
            <v>42788</v>
          </cell>
          <cell r="X126">
            <v>42789</v>
          </cell>
          <cell r="Y126">
            <v>42789</v>
          </cell>
          <cell r="Z126">
            <v>42789</v>
          </cell>
          <cell r="AA126">
            <v>42795</v>
          </cell>
          <cell r="AB126">
            <v>0</v>
          </cell>
        </row>
        <row r="127">
          <cell r="A127" t="str">
            <v>17-003</v>
          </cell>
          <cell r="B127" t="str">
            <v>Y</v>
          </cell>
          <cell r="C127" t="str">
            <v>Y</v>
          </cell>
          <cell r="D127" t="str">
            <v>Y</v>
          </cell>
          <cell r="E127" t="str">
            <v>Y</v>
          </cell>
          <cell r="F127">
            <v>1</v>
          </cell>
          <cell r="G127" t="str">
            <v>y</v>
          </cell>
          <cell r="H127">
            <v>42769</v>
          </cell>
          <cell r="I127">
            <v>42782</v>
          </cell>
          <cell r="J127">
            <v>42815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42755</v>
          </cell>
          <cell r="Q127">
            <v>42751</v>
          </cell>
          <cell r="R127">
            <v>2</v>
          </cell>
          <cell r="S127">
            <v>42815</v>
          </cell>
          <cell r="T127">
            <v>42795</v>
          </cell>
          <cell r="U127">
            <v>42815</v>
          </cell>
          <cell r="V127">
            <v>42788</v>
          </cell>
          <cell r="W127">
            <v>42788</v>
          </cell>
          <cell r="X127">
            <v>42789</v>
          </cell>
          <cell r="Y127">
            <v>42789</v>
          </cell>
          <cell r="Z127">
            <v>42789</v>
          </cell>
          <cell r="AA127">
            <v>42795</v>
          </cell>
          <cell r="AB127">
            <v>0</v>
          </cell>
        </row>
        <row r="128">
          <cell r="A128" t="str">
            <v>17-004</v>
          </cell>
          <cell r="B128" t="str">
            <v>Y</v>
          </cell>
          <cell r="C128" t="str">
            <v>Y</v>
          </cell>
          <cell r="D128" t="str">
            <v>Y</v>
          </cell>
          <cell r="E128" t="str">
            <v>Y</v>
          </cell>
          <cell r="F128">
            <v>1</v>
          </cell>
          <cell r="G128" t="str">
            <v>y</v>
          </cell>
          <cell r="H128">
            <v>42769</v>
          </cell>
          <cell r="I128">
            <v>42782</v>
          </cell>
          <cell r="J128">
            <v>42815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42755</v>
          </cell>
          <cell r="Q128">
            <v>42751</v>
          </cell>
          <cell r="R128">
            <v>2</v>
          </cell>
          <cell r="S128">
            <v>42815</v>
          </cell>
          <cell r="T128">
            <v>42795</v>
          </cell>
          <cell r="U128">
            <v>42815</v>
          </cell>
          <cell r="V128">
            <v>42788</v>
          </cell>
          <cell r="W128">
            <v>42788</v>
          </cell>
          <cell r="X128">
            <v>42789</v>
          </cell>
          <cell r="Y128">
            <v>42789</v>
          </cell>
          <cell r="Z128">
            <v>42789</v>
          </cell>
          <cell r="AA128">
            <v>42795</v>
          </cell>
          <cell r="AB128">
            <v>0</v>
          </cell>
        </row>
        <row r="129">
          <cell r="A129" t="str">
            <v>17-005</v>
          </cell>
          <cell r="B129" t="str">
            <v>Y</v>
          </cell>
          <cell r="C129" t="str">
            <v>Y</v>
          </cell>
          <cell r="D129" t="str">
            <v>Y</v>
          </cell>
          <cell r="E129" t="str">
            <v>Y</v>
          </cell>
          <cell r="F129">
            <v>1</v>
          </cell>
          <cell r="G129" t="str">
            <v>y</v>
          </cell>
          <cell r="H129">
            <v>42769</v>
          </cell>
          <cell r="I129">
            <v>42782</v>
          </cell>
          <cell r="J129">
            <v>42815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42755</v>
          </cell>
          <cell r="Q129">
            <v>42751</v>
          </cell>
          <cell r="R129">
            <v>2</v>
          </cell>
          <cell r="S129">
            <v>42815</v>
          </cell>
          <cell r="T129">
            <v>42795</v>
          </cell>
          <cell r="U129">
            <v>42815</v>
          </cell>
          <cell r="V129">
            <v>42788</v>
          </cell>
          <cell r="W129">
            <v>42788</v>
          </cell>
          <cell r="X129">
            <v>42789</v>
          </cell>
          <cell r="Y129">
            <v>42789</v>
          </cell>
          <cell r="Z129">
            <v>42789</v>
          </cell>
          <cell r="AA129">
            <v>42795</v>
          </cell>
          <cell r="AB129">
            <v>0</v>
          </cell>
        </row>
        <row r="130">
          <cell r="A130" t="str">
            <v>17-006</v>
          </cell>
          <cell r="B130" t="str">
            <v>Y</v>
          </cell>
          <cell r="C130" t="str">
            <v>N</v>
          </cell>
          <cell r="D130" t="str">
            <v>Y</v>
          </cell>
          <cell r="E130" t="str">
            <v>Y</v>
          </cell>
          <cell r="F130">
            <v>0</v>
          </cell>
          <cell r="G130" t="str">
            <v>y</v>
          </cell>
          <cell r="H130">
            <v>42769</v>
          </cell>
          <cell r="I130">
            <v>42782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42755</v>
          </cell>
          <cell r="Q130">
            <v>42751</v>
          </cell>
          <cell r="R130">
            <v>1</v>
          </cell>
          <cell r="S130">
            <v>42837</v>
          </cell>
          <cell r="T130" t="str">
            <v>N/A</v>
          </cell>
          <cell r="U130">
            <v>42837</v>
          </cell>
          <cell r="V130">
            <v>42789</v>
          </cell>
          <cell r="W130">
            <v>42790</v>
          </cell>
          <cell r="X130">
            <v>42790</v>
          </cell>
          <cell r="Y130">
            <v>42790</v>
          </cell>
          <cell r="Z130">
            <v>42789</v>
          </cell>
          <cell r="AA130">
            <v>42795</v>
          </cell>
          <cell r="AB130">
            <v>0</v>
          </cell>
        </row>
        <row r="131">
          <cell r="A131" t="str">
            <v>17-010</v>
          </cell>
          <cell r="B131" t="str">
            <v>Y</v>
          </cell>
          <cell r="C131" t="str">
            <v>Y</v>
          </cell>
          <cell r="D131" t="str">
            <v>Y</v>
          </cell>
          <cell r="E131" t="str">
            <v>Y</v>
          </cell>
          <cell r="F131">
            <v>0</v>
          </cell>
          <cell r="G131" t="str">
            <v>y</v>
          </cell>
          <cell r="H131">
            <v>42774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42773</v>
          </cell>
          <cell r="Q131">
            <v>42773</v>
          </cell>
          <cell r="R131">
            <v>1</v>
          </cell>
          <cell r="S131">
            <v>42774</v>
          </cell>
          <cell r="T131" t="str">
            <v>N/A</v>
          </cell>
          <cell r="U131">
            <v>42774</v>
          </cell>
          <cell r="V131">
            <v>42773</v>
          </cell>
          <cell r="W131">
            <v>42773</v>
          </cell>
          <cell r="X131">
            <v>42774</v>
          </cell>
          <cell r="Y131">
            <v>42774</v>
          </cell>
          <cell r="Z131">
            <v>42774</v>
          </cell>
          <cell r="AA131">
            <v>42774</v>
          </cell>
          <cell r="AB131">
            <v>0</v>
          </cell>
        </row>
        <row r="132">
          <cell r="A132" t="str">
            <v>17-012</v>
          </cell>
          <cell r="B132" t="str">
            <v>Y</v>
          </cell>
          <cell r="C132" t="str">
            <v>Y</v>
          </cell>
          <cell r="D132" t="str">
            <v>N</v>
          </cell>
          <cell r="E132" t="str">
            <v>Y</v>
          </cell>
          <cell r="F132">
            <v>1</v>
          </cell>
          <cell r="G132" t="str">
            <v>y</v>
          </cell>
          <cell r="H132">
            <v>42801</v>
          </cell>
          <cell r="I132">
            <v>42804</v>
          </cell>
          <cell r="J132">
            <v>42814</v>
          </cell>
          <cell r="K132">
            <v>42815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42790</v>
          </cell>
          <cell r="Q132">
            <v>42790</v>
          </cell>
          <cell r="R132">
            <v>2</v>
          </cell>
          <cell r="S132">
            <v>42814</v>
          </cell>
          <cell r="T132">
            <v>42804</v>
          </cell>
          <cell r="U132">
            <v>42814</v>
          </cell>
          <cell r="V132">
            <v>42821</v>
          </cell>
          <cell r="W132">
            <v>42821</v>
          </cell>
          <cell r="X132">
            <v>42823</v>
          </cell>
          <cell r="Y132">
            <v>42824</v>
          </cell>
          <cell r="Z132">
            <v>42832</v>
          </cell>
          <cell r="AA132">
            <v>42901</v>
          </cell>
          <cell r="AB132">
            <v>0</v>
          </cell>
        </row>
        <row r="133">
          <cell r="A133" t="str">
            <v>17-013</v>
          </cell>
          <cell r="B133" t="str">
            <v>Y</v>
          </cell>
          <cell r="C133" t="str">
            <v>Y</v>
          </cell>
          <cell r="D133" t="str">
            <v>Y</v>
          </cell>
          <cell r="E133" t="str">
            <v>Y</v>
          </cell>
          <cell r="F133">
            <v>0</v>
          </cell>
          <cell r="G133" t="str">
            <v>y</v>
          </cell>
          <cell r="H133">
            <v>42821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42810</v>
          </cell>
          <cell r="Q133">
            <v>42809</v>
          </cell>
          <cell r="R133">
            <v>0</v>
          </cell>
          <cell r="S133">
            <v>42838</v>
          </cell>
          <cell r="T133" t="str">
            <v>N/A</v>
          </cell>
          <cell r="U133">
            <v>42838</v>
          </cell>
          <cell r="V133">
            <v>42830</v>
          </cell>
          <cell r="W133">
            <v>42830</v>
          </cell>
          <cell r="X133">
            <v>42830</v>
          </cell>
          <cell r="Y133">
            <v>42830</v>
          </cell>
          <cell r="Z133">
            <v>42838</v>
          </cell>
          <cell r="AA133">
            <v>42853</v>
          </cell>
          <cell r="AB133">
            <v>0</v>
          </cell>
        </row>
        <row r="134">
          <cell r="A134" t="str">
            <v>17-014</v>
          </cell>
          <cell r="B134" t="str">
            <v>Y</v>
          </cell>
          <cell r="C134" t="str">
            <v>N</v>
          </cell>
          <cell r="D134" t="str">
            <v>Y</v>
          </cell>
          <cell r="E134" t="str">
            <v>Y</v>
          </cell>
          <cell r="F134">
            <v>0</v>
          </cell>
          <cell r="G134" t="str">
            <v>y</v>
          </cell>
          <cell r="H134">
            <v>42830</v>
          </cell>
          <cell r="I134">
            <v>42836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42823</v>
          </cell>
          <cell r="Q134">
            <v>42815</v>
          </cell>
          <cell r="R134">
            <v>1</v>
          </cell>
          <cell r="S134">
            <v>42874</v>
          </cell>
          <cell r="T134" t="str">
            <v>N/A</v>
          </cell>
          <cell r="U134">
            <v>42874</v>
          </cell>
          <cell r="V134">
            <v>42839</v>
          </cell>
          <cell r="W134">
            <v>42839</v>
          </cell>
          <cell r="X134">
            <v>42842</v>
          </cell>
          <cell r="Y134">
            <v>42842</v>
          </cell>
          <cell r="Z134">
            <v>42844</v>
          </cell>
          <cell r="AA134">
            <v>42853</v>
          </cell>
          <cell r="AB134">
            <v>0</v>
          </cell>
        </row>
        <row r="135">
          <cell r="A135" t="str">
            <v>17-015</v>
          </cell>
          <cell r="B135" t="str">
            <v>Y</v>
          </cell>
          <cell r="C135" t="str">
            <v>Y</v>
          </cell>
          <cell r="D135" t="str">
            <v>Y</v>
          </cell>
          <cell r="E135" t="str">
            <v>Y</v>
          </cell>
          <cell r="F135">
            <v>3</v>
          </cell>
          <cell r="G135">
            <v>0</v>
          </cell>
          <cell r="H135">
            <v>42846</v>
          </cell>
          <cell r="I135">
            <v>42856</v>
          </cell>
          <cell r="J135">
            <v>42898</v>
          </cell>
          <cell r="K135">
            <v>42900</v>
          </cell>
          <cell r="L135">
            <v>42912</v>
          </cell>
          <cell r="M135">
            <v>42921</v>
          </cell>
          <cell r="N135">
            <v>42947</v>
          </cell>
          <cell r="O135">
            <v>0</v>
          </cell>
          <cell r="P135">
            <v>42832</v>
          </cell>
          <cell r="Q135">
            <v>42829</v>
          </cell>
          <cell r="R135">
            <v>4</v>
          </cell>
          <cell r="S135">
            <v>0</v>
          </cell>
          <cell r="T135" t="str">
            <v>N/A</v>
          </cell>
          <cell r="U135">
            <v>0</v>
          </cell>
          <cell r="V135">
            <v>42968</v>
          </cell>
          <cell r="W135">
            <v>42968</v>
          </cell>
          <cell r="X135">
            <v>42969</v>
          </cell>
          <cell r="Y135">
            <v>42969</v>
          </cell>
          <cell r="Z135">
            <v>42993</v>
          </cell>
          <cell r="AA135">
            <v>42996</v>
          </cell>
          <cell r="AB135">
            <v>0</v>
          </cell>
        </row>
        <row r="136">
          <cell r="A136" t="str">
            <v>17-016</v>
          </cell>
          <cell r="B136" t="str">
            <v>Y</v>
          </cell>
          <cell r="C136" t="str">
            <v>Y</v>
          </cell>
          <cell r="D136" t="str">
            <v>Y</v>
          </cell>
          <cell r="E136" t="str">
            <v>Y</v>
          </cell>
          <cell r="F136">
            <v>3</v>
          </cell>
          <cell r="G136">
            <v>0</v>
          </cell>
          <cell r="H136">
            <v>42898</v>
          </cell>
          <cell r="I136">
            <v>42900</v>
          </cell>
          <cell r="J136">
            <v>42912</v>
          </cell>
          <cell r="K136">
            <v>42921</v>
          </cell>
          <cell r="L136">
            <v>42912</v>
          </cell>
          <cell r="M136">
            <v>42921</v>
          </cell>
          <cell r="N136">
            <v>42947</v>
          </cell>
          <cell r="O136">
            <v>0</v>
          </cell>
          <cell r="P136">
            <v>42832</v>
          </cell>
          <cell r="Q136">
            <v>42829</v>
          </cell>
          <cell r="R136">
            <v>4</v>
          </cell>
          <cell r="S136">
            <v>0</v>
          </cell>
          <cell r="T136" t="str">
            <v>N/A</v>
          </cell>
          <cell r="U136">
            <v>0</v>
          </cell>
          <cell r="V136">
            <v>42968</v>
          </cell>
          <cell r="W136">
            <v>42968</v>
          </cell>
          <cell r="X136">
            <v>42969</v>
          </cell>
          <cell r="Y136">
            <v>42969</v>
          </cell>
          <cell r="Z136">
            <v>42993</v>
          </cell>
          <cell r="AA136">
            <v>42996</v>
          </cell>
          <cell r="AB136">
            <v>0</v>
          </cell>
        </row>
        <row r="137">
          <cell r="A137" t="str">
            <v>17-017</v>
          </cell>
          <cell r="B137" t="str">
            <v>Y</v>
          </cell>
          <cell r="C137" t="str">
            <v>N</v>
          </cell>
          <cell r="D137" t="str">
            <v>Y</v>
          </cell>
          <cell r="E137" t="str">
            <v>Y</v>
          </cell>
          <cell r="F137">
            <v>0</v>
          </cell>
          <cell r="G137" t="str">
            <v>y</v>
          </cell>
          <cell r="H137">
            <v>42859</v>
          </cell>
          <cell r="I137">
            <v>42866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42851</v>
          </cell>
          <cell r="Q137">
            <v>42849</v>
          </cell>
          <cell r="R137">
            <v>1</v>
          </cell>
          <cell r="S137">
            <v>42867</v>
          </cell>
          <cell r="T137" t="str">
            <v>N/A</v>
          </cell>
          <cell r="U137">
            <v>42867</v>
          </cell>
          <cell r="V137">
            <v>42871</v>
          </cell>
          <cell r="W137">
            <v>42871</v>
          </cell>
          <cell r="X137">
            <v>42871</v>
          </cell>
          <cell r="Y137">
            <v>42871</v>
          </cell>
          <cell r="Z137">
            <v>42878</v>
          </cell>
          <cell r="AA137">
            <v>42891</v>
          </cell>
          <cell r="AB137">
            <v>0</v>
          </cell>
        </row>
        <row r="138">
          <cell r="A138" t="str">
            <v>17-018</v>
          </cell>
          <cell r="B138" t="str">
            <v>Y</v>
          </cell>
          <cell r="C138" t="str">
            <v>N</v>
          </cell>
          <cell r="D138" t="str">
            <v>Y</v>
          </cell>
          <cell r="E138" t="str">
            <v>Y</v>
          </cell>
          <cell r="F138">
            <v>0</v>
          </cell>
          <cell r="G138" t="str">
            <v>y</v>
          </cell>
          <cell r="H138">
            <v>42859</v>
          </cell>
          <cell r="I138">
            <v>42866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42851</v>
          </cell>
          <cell r="Q138">
            <v>42849</v>
          </cell>
          <cell r="R138">
            <v>1</v>
          </cell>
          <cell r="S138">
            <v>42867</v>
          </cell>
          <cell r="T138" t="str">
            <v>N/A</v>
          </cell>
          <cell r="U138">
            <v>42867</v>
          </cell>
          <cell r="V138">
            <v>42871</v>
          </cell>
          <cell r="W138">
            <v>42871</v>
          </cell>
          <cell r="X138">
            <v>42872</v>
          </cell>
          <cell r="Y138">
            <v>42872</v>
          </cell>
          <cell r="Z138">
            <v>42878</v>
          </cell>
          <cell r="AA138">
            <v>42891</v>
          </cell>
          <cell r="AB138">
            <v>0</v>
          </cell>
        </row>
        <row r="139">
          <cell r="A139" t="str">
            <v>17-019</v>
          </cell>
          <cell r="B139" t="str">
            <v>Y</v>
          </cell>
          <cell r="C139" t="str">
            <v>N</v>
          </cell>
          <cell r="D139" t="str">
            <v>Y</v>
          </cell>
          <cell r="E139" t="str">
            <v>Y</v>
          </cell>
          <cell r="F139">
            <v>0</v>
          </cell>
          <cell r="G139" t="str">
            <v>y</v>
          </cell>
          <cell r="H139">
            <v>42859</v>
          </cell>
          <cell r="I139">
            <v>42866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42851</v>
          </cell>
          <cell r="Q139">
            <v>42849</v>
          </cell>
          <cell r="R139">
            <v>1</v>
          </cell>
          <cell r="S139">
            <v>42867</v>
          </cell>
          <cell r="T139" t="str">
            <v>N/A</v>
          </cell>
          <cell r="U139">
            <v>42867</v>
          </cell>
          <cell r="V139">
            <v>42872</v>
          </cell>
          <cell r="W139">
            <v>42872</v>
          </cell>
          <cell r="X139">
            <v>42872</v>
          </cell>
          <cell r="Y139">
            <v>42872</v>
          </cell>
          <cell r="Z139">
            <v>42878</v>
          </cell>
          <cell r="AA139">
            <v>42891</v>
          </cell>
          <cell r="AB139">
            <v>0</v>
          </cell>
        </row>
        <row r="140">
          <cell r="A140" t="str">
            <v>17-020</v>
          </cell>
          <cell r="B140" t="str">
            <v>Y</v>
          </cell>
          <cell r="C140" t="str">
            <v>N</v>
          </cell>
          <cell r="D140" t="str">
            <v>Y</v>
          </cell>
          <cell r="E140" t="str">
            <v>Y</v>
          </cell>
          <cell r="F140">
            <v>0</v>
          </cell>
          <cell r="G140" t="str">
            <v>y</v>
          </cell>
          <cell r="H140">
            <v>42859</v>
          </cell>
          <cell r="I140">
            <v>42866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42851</v>
          </cell>
          <cell r="Q140">
            <v>42849</v>
          </cell>
          <cell r="R140">
            <v>1</v>
          </cell>
          <cell r="S140">
            <v>42867</v>
          </cell>
          <cell r="T140" t="str">
            <v>N/A</v>
          </cell>
          <cell r="U140">
            <v>42867</v>
          </cell>
          <cell r="V140">
            <v>42872</v>
          </cell>
          <cell r="W140">
            <v>42872</v>
          </cell>
          <cell r="X140">
            <v>42872</v>
          </cell>
          <cell r="Y140">
            <v>42872</v>
          </cell>
          <cell r="Z140">
            <v>42878</v>
          </cell>
          <cell r="AA140">
            <v>42891</v>
          </cell>
          <cell r="AB140">
            <v>0</v>
          </cell>
        </row>
        <row r="141">
          <cell r="A141" t="str">
            <v>17-021</v>
          </cell>
          <cell r="B141" t="str">
            <v>Y</v>
          </cell>
          <cell r="C141" t="str">
            <v>N</v>
          </cell>
          <cell r="D141" t="str">
            <v>Y</v>
          </cell>
          <cell r="E141" t="str">
            <v>Y</v>
          </cell>
          <cell r="F141">
            <v>0</v>
          </cell>
          <cell r="G141" t="str">
            <v>y</v>
          </cell>
          <cell r="H141">
            <v>42860</v>
          </cell>
          <cell r="I141">
            <v>42866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42851</v>
          </cell>
          <cell r="Q141">
            <v>42849</v>
          </cell>
          <cell r="R141">
            <v>1</v>
          </cell>
          <cell r="S141">
            <v>42867</v>
          </cell>
          <cell r="T141" t="str">
            <v>N/A</v>
          </cell>
          <cell r="U141">
            <v>42867</v>
          </cell>
          <cell r="V141">
            <v>42872</v>
          </cell>
          <cell r="W141">
            <v>42872</v>
          </cell>
          <cell r="X141">
            <v>42872</v>
          </cell>
          <cell r="Y141">
            <v>42872</v>
          </cell>
          <cell r="Z141">
            <v>42878</v>
          </cell>
          <cell r="AA141">
            <v>42891</v>
          </cell>
          <cell r="AB141">
            <v>0</v>
          </cell>
        </row>
        <row r="142">
          <cell r="A142" t="str">
            <v>17-022</v>
          </cell>
          <cell r="B142" t="str">
            <v>Y</v>
          </cell>
          <cell r="C142" t="str">
            <v>N</v>
          </cell>
          <cell r="D142" t="str">
            <v>Y</v>
          </cell>
          <cell r="E142" t="str">
            <v>Y</v>
          </cell>
          <cell r="F142">
            <v>0</v>
          </cell>
          <cell r="G142" t="str">
            <v>y</v>
          </cell>
          <cell r="H142">
            <v>42860</v>
          </cell>
          <cell r="I142">
            <v>42866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42851</v>
          </cell>
          <cell r="Q142">
            <v>42849</v>
          </cell>
          <cell r="R142">
            <v>1</v>
          </cell>
          <cell r="S142">
            <v>42867</v>
          </cell>
          <cell r="T142" t="str">
            <v>N/A</v>
          </cell>
          <cell r="U142">
            <v>42867</v>
          </cell>
          <cell r="V142">
            <v>42872</v>
          </cell>
          <cell r="W142">
            <v>42872</v>
          </cell>
          <cell r="X142">
            <v>42872</v>
          </cell>
          <cell r="Y142">
            <v>42872</v>
          </cell>
          <cell r="Z142">
            <v>42878</v>
          </cell>
          <cell r="AA142">
            <v>42891</v>
          </cell>
          <cell r="AB142">
            <v>0</v>
          </cell>
        </row>
        <row r="143">
          <cell r="A143" t="str">
            <v>17-023</v>
          </cell>
          <cell r="B143" t="str">
            <v>Y</v>
          </cell>
          <cell r="C143" t="str">
            <v>N</v>
          </cell>
          <cell r="D143" t="str">
            <v>Y</v>
          </cell>
          <cell r="E143" t="str">
            <v>Y</v>
          </cell>
          <cell r="F143">
            <v>0</v>
          </cell>
          <cell r="G143" t="str">
            <v>y</v>
          </cell>
          <cell r="H143">
            <v>42860</v>
          </cell>
          <cell r="I143">
            <v>42866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42851</v>
          </cell>
          <cell r="Q143">
            <v>42849</v>
          </cell>
          <cell r="R143">
            <v>1</v>
          </cell>
          <cell r="S143">
            <v>42867</v>
          </cell>
          <cell r="T143" t="str">
            <v>N/A</v>
          </cell>
          <cell r="U143">
            <v>42867</v>
          </cell>
          <cell r="V143">
            <v>42872</v>
          </cell>
          <cell r="W143">
            <v>42872</v>
          </cell>
          <cell r="X143">
            <v>42872</v>
          </cell>
          <cell r="Y143">
            <v>42872</v>
          </cell>
          <cell r="Z143">
            <v>42878</v>
          </cell>
          <cell r="AA143">
            <v>42891</v>
          </cell>
          <cell r="AB143">
            <v>0</v>
          </cell>
        </row>
        <row r="144">
          <cell r="A144" t="str">
            <v>17-024</v>
          </cell>
          <cell r="B144" t="str">
            <v>Y</v>
          </cell>
          <cell r="C144" t="str">
            <v>N</v>
          </cell>
          <cell r="D144" t="str">
            <v>Y</v>
          </cell>
          <cell r="E144" t="str">
            <v>Y</v>
          </cell>
          <cell r="F144">
            <v>0</v>
          </cell>
          <cell r="G144" t="str">
            <v>y</v>
          </cell>
          <cell r="H144">
            <v>42860</v>
          </cell>
          <cell r="I144">
            <v>42866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42851</v>
          </cell>
          <cell r="Q144">
            <v>42849</v>
          </cell>
          <cell r="R144">
            <v>1</v>
          </cell>
          <cell r="S144">
            <v>42867</v>
          </cell>
          <cell r="T144" t="str">
            <v>N/A</v>
          </cell>
          <cell r="U144">
            <v>42867</v>
          </cell>
          <cell r="V144">
            <v>42871</v>
          </cell>
          <cell r="W144">
            <v>42871</v>
          </cell>
          <cell r="X144">
            <v>42872</v>
          </cell>
          <cell r="Y144">
            <v>42872</v>
          </cell>
          <cell r="Z144">
            <v>42878</v>
          </cell>
          <cell r="AA144">
            <v>42891</v>
          </cell>
          <cell r="AB144">
            <v>0</v>
          </cell>
        </row>
        <row r="145">
          <cell r="A145" t="str">
            <v>17-025</v>
          </cell>
          <cell r="B145" t="str">
            <v>Y</v>
          </cell>
          <cell r="C145" t="str">
            <v>N</v>
          </cell>
          <cell r="D145" t="str">
            <v>Y</v>
          </cell>
          <cell r="E145" t="str">
            <v>Y</v>
          </cell>
          <cell r="F145">
            <v>0</v>
          </cell>
          <cell r="G145" t="str">
            <v>y</v>
          </cell>
          <cell r="H145">
            <v>42849</v>
          </cell>
          <cell r="I145">
            <v>42849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42849</v>
          </cell>
          <cell r="Q145">
            <v>42849</v>
          </cell>
          <cell r="R145">
            <v>1</v>
          </cell>
          <cell r="S145">
            <v>42849</v>
          </cell>
          <cell r="T145" t="str">
            <v>N/A</v>
          </cell>
          <cell r="U145">
            <v>42849</v>
          </cell>
          <cell r="V145">
            <v>42849</v>
          </cell>
          <cell r="W145">
            <v>42849</v>
          </cell>
          <cell r="X145">
            <v>42849</v>
          </cell>
          <cell r="Y145">
            <v>42849</v>
          </cell>
          <cell r="Z145">
            <v>42864</v>
          </cell>
          <cell r="AA145">
            <v>42870</v>
          </cell>
          <cell r="AB145">
            <v>0</v>
          </cell>
        </row>
        <row r="146">
          <cell r="A146" t="str">
            <v>17-027</v>
          </cell>
          <cell r="B146" t="str">
            <v>Y</v>
          </cell>
          <cell r="C146" t="str">
            <v>N</v>
          </cell>
          <cell r="D146" t="str">
            <v>Y</v>
          </cell>
          <cell r="E146" t="str">
            <v>Y</v>
          </cell>
          <cell r="F146">
            <v>0</v>
          </cell>
          <cell r="G146" t="str">
            <v>y</v>
          </cell>
          <cell r="H146">
            <v>42874</v>
          </cell>
          <cell r="I146">
            <v>42887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42867</v>
          </cell>
          <cell r="Q146">
            <v>42866</v>
          </cell>
          <cell r="R146">
            <v>1</v>
          </cell>
          <cell r="S146">
            <v>42892</v>
          </cell>
          <cell r="T146">
            <v>42879</v>
          </cell>
          <cell r="U146">
            <v>42892</v>
          </cell>
          <cell r="V146">
            <v>42895</v>
          </cell>
          <cell r="W146">
            <v>42895</v>
          </cell>
          <cell r="X146">
            <v>42898</v>
          </cell>
          <cell r="Y146">
            <v>42898</v>
          </cell>
          <cell r="Z146">
            <v>42907</v>
          </cell>
          <cell r="AA146">
            <v>42908</v>
          </cell>
          <cell r="AB146">
            <v>0</v>
          </cell>
        </row>
        <row r="147">
          <cell r="A147" t="str">
            <v>17-028</v>
          </cell>
          <cell r="B147" t="str">
            <v>Y</v>
          </cell>
          <cell r="C147" t="str">
            <v>N</v>
          </cell>
          <cell r="D147" t="str">
            <v>Y</v>
          </cell>
          <cell r="E147" t="str">
            <v>Y</v>
          </cell>
          <cell r="F147">
            <v>0</v>
          </cell>
          <cell r="G147" t="str">
            <v>y</v>
          </cell>
          <cell r="H147">
            <v>42880</v>
          </cell>
          <cell r="I147">
            <v>42880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42872</v>
          </cell>
          <cell r="Q147">
            <v>42872</v>
          </cell>
          <cell r="R147">
            <v>1</v>
          </cell>
          <cell r="S147">
            <v>42881</v>
          </cell>
          <cell r="T147">
            <v>42881</v>
          </cell>
          <cell r="U147">
            <v>42881</v>
          </cell>
          <cell r="V147">
            <v>42872</v>
          </cell>
          <cell r="W147">
            <v>42872</v>
          </cell>
          <cell r="X147">
            <v>42872</v>
          </cell>
          <cell r="Y147">
            <v>42872</v>
          </cell>
          <cell r="Z147">
            <v>42881</v>
          </cell>
          <cell r="AA147">
            <v>0</v>
          </cell>
          <cell r="AB147">
            <v>0</v>
          </cell>
        </row>
        <row r="148">
          <cell r="A148" t="str">
            <v>17-029</v>
          </cell>
          <cell r="B148" t="str">
            <v>Y</v>
          </cell>
          <cell r="C148" t="str">
            <v>Y</v>
          </cell>
          <cell r="D148" t="str">
            <v>Y</v>
          </cell>
          <cell r="E148" t="str">
            <v>Y</v>
          </cell>
          <cell r="F148">
            <v>0</v>
          </cell>
          <cell r="G148" t="str">
            <v>y</v>
          </cell>
          <cell r="H148">
            <v>42885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42877</v>
          </cell>
          <cell r="Q148">
            <v>42874</v>
          </cell>
          <cell r="R148">
            <v>1</v>
          </cell>
          <cell r="S148">
            <v>42888</v>
          </cell>
          <cell r="T148">
            <v>42887</v>
          </cell>
          <cell r="U148">
            <v>42888</v>
          </cell>
          <cell r="V148">
            <v>42901</v>
          </cell>
          <cell r="W148">
            <v>42902</v>
          </cell>
          <cell r="X148">
            <v>42902</v>
          </cell>
          <cell r="Y148">
            <v>42902</v>
          </cell>
          <cell r="Z148">
            <v>42912</v>
          </cell>
          <cell r="AA148">
            <v>43045</v>
          </cell>
          <cell r="AB148">
            <v>0</v>
          </cell>
        </row>
        <row r="149">
          <cell r="A149" t="str">
            <v>17-030</v>
          </cell>
          <cell r="B149" t="str">
            <v>Y</v>
          </cell>
          <cell r="C149" t="str">
            <v>Y</v>
          </cell>
          <cell r="D149" t="str">
            <v>Y</v>
          </cell>
          <cell r="E149" t="str">
            <v>Y</v>
          </cell>
          <cell r="F149">
            <v>0</v>
          </cell>
          <cell r="G149" t="str">
            <v>y</v>
          </cell>
          <cell r="H149">
            <v>42885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42877</v>
          </cell>
          <cell r="Q149">
            <v>42874</v>
          </cell>
          <cell r="R149">
            <v>1</v>
          </cell>
          <cell r="S149">
            <v>42888</v>
          </cell>
          <cell r="T149">
            <v>42887</v>
          </cell>
          <cell r="U149">
            <v>42888</v>
          </cell>
          <cell r="V149">
            <v>42901</v>
          </cell>
          <cell r="W149">
            <v>42902</v>
          </cell>
          <cell r="X149">
            <v>42902</v>
          </cell>
          <cell r="Y149">
            <v>42902</v>
          </cell>
          <cell r="Z149">
            <v>42912</v>
          </cell>
          <cell r="AA149">
            <v>43045</v>
          </cell>
          <cell r="AB149">
            <v>0</v>
          </cell>
        </row>
        <row r="150">
          <cell r="A150" t="str">
            <v>17-031</v>
          </cell>
          <cell r="B150" t="str">
            <v>Y</v>
          </cell>
          <cell r="C150" t="str">
            <v>N</v>
          </cell>
          <cell r="D150" t="str">
            <v>Y</v>
          </cell>
          <cell r="E150" t="str">
            <v>Y</v>
          </cell>
          <cell r="F150">
            <v>0</v>
          </cell>
          <cell r="G150" t="str">
            <v>y</v>
          </cell>
          <cell r="H150">
            <v>42912</v>
          </cell>
          <cell r="I150">
            <v>42919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42902</v>
          </cell>
          <cell r="Q150">
            <v>42900</v>
          </cell>
          <cell r="R150">
            <v>1</v>
          </cell>
          <cell r="S150">
            <v>42921</v>
          </cell>
          <cell r="T150" t="str">
            <v>N/A</v>
          </cell>
          <cell r="U150">
            <v>42921</v>
          </cell>
          <cell r="V150">
            <v>42926</v>
          </cell>
          <cell r="W150">
            <v>42927</v>
          </cell>
          <cell r="X150">
            <v>42927</v>
          </cell>
          <cell r="Y150">
            <v>42927</v>
          </cell>
          <cell r="Z150">
            <v>42930</v>
          </cell>
          <cell r="AA150">
            <v>42954</v>
          </cell>
          <cell r="AB150">
            <v>0</v>
          </cell>
        </row>
        <row r="151">
          <cell r="A151" t="str">
            <v>17-032</v>
          </cell>
          <cell r="B151" t="str">
            <v>Y</v>
          </cell>
          <cell r="C151" t="str">
            <v>Y</v>
          </cell>
          <cell r="D151" t="str">
            <v>Y</v>
          </cell>
          <cell r="E151" t="str">
            <v>Y</v>
          </cell>
          <cell r="F151">
            <v>0</v>
          </cell>
          <cell r="G151" t="str">
            <v>y</v>
          </cell>
          <cell r="H151">
            <v>42895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42935</v>
          </cell>
          <cell r="Q151">
            <v>42935</v>
          </cell>
          <cell r="R151">
            <v>1</v>
          </cell>
          <cell r="S151">
            <v>42935</v>
          </cell>
          <cell r="T151" t="str">
            <v>N/A</v>
          </cell>
          <cell r="U151">
            <v>42935</v>
          </cell>
          <cell r="V151">
            <v>42935</v>
          </cell>
          <cell r="W151">
            <v>42935</v>
          </cell>
          <cell r="X151">
            <v>42936</v>
          </cell>
          <cell r="Y151">
            <v>42936</v>
          </cell>
          <cell r="Z151">
            <v>42937</v>
          </cell>
          <cell r="AA151">
            <v>42940</v>
          </cell>
          <cell r="AB151">
            <v>0</v>
          </cell>
        </row>
        <row r="152">
          <cell r="A152" t="str">
            <v>17-033</v>
          </cell>
          <cell r="B152" t="str">
            <v>Y</v>
          </cell>
          <cell r="C152" t="str">
            <v>Y</v>
          </cell>
          <cell r="D152" t="str">
            <v>Y</v>
          </cell>
          <cell r="E152" t="str">
            <v>Y</v>
          </cell>
          <cell r="F152">
            <v>0</v>
          </cell>
          <cell r="G152" t="str">
            <v>y</v>
          </cell>
          <cell r="H152">
            <v>42895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42935</v>
          </cell>
          <cell r="Q152">
            <v>42935</v>
          </cell>
          <cell r="R152">
            <v>1</v>
          </cell>
          <cell r="S152">
            <v>42935</v>
          </cell>
          <cell r="T152" t="str">
            <v>N/A</v>
          </cell>
          <cell r="U152">
            <v>42935</v>
          </cell>
          <cell r="V152">
            <v>42935</v>
          </cell>
          <cell r="W152">
            <v>42935</v>
          </cell>
          <cell r="X152">
            <v>42936</v>
          </cell>
          <cell r="Y152">
            <v>42936</v>
          </cell>
          <cell r="Z152">
            <v>42937</v>
          </cell>
          <cell r="AA152">
            <v>42940</v>
          </cell>
          <cell r="AB152">
            <v>0</v>
          </cell>
        </row>
        <row r="153">
          <cell r="A153" t="str">
            <v>17-034</v>
          </cell>
          <cell r="B153" t="str">
            <v>Y</v>
          </cell>
          <cell r="C153" t="str">
            <v>Y</v>
          </cell>
          <cell r="D153" t="str">
            <v>N</v>
          </cell>
          <cell r="E153" t="str">
            <v>Y</v>
          </cell>
          <cell r="F153">
            <v>1</v>
          </cell>
          <cell r="G153" t="str">
            <v>y</v>
          </cell>
          <cell r="H153">
            <v>42906</v>
          </cell>
          <cell r="I153">
            <v>42909</v>
          </cell>
          <cell r="J153">
            <v>42929</v>
          </cell>
          <cell r="K153">
            <v>42930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42900</v>
          </cell>
          <cell r="Q153">
            <v>42900</v>
          </cell>
          <cell r="R153">
            <v>2</v>
          </cell>
          <cell r="S153">
            <v>42940</v>
          </cell>
          <cell r="T153" t="str">
            <v>N/A</v>
          </cell>
          <cell r="U153">
            <v>42940</v>
          </cell>
          <cell r="V153">
            <v>42948</v>
          </cell>
          <cell r="W153">
            <v>42948</v>
          </cell>
          <cell r="X153">
            <v>42949</v>
          </cell>
          <cell r="Y153">
            <v>42949</v>
          </cell>
          <cell r="Z153">
            <v>42948</v>
          </cell>
          <cell r="AA153">
            <v>42951</v>
          </cell>
          <cell r="AB153">
            <v>0</v>
          </cell>
        </row>
        <row r="154">
          <cell r="A154" t="str">
            <v>17-035</v>
          </cell>
          <cell r="B154" t="str">
            <v>Y</v>
          </cell>
          <cell r="C154" t="str">
            <v>Y</v>
          </cell>
          <cell r="D154" t="str">
            <v>N</v>
          </cell>
          <cell r="E154" t="str">
            <v>Y</v>
          </cell>
          <cell r="F154">
            <v>1</v>
          </cell>
          <cell r="G154" t="str">
            <v>y</v>
          </cell>
          <cell r="H154">
            <v>42929</v>
          </cell>
          <cell r="I154">
            <v>42940</v>
          </cell>
          <cell r="J154">
            <v>42958</v>
          </cell>
          <cell r="K154">
            <v>42964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42919</v>
          </cell>
          <cell r="Q154">
            <v>42900</v>
          </cell>
          <cell r="R154">
            <v>2</v>
          </cell>
          <cell r="S154">
            <v>42970</v>
          </cell>
          <cell r="T154" t="str">
            <v>N/A</v>
          </cell>
          <cell r="U154">
            <v>42970</v>
          </cell>
          <cell r="V154">
            <v>42971</v>
          </cell>
          <cell r="W154">
            <v>42971</v>
          </cell>
          <cell r="X154">
            <v>42976</v>
          </cell>
          <cell r="Y154">
            <v>42976</v>
          </cell>
          <cell r="Z154">
            <v>42984</v>
          </cell>
          <cell r="AA154">
            <v>42986</v>
          </cell>
          <cell r="AB154">
            <v>0</v>
          </cell>
        </row>
        <row r="155">
          <cell r="A155" t="str">
            <v>17-036</v>
          </cell>
          <cell r="B155" t="str">
            <v>Y</v>
          </cell>
          <cell r="C155" t="str">
            <v>N</v>
          </cell>
          <cell r="D155" t="str">
            <v>Y</v>
          </cell>
          <cell r="E155" t="str">
            <v>Y</v>
          </cell>
          <cell r="F155">
            <v>0</v>
          </cell>
          <cell r="G155" t="str">
            <v>y</v>
          </cell>
          <cell r="H155">
            <v>42929</v>
          </cell>
          <cell r="I155">
            <v>42930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42908</v>
          </cell>
          <cell r="Q155">
            <v>42900</v>
          </cell>
          <cell r="R155">
            <v>1</v>
          </cell>
          <cell r="S155">
            <v>42940</v>
          </cell>
          <cell r="T155">
            <v>42970</v>
          </cell>
          <cell r="U155">
            <v>42940</v>
          </cell>
          <cell r="V155">
            <v>42908</v>
          </cell>
          <cell r="W155">
            <v>42908</v>
          </cell>
          <cell r="X155">
            <v>42914</v>
          </cell>
          <cell r="Y155">
            <v>42914</v>
          </cell>
          <cell r="Z155">
            <v>42943</v>
          </cell>
          <cell r="AA155">
            <v>42947</v>
          </cell>
          <cell r="AB155">
            <v>0</v>
          </cell>
        </row>
        <row r="156">
          <cell r="A156" t="str">
            <v>17-037</v>
          </cell>
          <cell r="B156" t="str">
            <v>Y</v>
          </cell>
          <cell r="C156" t="str">
            <v>Y</v>
          </cell>
          <cell r="D156" t="str">
            <v>N</v>
          </cell>
          <cell r="E156" t="str">
            <v>Y</v>
          </cell>
          <cell r="F156">
            <v>1</v>
          </cell>
          <cell r="G156" t="str">
            <v>y</v>
          </cell>
          <cell r="H156">
            <v>42934</v>
          </cell>
          <cell r="I156">
            <v>42969</v>
          </cell>
          <cell r="J156">
            <v>42984</v>
          </cell>
          <cell r="K156">
            <v>43005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42909</v>
          </cell>
          <cell r="Q156">
            <v>42906</v>
          </cell>
          <cell r="R156">
            <v>2</v>
          </cell>
          <cell r="S156">
            <v>43018</v>
          </cell>
          <cell r="T156" t="str">
            <v>N/A</v>
          </cell>
          <cell r="U156">
            <v>43018</v>
          </cell>
          <cell r="V156">
            <v>43032</v>
          </cell>
          <cell r="W156">
            <v>43032</v>
          </cell>
          <cell r="X156">
            <v>43039</v>
          </cell>
          <cell r="Y156">
            <v>43047</v>
          </cell>
          <cell r="Z156">
            <v>43017</v>
          </cell>
          <cell r="AA156">
            <v>43035</v>
          </cell>
          <cell r="AB156">
            <v>0</v>
          </cell>
        </row>
        <row r="157">
          <cell r="A157" t="str">
            <v>17-038</v>
          </cell>
          <cell r="B157" t="str">
            <v>Y</v>
          </cell>
          <cell r="C157" t="str">
            <v>Y</v>
          </cell>
          <cell r="D157" t="str">
            <v>Y</v>
          </cell>
          <cell r="E157" t="str">
            <v>Y</v>
          </cell>
          <cell r="F157">
            <v>1</v>
          </cell>
          <cell r="G157" t="str">
            <v>y</v>
          </cell>
          <cell r="H157">
            <v>42934</v>
          </cell>
          <cell r="I157">
            <v>42936</v>
          </cell>
          <cell r="J157">
            <v>42947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42902</v>
          </cell>
          <cell r="Q157">
            <v>42900</v>
          </cell>
          <cell r="R157">
            <v>2</v>
          </cell>
          <cell r="S157">
            <v>42947</v>
          </cell>
          <cell r="T157" t="str">
            <v>N/A</v>
          </cell>
          <cell r="U157">
            <v>42947</v>
          </cell>
          <cell r="V157">
            <v>42961</v>
          </cell>
          <cell r="W157">
            <v>42961</v>
          </cell>
          <cell r="X157">
            <v>42962</v>
          </cell>
          <cell r="Y157">
            <v>42962</v>
          </cell>
          <cell r="Z157">
            <v>42957</v>
          </cell>
          <cell r="AA157">
            <v>42969</v>
          </cell>
          <cell r="AB157">
            <v>0</v>
          </cell>
        </row>
        <row r="158">
          <cell r="A158" t="str">
            <v>17-039</v>
          </cell>
          <cell r="B158" t="str">
            <v>Y</v>
          </cell>
          <cell r="C158" t="str">
            <v>Y</v>
          </cell>
          <cell r="D158" t="str">
            <v>N</v>
          </cell>
          <cell r="E158" t="str">
            <v>Y</v>
          </cell>
          <cell r="F158">
            <v>1</v>
          </cell>
          <cell r="G158" t="str">
            <v>y</v>
          </cell>
          <cell r="H158">
            <v>42927</v>
          </cell>
          <cell r="I158">
            <v>42930</v>
          </cell>
          <cell r="J158">
            <v>42941</v>
          </cell>
          <cell r="K158">
            <v>42944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42919</v>
          </cell>
          <cell r="Q158">
            <v>42919</v>
          </cell>
          <cell r="R158">
            <v>2</v>
          </cell>
          <cell r="S158">
            <v>42948</v>
          </cell>
          <cell r="T158" t="str">
            <v>N/A</v>
          </cell>
          <cell r="U158">
            <v>42948</v>
          </cell>
          <cell r="V158">
            <v>42950</v>
          </cell>
          <cell r="W158">
            <v>42950</v>
          </cell>
          <cell r="X158">
            <v>42951</v>
          </cell>
          <cell r="Y158">
            <v>42951</v>
          </cell>
          <cell r="Z158">
            <v>42949</v>
          </cell>
          <cell r="AA158">
            <v>42954</v>
          </cell>
          <cell r="AB158">
            <v>0</v>
          </cell>
        </row>
        <row r="159">
          <cell r="A159" t="str">
            <v>17-040</v>
          </cell>
          <cell r="B159" t="str">
            <v>Y</v>
          </cell>
          <cell r="C159" t="str">
            <v>Y</v>
          </cell>
          <cell r="D159" t="str">
            <v>N</v>
          </cell>
          <cell r="E159" t="str">
            <v>Y</v>
          </cell>
          <cell r="F159">
            <v>1</v>
          </cell>
          <cell r="G159" t="str">
            <v>y</v>
          </cell>
          <cell r="H159">
            <v>42927</v>
          </cell>
          <cell r="I159">
            <v>42930</v>
          </cell>
          <cell r="J159">
            <v>42941</v>
          </cell>
          <cell r="K159">
            <v>42944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42919</v>
          </cell>
          <cell r="Q159">
            <v>42919</v>
          </cell>
          <cell r="R159">
            <v>2</v>
          </cell>
          <cell r="S159">
            <v>42948</v>
          </cell>
          <cell r="T159" t="str">
            <v>N/A</v>
          </cell>
          <cell r="U159">
            <v>42948</v>
          </cell>
          <cell r="V159">
            <v>42950</v>
          </cell>
          <cell r="W159">
            <v>42950</v>
          </cell>
          <cell r="X159">
            <v>42951</v>
          </cell>
          <cell r="Y159">
            <v>42951</v>
          </cell>
          <cell r="Z159">
            <v>42949</v>
          </cell>
          <cell r="AA159">
            <v>42961</v>
          </cell>
          <cell r="AB159">
            <v>0</v>
          </cell>
        </row>
        <row r="160">
          <cell r="A160" t="str">
            <v>17-041</v>
          </cell>
          <cell r="B160" t="str">
            <v>Y</v>
          </cell>
          <cell r="C160" t="str">
            <v>N</v>
          </cell>
          <cell r="D160" t="str">
            <v>Y</v>
          </cell>
          <cell r="E160" t="str">
            <v>Y</v>
          </cell>
          <cell r="F160">
            <v>0</v>
          </cell>
          <cell r="G160" t="str">
            <v>y</v>
          </cell>
          <cell r="H160">
            <v>42936</v>
          </cell>
          <cell r="I160">
            <v>42942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42923</v>
          </cell>
          <cell r="Q160">
            <v>42922</v>
          </cell>
          <cell r="R160">
            <v>1</v>
          </cell>
          <cell r="S160">
            <v>42951</v>
          </cell>
          <cell r="T160">
            <v>42963</v>
          </cell>
          <cell r="U160">
            <v>42951</v>
          </cell>
          <cell r="V160">
            <v>42951</v>
          </cell>
          <cell r="W160">
            <v>42951</v>
          </cell>
          <cell r="X160">
            <v>42951</v>
          </cell>
          <cell r="Y160">
            <v>42951</v>
          </cell>
          <cell r="Z160">
            <v>42954</v>
          </cell>
          <cell r="AA160">
            <v>42955</v>
          </cell>
          <cell r="AB160">
            <v>0</v>
          </cell>
        </row>
        <row r="161">
          <cell r="A161" t="str">
            <v>17-042</v>
          </cell>
          <cell r="B161" t="str">
            <v>Y</v>
          </cell>
          <cell r="C161" t="str">
            <v>Y</v>
          </cell>
          <cell r="D161" t="str">
            <v>N</v>
          </cell>
          <cell r="E161" t="str">
            <v>Y</v>
          </cell>
          <cell r="F161">
            <v>1</v>
          </cell>
          <cell r="G161" t="str">
            <v>y</v>
          </cell>
          <cell r="H161">
            <v>42937</v>
          </cell>
          <cell r="I161">
            <v>42968</v>
          </cell>
          <cell r="J161">
            <v>42971</v>
          </cell>
          <cell r="K161">
            <v>42979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42923</v>
          </cell>
          <cell r="Q161">
            <v>42922</v>
          </cell>
          <cell r="R161">
            <v>2</v>
          </cell>
          <cell r="S161">
            <v>42979</v>
          </cell>
          <cell r="T161" t="str">
            <v>N/A</v>
          </cell>
          <cell r="U161">
            <v>42979</v>
          </cell>
          <cell r="V161">
            <v>42993</v>
          </cell>
          <cell r="W161">
            <v>42993</v>
          </cell>
          <cell r="X161">
            <v>42997</v>
          </cell>
          <cell r="Y161">
            <v>42997</v>
          </cell>
          <cell r="Z161">
            <v>43003</v>
          </cell>
          <cell r="AA161">
            <v>43025</v>
          </cell>
          <cell r="AB161">
            <v>0</v>
          </cell>
        </row>
        <row r="162">
          <cell r="A162" t="str">
            <v>17-043</v>
          </cell>
          <cell r="B162" t="str">
            <v>Y</v>
          </cell>
          <cell r="C162" t="str">
            <v>N</v>
          </cell>
          <cell r="D162" t="str">
            <v>Y</v>
          </cell>
          <cell r="E162" t="str">
            <v>Y</v>
          </cell>
          <cell r="F162">
            <v>0</v>
          </cell>
          <cell r="G162" t="str">
            <v>y</v>
          </cell>
          <cell r="H162">
            <v>42937</v>
          </cell>
          <cell r="I162">
            <v>42940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42923</v>
          </cell>
          <cell r="Q162">
            <v>42922</v>
          </cell>
          <cell r="R162">
            <v>1</v>
          </cell>
          <cell r="S162">
            <v>42948</v>
          </cell>
          <cell r="T162">
            <v>42963</v>
          </cell>
          <cell r="U162">
            <v>42948</v>
          </cell>
          <cell r="V162">
            <v>42963</v>
          </cell>
          <cell r="W162">
            <v>42963</v>
          </cell>
          <cell r="X162">
            <v>42964</v>
          </cell>
          <cell r="Y162">
            <v>42964</v>
          </cell>
          <cell r="Z162">
            <v>42965</v>
          </cell>
          <cell r="AA162">
            <v>42976</v>
          </cell>
          <cell r="AB162">
            <v>0</v>
          </cell>
        </row>
        <row r="163">
          <cell r="A163" t="str">
            <v>17-044</v>
          </cell>
          <cell r="B163" t="str">
            <v>Y</v>
          </cell>
          <cell r="C163" t="str">
            <v>N</v>
          </cell>
          <cell r="D163" t="str">
            <v>Y</v>
          </cell>
          <cell r="E163" t="str">
            <v>Y</v>
          </cell>
          <cell r="F163">
            <v>0</v>
          </cell>
          <cell r="G163" t="str">
            <v>y</v>
          </cell>
          <cell r="H163">
            <v>42933</v>
          </cell>
          <cell r="I163">
            <v>42935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42934</v>
          </cell>
          <cell r="Q163">
            <v>42933</v>
          </cell>
          <cell r="R163">
            <v>1</v>
          </cell>
          <cell r="S163">
            <v>42942</v>
          </cell>
          <cell r="T163" t="str">
            <v>N/A</v>
          </cell>
          <cell r="U163">
            <v>42942</v>
          </cell>
          <cell r="V163">
            <v>42943</v>
          </cell>
          <cell r="W163">
            <v>42943</v>
          </cell>
          <cell r="X163">
            <v>42948</v>
          </cell>
          <cell r="Y163">
            <v>42949</v>
          </cell>
          <cell r="Z163">
            <v>42956</v>
          </cell>
          <cell r="AA163">
            <v>42961</v>
          </cell>
          <cell r="AB163">
            <v>0</v>
          </cell>
        </row>
        <row r="164">
          <cell r="A164" t="str">
            <v>17-045</v>
          </cell>
          <cell r="B164" t="str">
            <v>Y</v>
          </cell>
          <cell r="C164" t="str">
            <v>N</v>
          </cell>
          <cell r="D164" t="str">
            <v>Y</v>
          </cell>
          <cell r="E164" t="str">
            <v>Y</v>
          </cell>
          <cell r="F164">
            <v>0</v>
          </cell>
          <cell r="G164" t="str">
            <v>y</v>
          </cell>
          <cell r="H164">
            <v>42929</v>
          </cell>
          <cell r="I164">
            <v>42947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42928</v>
          </cell>
          <cell r="Q164">
            <v>42928</v>
          </cell>
          <cell r="R164">
            <v>1</v>
          </cell>
          <cell r="S164">
            <v>42933</v>
          </cell>
          <cell r="T164">
            <v>42935</v>
          </cell>
          <cell r="U164">
            <v>42933</v>
          </cell>
          <cell r="V164">
            <v>42933</v>
          </cell>
          <cell r="W164">
            <v>42933</v>
          </cell>
          <cell r="X164">
            <v>42934</v>
          </cell>
          <cell r="Y164">
            <v>42934</v>
          </cell>
          <cell r="Z164">
            <v>42934</v>
          </cell>
          <cell r="AA164">
            <v>42940</v>
          </cell>
          <cell r="AB164">
            <v>0</v>
          </cell>
        </row>
        <row r="165">
          <cell r="A165" t="str">
            <v>17-046</v>
          </cell>
          <cell r="B165" t="str">
            <v>Y</v>
          </cell>
          <cell r="C165" t="str">
            <v>Y</v>
          </cell>
          <cell r="D165" t="str">
            <v>Y</v>
          </cell>
          <cell r="E165" t="str">
            <v>Y</v>
          </cell>
          <cell r="F165">
            <v>1</v>
          </cell>
          <cell r="G165" t="str">
            <v>y</v>
          </cell>
          <cell r="H165">
            <v>42933</v>
          </cell>
          <cell r="I165">
            <v>42947</v>
          </cell>
          <cell r="J165">
            <v>42949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42933</v>
          </cell>
          <cell r="Q165">
            <v>42928</v>
          </cell>
          <cell r="R165">
            <v>2</v>
          </cell>
          <cell r="S165">
            <v>42949</v>
          </cell>
          <cell r="T165" t="str">
            <v>N/A</v>
          </cell>
          <cell r="U165">
            <v>42949</v>
          </cell>
          <cell r="V165">
            <v>42955</v>
          </cell>
          <cell r="W165">
            <v>42955</v>
          </cell>
          <cell r="X165">
            <v>42956</v>
          </cell>
          <cell r="Y165">
            <v>42956</v>
          </cell>
          <cell r="Z165">
            <v>42961</v>
          </cell>
          <cell r="AA165">
            <v>42963</v>
          </cell>
          <cell r="AB165">
            <v>0</v>
          </cell>
        </row>
        <row r="166">
          <cell r="A166" t="str">
            <v>17-047</v>
          </cell>
          <cell r="B166" t="str">
            <v>Y</v>
          </cell>
          <cell r="C166" t="str">
            <v>Y</v>
          </cell>
          <cell r="D166" t="str">
            <v>Y</v>
          </cell>
          <cell r="E166" t="str">
            <v>Y</v>
          </cell>
          <cell r="F166">
            <v>1</v>
          </cell>
          <cell r="G166" t="str">
            <v>y</v>
          </cell>
          <cell r="H166">
            <v>42933</v>
          </cell>
          <cell r="I166">
            <v>42947</v>
          </cell>
          <cell r="J166">
            <v>42949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42933</v>
          </cell>
          <cell r="Q166">
            <v>42928</v>
          </cell>
          <cell r="R166">
            <v>2</v>
          </cell>
          <cell r="S166">
            <v>42949</v>
          </cell>
          <cell r="T166" t="str">
            <v>N/A</v>
          </cell>
          <cell r="U166">
            <v>42949</v>
          </cell>
          <cell r="V166">
            <v>42955</v>
          </cell>
          <cell r="W166">
            <v>42955</v>
          </cell>
          <cell r="X166">
            <v>42956</v>
          </cell>
          <cell r="Y166">
            <v>42956</v>
          </cell>
          <cell r="Z166">
            <v>42961</v>
          </cell>
          <cell r="AA166">
            <v>42963</v>
          </cell>
          <cell r="AB166">
            <v>0</v>
          </cell>
        </row>
        <row r="167">
          <cell r="A167" t="str">
            <v>17-048</v>
          </cell>
          <cell r="B167" t="str">
            <v>Y</v>
          </cell>
          <cell r="C167" t="str">
            <v>Y</v>
          </cell>
          <cell r="D167" t="str">
            <v>Y</v>
          </cell>
          <cell r="E167" t="str">
            <v>Y</v>
          </cell>
          <cell r="F167">
            <v>0</v>
          </cell>
          <cell r="G167" t="str">
            <v>y</v>
          </cell>
          <cell r="H167" t="str">
            <v>N/A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42935</v>
          </cell>
          <cell r="Q167">
            <v>42935</v>
          </cell>
          <cell r="R167">
            <v>1</v>
          </cell>
          <cell r="S167">
            <v>42949</v>
          </cell>
          <cell r="T167" t="str">
            <v>N/A</v>
          </cell>
          <cell r="U167">
            <v>42949</v>
          </cell>
          <cell r="V167">
            <v>42935</v>
          </cell>
          <cell r="W167">
            <v>42935</v>
          </cell>
          <cell r="X167">
            <v>42935</v>
          </cell>
          <cell r="Y167">
            <v>42935</v>
          </cell>
          <cell r="Z167">
            <v>42936</v>
          </cell>
          <cell r="AA167">
            <v>42936</v>
          </cell>
          <cell r="AB167">
            <v>0</v>
          </cell>
        </row>
        <row r="168">
          <cell r="A168" t="str">
            <v>17-049</v>
          </cell>
          <cell r="B168" t="str">
            <v>Y</v>
          </cell>
          <cell r="C168" t="str">
            <v>Y</v>
          </cell>
          <cell r="D168" t="str">
            <v>Y</v>
          </cell>
          <cell r="E168" t="str">
            <v>Y</v>
          </cell>
          <cell r="F168">
            <v>0</v>
          </cell>
          <cell r="G168" t="str">
            <v>y</v>
          </cell>
          <cell r="H168" t="str">
            <v>N/A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42936</v>
          </cell>
          <cell r="Q168">
            <v>42936</v>
          </cell>
          <cell r="R168">
            <v>1</v>
          </cell>
          <cell r="S168">
            <v>42940</v>
          </cell>
          <cell r="T168" t="str">
            <v>N/A</v>
          </cell>
          <cell r="U168">
            <v>42940</v>
          </cell>
          <cell r="V168">
            <v>42936</v>
          </cell>
          <cell r="W168">
            <v>42936</v>
          </cell>
          <cell r="X168">
            <v>42936</v>
          </cell>
          <cell r="Y168">
            <v>42936</v>
          </cell>
          <cell r="Z168">
            <v>42940</v>
          </cell>
          <cell r="AA168">
            <v>42941</v>
          </cell>
          <cell r="AB168">
            <v>0</v>
          </cell>
        </row>
        <row r="169">
          <cell r="A169" t="str">
            <v>17-050</v>
          </cell>
          <cell r="B169" t="str">
            <v>Y</v>
          </cell>
          <cell r="C169" t="str">
            <v>Y</v>
          </cell>
          <cell r="D169" t="str">
            <v>Y</v>
          </cell>
          <cell r="E169" t="str">
            <v>Y</v>
          </cell>
          <cell r="F169">
            <v>0</v>
          </cell>
          <cell r="G169" t="str">
            <v xml:space="preserve">  </v>
          </cell>
          <cell r="H169" t="str">
            <v>N/A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42940</v>
          </cell>
          <cell r="Q169">
            <v>42940</v>
          </cell>
          <cell r="R169">
            <v>1</v>
          </cell>
          <cell r="S169">
            <v>0</v>
          </cell>
          <cell r="T169" t="str">
            <v>N/A</v>
          </cell>
          <cell r="U169">
            <v>0</v>
          </cell>
          <cell r="V169">
            <v>42940</v>
          </cell>
          <cell r="W169">
            <v>42940</v>
          </cell>
          <cell r="X169">
            <v>42940</v>
          </cell>
          <cell r="Y169">
            <v>42940</v>
          </cell>
          <cell r="Z169">
            <v>42942</v>
          </cell>
          <cell r="AA169">
            <v>42942</v>
          </cell>
          <cell r="AB169">
            <v>0</v>
          </cell>
        </row>
        <row r="170">
          <cell r="A170" t="str">
            <v>17-053</v>
          </cell>
          <cell r="B170" t="str">
            <v>Y</v>
          </cell>
          <cell r="C170" t="str">
            <v>Y</v>
          </cell>
          <cell r="D170" t="str">
            <v>Y</v>
          </cell>
          <cell r="E170" t="str">
            <v>Y</v>
          </cell>
          <cell r="F170">
            <v>0</v>
          </cell>
          <cell r="G170" t="str">
            <v>y</v>
          </cell>
          <cell r="H170">
            <v>42961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42949</v>
          </cell>
          <cell r="Q170">
            <v>42950</v>
          </cell>
          <cell r="R170">
            <v>1</v>
          </cell>
          <cell r="S170">
            <v>42962</v>
          </cell>
          <cell r="T170">
            <v>42970</v>
          </cell>
          <cell r="U170">
            <v>42962</v>
          </cell>
          <cell r="V170">
            <v>42964</v>
          </cell>
          <cell r="W170">
            <v>42964</v>
          </cell>
          <cell r="X170">
            <v>42964</v>
          </cell>
          <cell r="Y170">
            <v>42964</v>
          </cell>
          <cell r="Z170">
            <v>42992</v>
          </cell>
          <cell r="AA170">
            <v>42993</v>
          </cell>
          <cell r="AB170">
            <v>0</v>
          </cell>
        </row>
        <row r="171">
          <cell r="A171" t="str">
            <v>17-054</v>
          </cell>
          <cell r="B171" t="str">
            <v>Y</v>
          </cell>
          <cell r="C171" t="str">
            <v>Y</v>
          </cell>
          <cell r="D171" t="str">
            <v>Y</v>
          </cell>
          <cell r="E171" t="str">
            <v>Y</v>
          </cell>
          <cell r="F171">
            <v>1</v>
          </cell>
          <cell r="G171" t="str">
            <v>y</v>
          </cell>
          <cell r="H171">
            <v>42961</v>
          </cell>
          <cell r="I171">
            <v>42979</v>
          </cell>
          <cell r="J171">
            <v>42983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42961</v>
          </cell>
          <cell r="Q171">
            <v>42961</v>
          </cell>
          <cell r="R171">
            <v>2</v>
          </cell>
          <cell r="S171">
            <v>42991</v>
          </cell>
          <cell r="T171" t="str">
            <v>N/A</v>
          </cell>
          <cell r="U171">
            <v>42991</v>
          </cell>
          <cell r="V171">
            <v>42991</v>
          </cell>
          <cell r="W171">
            <v>42991</v>
          </cell>
          <cell r="X171">
            <v>42991</v>
          </cell>
          <cell r="Y171">
            <v>42991</v>
          </cell>
          <cell r="Z171">
            <v>42993</v>
          </cell>
          <cell r="AA171">
            <v>42997</v>
          </cell>
          <cell r="AB171">
            <v>0</v>
          </cell>
        </row>
        <row r="172">
          <cell r="A172" t="str">
            <v>17-055</v>
          </cell>
          <cell r="B172" t="str">
            <v>Y</v>
          </cell>
          <cell r="C172" t="str">
            <v>Y</v>
          </cell>
          <cell r="D172" t="str">
            <v>Y</v>
          </cell>
          <cell r="E172" t="str">
            <v>Y</v>
          </cell>
          <cell r="F172">
            <v>1</v>
          </cell>
          <cell r="G172" t="str">
            <v>y</v>
          </cell>
          <cell r="H172">
            <v>42965</v>
          </cell>
          <cell r="I172">
            <v>42975</v>
          </cell>
          <cell r="J172">
            <v>42985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42962</v>
          </cell>
          <cell r="Q172">
            <v>42961</v>
          </cell>
          <cell r="R172">
            <v>2</v>
          </cell>
          <cell r="S172">
            <v>42984</v>
          </cell>
          <cell r="T172" t="str">
            <v>N/A</v>
          </cell>
          <cell r="U172">
            <v>42984</v>
          </cell>
          <cell r="V172">
            <v>42992</v>
          </cell>
          <cell r="W172">
            <v>42992</v>
          </cell>
          <cell r="X172">
            <v>42993</v>
          </cell>
          <cell r="Y172">
            <v>42993</v>
          </cell>
          <cell r="Z172">
            <v>43010</v>
          </cell>
          <cell r="AA172">
            <v>43035</v>
          </cell>
          <cell r="AB172">
            <v>0</v>
          </cell>
        </row>
        <row r="173">
          <cell r="A173" t="str">
            <v>17-056</v>
          </cell>
          <cell r="B173" t="str">
            <v>Y</v>
          </cell>
          <cell r="C173" t="str">
            <v>Y</v>
          </cell>
          <cell r="D173" t="str">
            <v>Y</v>
          </cell>
          <cell r="E173" t="str">
            <v>Y</v>
          </cell>
          <cell r="F173">
            <v>0</v>
          </cell>
          <cell r="G173" t="str">
            <v>y</v>
          </cell>
          <cell r="H173">
            <v>42965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42963</v>
          </cell>
          <cell r="Q173">
            <v>42963</v>
          </cell>
          <cell r="R173">
            <v>1</v>
          </cell>
          <cell r="S173">
            <v>42965</v>
          </cell>
          <cell r="T173" t="str">
            <v>N/A</v>
          </cell>
          <cell r="U173">
            <v>42965</v>
          </cell>
          <cell r="V173">
            <v>42963</v>
          </cell>
          <cell r="W173">
            <v>42963</v>
          </cell>
          <cell r="X173">
            <v>42963</v>
          </cell>
          <cell r="Y173">
            <v>42963</v>
          </cell>
          <cell r="Z173">
            <v>42963</v>
          </cell>
          <cell r="AA173">
            <v>42968</v>
          </cell>
          <cell r="AB173">
            <v>0</v>
          </cell>
        </row>
        <row r="174">
          <cell r="A174" t="str">
            <v>17-057</v>
          </cell>
          <cell r="B174" t="str">
            <v>Y</v>
          </cell>
          <cell r="C174" t="str">
            <v>Y</v>
          </cell>
          <cell r="D174" t="str">
            <v>Y</v>
          </cell>
          <cell r="E174" t="str">
            <v>Y</v>
          </cell>
          <cell r="F174">
            <v>0</v>
          </cell>
          <cell r="G174" t="str">
            <v>y</v>
          </cell>
          <cell r="H174">
            <v>42978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42965</v>
          </cell>
          <cell r="Q174">
            <v>42963</v>
          </cell>
          <cell r="R174">
            <v>1</v>
          </cell>
          <cell r="S174">
            <v>42983</v>
          </cell>
          <cell r="T174" t="str">
            <v>N/A</v>
          </cell>
          <cell r="U174">
            <v>42983</v>
          </cell>
          <cell r="V174">
            <v>42991</v>
          </cell>
          <cell r="W174">
            <v>42991</v>
          </cell>
          <cell r="X174">
            <v>42991</v>
          </cell>
          <cell r="Y174">
            <v>42991</v>
          </cell>
          <cell r="Z174">
            <v>42993</v>
          </cell>
          <cell r="AA174">
            <v>42997</v>
          </cell>
          <cell r="AB174">
            <v>0</v>
          </cell>
        </row>
        <row r="175">
          <cell r="A175" t="str">
            <v>17-058</v>
          </cell>
          <cell r="B175" t="str">
            <v>N</v>
          </cell>
          <cell r="C175" t="str">
            <v>Y</v>
          </cell>
          <cell r="D175" t="str">
            <v>Y</v>
          </cell>
          <cell r="E175" t="str">
            <v>Y</v>
          </cell>
          <cell r="F175" t="str">
            <v xml:space="preserve">  </v>
          </cell>
          <cell r="G175" t="str">
            <v xml:space="preserve">  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42964</v>
          </cell>
          <cell r="Q175">
            <v>42964</v>
          </cell>
          <cell r="R175">
            <v>0</v>
          </cell>
          <cell r="S175">
            <v>0</v>
          </cell>
          <cell r="T175" t="str">
            <v>N/A</v>
          </cell>
          <cell r="U175">
            <v>0</v>
          </cell>
          <cell r="V175" t="str">
            <v>NA</v>
          </cell>
          <cell r="W175" t="str">
            <v>NA</v>
          </cell>
          <cell r="X175" t="str">
            <v>NA</v>
          </cell>
          <cell r="Y175" t="str">
            <v>NA</v>
          </cell>
          <cell r="Z175">
            <v>0</v>
          </cell>
          <cell r="AA175">
            <v>0</v>
          </cell>
          <cell r="AB175">
            <v>0</v>
          </cell>
        </row>
        <row r="176">
          <cell r="A176" t="str">
            <v>17-059</v>
          </cell>
          <cell r="B176" t="str">
            <v>Y</v>
          </cell>
          <cell r="C176" t="str">
            <v>N</v>
          </cell>
          <cell r="D176" t="str">
            <v>Y</v>
          </cell>
          <cell r="E176" t="str">
            <v>Y</v>
          </cell>
          <cell r="F176">
            <v>0</v>
          </cell>
          <cell r="G176" t="str">
            <v>y</v>
          </cell>
          <cell r="H176">
            <v>42986</v>
          </cell>
          <cell r="I176">
            <v>43003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42984</v>
          </cell>
          <cell r="Q176">
            <v>42984</v>
          </cell>
          <cell r="R176">
            <v>1</v>
          </cell>
          <cell r="S176">
            <v>43003</v>
          </cell>
          <cell r="T176" t="str">
            <v>N/A</v>
          </cell>
          <cell r="U176">
            <v>43003</v>
          </cell>
          <cell r="V176">
            <v>43005</v>
          </cell>
          <cell r="W176">
            <v>43005</v>
          </cell>
          <cell r="X176">
            <v>43005</v>
          </cell>
          <cell r="Y176">
            <v>43005</v>
          </cell>
          <cell r="Z176">
            <v>43017</v>
          </cell>
          <cell r="AA176">
            <v>43027</v>
          </cell>
          <cell r="AB176">
            <v>0</v>
          </cell>
        </row>
        <row r="177">
          <cell r="A177" t="str">
            <v>17-060</v>
          </cell>
          <cell r="B177" t="str">
            <v>Y</v>
          </cell>
          <cell r="C177" t="str">
            <v>N</v>
          </cell>
          <cell r="D177" t="str">
            <v>Y</v>
          </cell>
          <cell r="E177" t="str">
            <v>Y</v>
          </cell>
          <cell r="F177">
            <v>0</v>
          </cell>
          <cell r="G177" t="str">
            <v>y</v>
          </cell>
          <cell r="H177">
            <v>42996</v>
          </cell>
          <cell r="I177">
            <v>43004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42991</v>
          </cell>
          <cell r="Q177">
            <v>42985</v>
          </cell>
          <cell r="R177">
            <v>1</v>
          </cell>
          <cell r="S177">
            <v>43011</v>
          </cell>
          <cell r="T177">
            <v>43018</v>
          </cell>
          <cell r="U177">
            <v>43011</v>
          </cell>
          <cell r="V177">
            <v>43012</v>
          </cell>
          <cell r="W177">
            <v>43012</v>
          </cell>
          <cell r="X177">
            <v>43014</v>
          </cell>
          <cell r="Y177">
            <v>43014</v>
          </cell>
          <cell r="Z177">
            <v>43026</v>
          </cell>
          <cell r="AA177">
            <v>43033</v>
          </cell>
          <cell r="AB177">
            <v>0</v>
          </cell>
        </row>
        <row r="178">
          <cell r="A178" t="str">
            <v>17-061</v>
          </cell>
          <cell r="B178" t="str">
            <v>Y</v>
          </cell>
          <cell r="C178" t="str">
            <v>N</v>
          </cell>
          <cell r="D178" t="str">
            <v>Y</v>
          </cell>
          <cell r="E178" t="str">
            <v>Y</v>
          </cell>
          <cell r="F178">
            <v>0</v>
          </cell>
          <cell r="G178" t="str">
            <v>y</v>
          </cell>
          <cell r="H178">
            <v>43000</v>
          </cell>
          <cell r="I178">
            <v>43004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43003</v>
          </cell>
          <cell r="Q178">
            <v>43018</v>
          </cell>
          <cell r="R178">
            <v>1</v>
          </cell>
          <cell r="S178">
            <v>43010</v>
          </cell>
          <cell r="T178">
            <v>43032</v>
          </cell>
          <cell r="U178">
            <v>43010</v>
          </cell>
          <cell r="V178">
            <v>43061</v>
          </cell>
          <cell r="W178">
            <v>43061</v>
          </cell>
          <cell r="X178">
            <v>43066</v>
          </cell>
          <cell r="Y178">
            <v>43066</v>
          </cell>
          <cell r="Z178">
            <v>43043</v>
          </cell>
          <cell r="AA178">
            <v>43066</v>
          </cell>
          <cell r="AB178">
            <v>0</v>
          </cell>
        </row>
        <row r="179">
          <cell r="A179" t="str">
            <v>17-062</v>
          </cell>
          <cell r="B179" t="str">
            <v>N</v>
          </cell>
          <cell r="C179" t="str">
            <v>Y</v>
          </cell>
          <cell r="D179" t="str">
            <v>Y</v>
          </cell>
          <cell r="E179" t="str">
            <v>Y</v>
          </cell>
          <cell r="F179" t="str">
            <v xml:space="preserve">  </v>
          </cell>
          <cell r="G179" t="str">
            <v>y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43011</v>
          </cell>
          <cell r="Q179">
            <v>43010</v>
          </cell>
          <cell r="R179">
            <v>0</v>
          </cell>
          <cell r="S179">
            <v>43018</v>
          </cell>
          <cell r="T179" t="str">
            <v>N/A</v>
          </cell>
          <cell r="U179">
            <v>43018</v>
          </cell>
          <cell r="V179">
            <v>43018</v>
          </cell>
          <cell r="W179">
            <v>43018</v>
          </cell>
          <cell r="X179">
            <v>43019</v>
          </cell>
          <cell r="Y179">
            <v>43019</v>
          </cell>
          <cell r="Z179">
            <v>43043</v>
          </cell>
          <cell r="AA179">
            <v>43046</v>
          </cell>
          <cell r="AB179">
            <v>0</v>
          </cell>
        </row>
        <row r="180">
          <cell r="A180" t="str">
            <v>17-063</v>
          </cell>
          <cell r="B180" t="str">
            <v>N</v>
          </cell>
          <cell r="C180" t="str">
            <v>Y</v>
          </cell>
          <cell r="D180" t="str">
            <v>Y</v>
          </cell>
          <cell r="E180" t="str">
            <v>Y</v>
          </cell>
          <cell r="F180" t="str">
            <v xml:space="preserve">  </v>
          </cell>
          <cell r="G180" t="str">
            <v xml:space="preserve">  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 t="str">
            <v>NA</v>
          </cell>
          <cell r="Q180" t="str">
            <v>NA</v>
          </cell>
          <cell r="R180">
            <v>0</v>
          </cell>
          <cell r="S180">
            <v>0</v>
          </cell>
          <cell r="T180" t="str">
            <v>N/A</v>
          </cell>
          <cell r="U180">
            <v>0</v>
          </cell>
          <cell r="V180" t="str">
            <v>NA</v>
          </cell>
          <cell r="W180" t="str">
            <v>NA</v>
          </cell>
          <cell r="X180" t="str">
            <v>NA</v>
          </cell>
          <cell r="Y180" t="str">
            <v>NA</v>
          </cell>
          <cell r="Z180">
            <v>0</v>
          </cell>
          <cell r="AA180">
            <v>0</v>
          </cell>
          <cell r="AB180">
            <v>0</v>
          </cell>
        </row>
        <row r="181">
          <cell r="A181" t="str">
            <v>17-064</v>
          </cell>
          <cell r="B181" t="str">
            <v>Y</v>
          </cell>
          <cell r="C181" t="str">
            <v>Y</v>
          </cell>
          <cell r="D181" t="str">
            <v>Y</v>
          </cell>
          <cell r="E181" t="str">
            <v>Y</v>
          </cell>
          <cell r="F181">
            <v>3</v>
          </cell>
          <cell r="G181" t="str">
            <v>y</v>
          </cell>
          <cell r="H181">
            <v>43038</v>
          </cell>
          <cell r="I181">
            <v>43039</v>
          </cell>
          <cell r="J181">
            <v>43045</v>
          </cell>
          <cell r="K181">
            <v>43053</v>
          </cell>
          <cell r="L181">
            <v>43061</v>
          </cell>
          <cell r="M181">
            <v>43068</v>
          </cell>
          <cell r="N181">
            <v>43073</v>
          </cell>
          <cell r="O181">
            <v>43075</v>
          </cell>
          <cell r="P181">
            <v>43073</v>
          </cell>
          <cell r="Q181">
            <v>43025</v>
          </cell>
          <cell r="R181">
            <v>4</v>
          </cell>
          <cell r="S181">
            <v>43082</v>
          </cell>
          <cell r="T181">
            <v>43049</v>
          </cell>
          <cell r="U181">
            <v>43082</v>
          </cell>
          <cell r="V181">
            <v>43087</v>
          </cell>
          <cell r="W181">
            <v>43089</v>
          </cell>
          <cell r="X181">
            <v>43091</v>
          </cell>
          <cell r="Y181">
            <v>43091</v>
          </cell>
          <cell r="Z181">
            <v>43087</v>
          </cell>
          <cell r="AA181">
            <v>43089</v>
          </cell>
          <cell r="AB181">
            <v>0</v>
          </cell>
        </row>
        <row r="182">
          <cell r="A182" t="str">
            <v>17-066</v>
          </cell>
          <cell r="B182" t="str">
            <v>Y</v>
          </cell>
          <cell r="C182" t="str">
            <v>Y</v>
          </cell>
          <cell r="D182" t="str">
            <v>Y</v>
          </cell>
          <cell r="E182" t="str">
            <v>Y</v>
          </cell>
          <cell r="F182">
            <v>0</v>
          </cell>
          <cell r="G182" t="str">
            <v>y</v>
          </cell>
          <cell r="H182">
            <v>43054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43042</v>
          </cell>
          <cell r="Q182">
            <v>43041</v>
          </cell>
          <cell r="R182">
            <v>1</v>
          </cell>
          <cell r="S182">
            <v>43073</v>
          </cell>
          <cell r="T182" t="str">
            <v>N/A</v>
          </cell>
          <cell r="U182">
            <v>43073</v>
          </cell>
          <cell r="V182">
            <v>43074</v>
          </cell>
          <cell r="W182">
            <v>43074</v>
          </cell>
          <cell r="X182">
            <v>43075</v>
          </cell>
          <cell r="Y182">
            <v>43075</v>
          </cell>
          <cell r="Z182">
            <v>43076</v>
          </cell>
          <cell r="AA182">
            <v>43084</v>
          </cell>
          <cell r="AB182">
            <v>0</v>
          </cell>
        </row>
        <row r="183">
          <cell r="A183" t="str">
            <v>17-067</v>
          </cell>
          <cell r="B183" t="str">
            <v>Y</v>
          </cell>
          <cell r="C183" t="str">
            <v>Y</v>
          </cell>
          <cell r="D183" t="str">
            <v>Y</v>
          </cell>
          <cell r="E183" t="str">
            <v>Y</v>
          </cell>
          <cell r="F183">
            <v>1</v>
          </cell>
          <cell r="G183" t="str">
            <v>y</v>
          </cell>
          <cell r="H183">
            <v>43049</v>
          </cell>
          <cell r="I183">
            <v>43052</v>
          </cell>
          <cell r="J183">
            <v>43054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43047</v>
          </cell>
          <cell r="Q183">
            <v>43046</v>
          </cell>
          <cell r="R183">
            <v>2</v>
          </cell>
          <cell r="S183">
            <v>43054</v>
          </cell>
          <cell r="T183">
            <v>43116</v>
          </cell>
          <cell r="U183">
            <v>43054</v>
          </cell>
          <cell r="V183">
            <v>43056</v>
          </cell>
          <cell r="W183">
            <v>43059</v>
          </cell>
          <cell r="X183">
            <v>43059</v>
          </cell>
          <cell r="Y183">
            <v>43059</v>
          </cell>
          <cell r="Z183">
            <v>43075</v>
          </cell>
          <cell r="AA183">
            <v>43084</v>
          </cell>
          <cell r="AB183">
            <v>0</v>
          </cell>
        </row>
        <row r="184">
          <cell r="A184" t="str">
            <v>17-068</v>
          </cell>
          <cell r="B184" t="str">
            <v>Y</v>
          </cell>
          <cell r="C184" t="str">
            <v>Y</v>
          </cell>
          <cell r="D184" t="str">
            <v>N</v>
          </cell>
          <cell r="E184" t="str">
            <v>Y</v>
          </cell>
          <cell r="F184">
            <v>1</v>
          </cell>
          <cell r="G184" t="str">
            <v>y</v>
          </cell>
          <cell r="H184">
            <v>43048</v>
          </cell>
          <cell r="I184">
            <v>43052</v>
          </cell>
          <cell r="J184">
            <v>43055</v>
          </cell>
          <cell r="K184">
            <v>43060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43042</v>
          </cell>
          <cell r="Q184">
            <v>43041</v>
          </cell>
          <cell r="R184">
            <v>2</v>
          </cell>
          <cell r="S184">
            <v>43061</v>
          </cell>
          <cell r="T184">
            <v>43049</v>
          </cell>
          <cell r="U184">
            <v>43061</v>
          </cell>
          <cell r="V184">
            <v>43068</v>
          </cell>
          <cell r="W184">
            <v>43068</v>
          </cell>
          <cell r="X184">
            <v>43069</v>
          </cell>
          <cell r="Y184">
            <v>43069</v>
          </cell>
          <cell r="Z184">
            <v>43070</v>
          </cell>
          <cell r="AA184">
            <v>43074</v>
          </cell>
          <cell r="AB184">
            <v>0</v>
          </cell>
        </row>
        <row r="185">
          <cell r="A185" t="str">
            <v>17-069</v>
          </cell>
          <cell r="B185" t="str">
            <v>Y</v>
          </cell>
          <cell r="C185" t="str">
            <v>Y</v>
          </cell>
          <cell r="D185" t="str">
            <v>Y</v>
          </cell>
          <cell r="E185" t="str">
            <v>Y</v>
          </cell>
          <cell r="F185">
            <v>0</v>
          </cell>
          <cell r="G185" t="str">
            <v>y</v>
          </cell>
          <cell r="H185">
            <v>43068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43066</v>
          </cell>
          <cell r="Q185">
            <v>43066</v>
          </cell>
          <cell r="R185">
            <v>1</v>
          </cell>
          <cell r="S185">
            <v>43073</v>
          </cell>
          <cell r="T185" t="str">
            <v>N/A</v>
          </cell>
          <cell r="U185">
            <v>43073</v>
          </cell>
          <cell r="V185">
            <v>43068</v>
          </cell>
          <cell r="W185">
            <v>43068</v>
          </cell>
          <cell r="X185">
            <v>43069</v>
          </cell>
          <cell r="Y185">
            <v>43069</v>
          </cell>
          <cell r="Z185">
            <v>43076</v>
          </cell>
          <cell r="AA185">
            <v>43084</v>
          </cell>
          <cell r="AB185">
            <v>0</v>
          </cell>
        </row>
        <row r="186">
          <cell r="A186" t="str">
            <v>17-070</v>
          </cell>
          <cell r="B186" t="str">
            <v>N</v>
          </cell>
          <cell r="C186" t="str">
            <v>Y</v>
          </cell>
          <cell r="D186" t="str">
            <v>Y</v>
          </cell>
          <cell r="E186" t="str">
            <v>Y</v>
          </cell>
          <cell r="F186" t="str">
            <v xml:space="preserve">  </v>
          </cell>
          <cell r="G186" t="str">
            <v xml:space="preserve">  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 t="str">
            <v>NA</v>
          </cell>
          <cell r="Q186" t="str">
            <v>NA</v>
          </cell>
          <cell r="R186">
            <v>0</v>
          </cell>
          <cell r="S186">
            <v>0</v>
          </cell>
          <cell r="T186" t="str">
            <v>N/A</v>
          </cell>
          <cell r="U186">
            <v>0</v>
          </cell>
          <cell r="V186" t="str">
            <v>NA</v>
          </cell>
          <cell r="W186" t="str">
            <v>NA</v>
          </cell>
          <cell r="X186" t="str">
            <v>NA</v>
          </cell>
          <cell r="Y186" t="str">
            <v>NA</v>
          </cell>
          <cell r="Z186">
            <v>0</v>
          </cell>
          <cell r="AA186">
            <v>0</v>
          </cell>
          <cell r="AB186">
            <v>0</v>
          </cell>
        </row>
        <row r="187">
          <cell r="A187" t="str">
            <v>17-071</v>
          </cell>
          <cell r="B187" t="str">
            <v>Y</v>
          </cell>
          <cell r="C187" t="str">
            <v>N</v>
          </cell>
          <cell r="D187" t="str">
            <v>Y</v>
          </cell>
          <cell r="E187" t="str">
            <v>Y</v>
          </cell>
          <cell r="F187">
            <v>0</v>
          </cell>
          <cell r="G187" t="str">
            <v>y</v>
          </cell>
          <cell r="H187">
            <v>43074</v>
          </cell>
          <cell r="I187">
            <v>43082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43070</v>
          </cell>
          <cell r="Q187">
            <v>43069</v>
          </cell>
          <cell r="R187">
            <v>1</v>
          </cell>
          <cell r="S187">
            <v>43108</v>
          </cell>
          <cell r="T187">
            <v>43116</v>
          </cell>
          <cell r="U187">
            <v>43108</v>
          </cell>
          <cell r="V187">
            <v>43109</v>
          </cell>
          <cell r="W187">
            <v>43109</v>
          </cell>
          <cell r="X187">
            <v>43110</v>
          </cell>
          <cell r="Y187">
            <v>43110</v>
          </cell>
          <cell r="Z187">
            <v>43115</v>
          </cell>
          <cell r="AA187">
            <v>43117</v>
          </cell>
          <cell r="AB187">
            <v>0</v>
          </cell>
        </row>
        <row r="188">
          <cell r="A188" t="str">
            <v>17-072</v>
          </cell>
          <cell r="B188" t="str">
            <v>Y</v>
          </cell>
          <cell r="C188" t="str">
            <v>Y</v>
          </cell>
          <cell r="D188" t="str">
            <v>N</v>
          </cell>
          <cell r="E188" t="str">
            <v>Y</v>
          </cell>
          <cell r="F188">
            <v>1</v>
          </cell>
          <cell r="G188" t="str">
            <v>y</v>
          </cell>
          <cell r="H188">
            <v>43077</v>
          </cell>
          <cell r="I188">
            <v>43080</v>
          </cell>
          <cell r="J188">
            <v>43081</v>
          </cell>
          <cell r="K188">
            <v>43082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43076</v>
          </cell>
          <cell r="Q188">
            <v>43069</v>
          </cell>
          <cell r="R188">
            <v>2</v>
          </cell>
          <cell r="S188">
            <v>43082</v>
          </cell>
          <cell r="T188" t="str">
            <v>N/A</v>
          </cell>
          <cell r="U188">
            <v>43082</v>
          </cell>
          <cell r="V188">
            <v>43083</v>
          </cell>
          <cell r="W188">
            <v>43083</v>
          </cell>
          <cell r="X188">
            <v>43084</v>
          </cell>
          <cell r="Y188">
            <v>43084</v>
          </cell>
          <cell r="Z188">
            <v>43087</v>
          </cell>
          <cell r="AA188">
            <v>43088</v>
          </cell>
          <cell r="AB188">
            <v>0</v>
          </cell>
        </row>
        <row r="189">
          <cell r="A189" t="str">
            <v>17-073</v>
          </cell>
          <cell r="B189" t="str">
            <v>Y</v>
          </cell>
          <cell r="C189" t="str">
            <v>Y</v>
          </cell>
          <cell r="D189" t="str">
            <v>N</v>
          </cell>
          <cell r="E189" t="str">
            <v>Y</v>
          </cell>
          <cell r="F189">
            <v>1</v>
          </cell>
          <cell r="G189" t="str">
            <v>y</v>
          </cell>
          <cell r="H189">
            <v>43077</v>
          </cell>
          <cell r="I189">
            <v>43080</v>
          </cell>
          <cell r="J189">
            <v>43081</v>
          </cell>
          <cell r="K189">
            <v>43082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43076</v>
          </cell>
          <cell r="Q189">
            <v>43069</v>
          </cell>
          <cell r="R189">
            <v>2</v>
          </cell>
          <cell r="S189">
            <v>43082</v>
          </cell>
          <cell r="T189" t="str">
            <v>N/A</v>
          </cell>
          <cell r="U189">
            <v>43082</v>
          </cell>
          <cell r="V189">
            <v>43083</v>
          </cell>
          <cell r="W189">
            <v>43083</v>
          </cell>
          <cell r="X189">
            <v>43084</v>
          </cell>
          <cell r="Y189">
            <v>43084</v>
          </cell>
          <cell r="Z189">
            <v>43087</v>
          </cell>
          <cell r="AA189">
            <v>43088</v>
          </cell>
          <cell r="AB189">
            <v>0</v>
          </cell>
        </row>
        <row r="190">
          <cell r="A190" t="str">
            <v>17-074</v>
          </cell>
          <cell r="B190" t="str">
            <v>Y</v>
          </cell>
          <cell r="C190" t="str">
            <v>Y</v>
          </cell>
          <cell r="D190" t="str">
            <v>N</v>
          </cell>
          <cell r="E190" t="str">
            <v>Y</v>
          </cell>
          <cell r="F190">
            <v>1</v>
          </cell>
          <cell r="G190" t="str">
            <v>y</v>
          </cell>
          <cell r="H190">
            <v>43077</v>
          </cell>
          <cell r="I190">
            <v>43080</v>
          </cell>
          <cell r="J190">
            <v>43081</v>
          </cell>
          <cell r="K190">
            <v>43082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43076</v>
          </cell>
          <cell r="Q190">
            <v>43069</v>
          </cell>
          <cell r="R190">
            <v>2</v>
          </cell>
          <cell r="S190">
            <v>43082</v>
          </cell>
          <cell r="T190" t="str">
            <v>N/A</v>
          </cell>
          <cell r="U190">
            <v>43082</v>
          </cell>
          <cell r="V190">
            <v>43083</v>
          </cell>
          <cell r="W190">
            <v>43083</v>
          </cell>
          <cell r="X190">
            <v>43084</v>
          </cell>
          <cell r="Y190">
            <v>43084</v>
          </cell>
          <cell r="Z190">
            <v>43087</v>
          </cell>
          <cell r="AA190">
            <v>43088</v>
          </cell>
          <cell r="AB190">
            <v>0</v>
          </cell>
        </row>
        <row r="191">
          <cell r="A191" t="str">
            <v>17-075</v>
          </cell>
          <cell r="B191" t="str">
            <v>N</v>
          </cell>
          <cell r="C191" t="str">
            <v>Y</v>
          </cell>
          <cell r="D191" t="str">
            <v>Y</v>
          </cell>
          <cell r="E191" t="str">
            <v>Y</v>
          </cell>
          <cell r="F191" t="str">
            <v xml:space="preserve">  </v>
          </cell>
          <cell r="G191" t="str">
            <v xml:space="preserve">  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</row>
        <row r="192">
          <cell r="A192" t="str">
            <v>17-076</v>
          </cell>
          <cell r="B192" t="str">
            <v>Y</v>
          </cell>
          <cell r="C192" t="str">
            <v>Y</v>
          </cell>
          <cell r="D192" t="str">
            <v>N</v>
          </cell>
          <cell r="E192" t="str">
            <v>Y</v>
          </cell>
          <cell r="F192">
            <v>1</v>
          </cell>
          <cell r="G192" t="str">
            <v>y</v>
          </cell>
          <cell r="H192">
            <v>43108</v>
          </cell>
          <cell r="I192">
            <v>43125</v>
          </cell>
          <cell r="J192">
            <v>43140</v>
          </cell>
          <cell r="K192">
            <v>43159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43090</v>
          </cell>
          <cell r="Q192">
            <v>43091</v>
          </cell>
          <cell r="R192">
            <v>2</v>
          </cell>
          <cell r="S192">
            <v>43164</v>
          </cell>
          <cell r="T192" t="str">
            <v>N/A</v>
          </cell>
          <cell r="U192">
            <v>43164</v>
          </cell>
          <cell r="V192">
            <v>43164</v>
          </cell>
          <cell r="W192">
            <v>43164</v>
          </cell>
          <cell r="X192">
            <v>43165</v>
          </cell>
          <cell r="Y192">
            <v>43165</v>
          </cell>
          <cell r="Z192">
            <v>43157</v>
          </cell>
          <cell r="AA192">
            <v>43164</v>
          </cell>
          <cell r="AB192">
            <v>0</v>
          </cell>
        </row>
        <row r="193">
          <cell r="A193" t="str">
            <v>17-077</v>
          </cell>
          <cell r="B193" t="str">
            <v>Y</v>
          </cell>
          <cell r="C193" t="str">
            <v>Y</v>
          </cell>
          <cell r="D193" t="str">
            <v>N</v>
          </cell>
          <cell r="E193" t="str">
            <v>Y</v>
          </cell>
          <cell r="F193">
            <v>1</v>
          </cell>
          <cell r="G193" t="str">
            <v>y</v>
          </cell>
          <cell r="H193">
            <v>43108</v>
          </cell>
          <cell r="I193">
            <v>43125</v>
          </cell>
          <cell r="J193">
            <v>43140</v>
          </cell>
          <cell r="K193">
            <v>43159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43090</v>
          </cell>
          <cell r="Q193">
            <v>43091</v>
          </cell>
          <cell r="R193">
            <v>2</v>
          </cell>
          <cell r="S193">
            <v>43164</v>
          </cell>
          <cell r="T193" t="str">
            <v>N/A</v>
          </cell>
          <cell r="U193">
            <v>43164</v>
          </cell>
          <cell r="V193">
            <v>43164</v>
          </cell>
          <cell r="W193">
            <v>43164</v>
          </cell>
          <cell r="X193">
            <v>43165</v>
          </cell>
          <cell r="Y193">
            <v>43165</v>
          </cell>
          <cell r="Z193">
            <v>43157</v>
          </cell>
          <cell r="AA193">
            <v>43164</v>
          </cell>
          <cell r="AB193">
            <v>0</v>
          </cell>
        </row>
        <row r="194">
          <cell r="A194" t="str">
            <v>17-078</v>
          </cell>
          <cell r="B194" t="str">
            <v>Y</v>
          </cell>
          <cell r="C194" t="str">
            <v>Y</v>
          </cell>
          <cell r="D194" t="str">
            <v>N</v>
          </cell>
          <cell r="E194" t="str">
            <v>Y</v>
          </cell>
          <cell r="F194">
            <v>1</v>
          </cell>
          <cell r="G194" t="str">
            <v>y</v>
          </cell>
          <cell r="H194">
            <v>43108</v>
          </cell>
          <cell r="I194">
            <v>43125</v>
          </cell>
          <cell r="J194">
            <v>43140</v>
          </cell>
          <cell r="K194">
            <v>43166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43090</v>
          </cell>
          <cell r="Q194">
            <v>43091</v>
          </cell>
          <cell r="R194">
            <v>2</v>
          </cell>
          <cell r="S194">
            <v>43171</v>
          </cell>
          <cell r="T194" t="str">
            <v>N/A</v>
          </cell>
          <cell r="U194">
            <v>43171</v>
          </cell>
          <cell r="V194">
            <v>43174</v>
          </cell>
          <cell r="W194">
            <v>43174</v>
          </cell>
          <cell r="X194">
            <v>43178</v>
          </cell>
          <cell r="Y194">
            <v>43178</v>
          </cell>
          <cell r="Z194">
            <v>43179</v>
          </cell>
          <cell r="AA194">
            <v>43171</v>
          </cell>
          <cell r="AB194">
            <v>0</v>
          </cell>
        </row>
        <row r="195">
          <cell r="A195" t="str">
            <v>17-079</v>
          </cell>
          <cell r="B195" t="str">
            <v>Y</v>
          </cell>
          <cell r="C195" t="str">
            <v>Y</v>
          </cell>
          <cell r="D195" t="str">
            <v>N</v>
          </cell>
          <cell r="E195" t="str">
            <v>Y</v>
          </cell>
          <cell r="F195">
            <v>1</v>
          </cell>
          <cell r="G195" t="str">
            <v>y</v>
          </cell>
          <cell r="H195">
            <v>43111</v>
          </cell>
          <cell r="I195">
            <v>43125</v>
          </cell>
          <cell r="J195">
            <v>43147</v>
          </cell>
          <cell r="K195">
            <v>43161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43090</v>
          </cell>
          <cell r="Q195">
            <v>43091</v>
          </cell>
          <cell r="R195">
            <v>2</v>
          </cell>
          <cell r="S195">
            <v>43164</v>
          </cell>
          <cell r="T195" t="str">
            <v>N/A</v>
          </cell>
          <cell r="U195">
            <v>43164</v>
          </cell>
          <cell r="V195">
            <v>43165</v>
          </cell>
          <cell r="W195">
            <v>43165</v>
          </cell>
          <cell r="X195">
            <v>43166</v>
          </cell>
          <cell r="Y195">
            <v>43166</v>
          </cell>
          <cell r="Z195">
            <v>43165</v>
          </cell>
          <cell r="AA195">
            <v>43171</v>
          </cell>
          <cell r="AB195">
            <v>0</v>
          </cell>
        </row>
        <row r="196">
          <cell r="A196" t="str">
            <v>17-080</v>
          </cell>
          <cell r="B196" t="str">
            <v>Y</v>
          </cell>
          <cell r="C196" t="str">
            <v>Y</v>
          </cell>
          <cell r="D196" t="str">
            <v>N</v>
          </cell>
          <cell r="E196" t="str">
            <v>Y</v>
          </cell>
          <cell r="F196">
            <v>1</v>
          </cell>
          <cell r="G196" t="str">
            <v>y</v>
          </cell>
          <cell r="H196">
            <v>43111</v>
          </cell>
          <cell r="I196">
            <v>43125</v>
          </cell>
          <cell r="J196">
            <v>43147</v>
          </cell>
          <cell r="K196">
            <v>43157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43090</v>
          </cell>
          <cell r="Q196">
            <v>43091</v>
          </cell>
          <cell r="R196">
            <v>2</v>
          </cell>
          <cell r="S196">
            <v>43164</v>
          </cell>
          <cell r="T196" t="str">
            <v>N/A</v>
          </cell>
          <cell r="U196">
            <v>43164</v>
          </cell>
          <cell r="V196">
            <v>43165</v>
          </cell>
          <cell r="W196">
            <v>43165</v>
          </cell>
          <cell r="X196">
            <v>43166</v>
          </cell>
          <cell r="Y196">
            <v>43166</v>
          </cell>
          <cell r="Z196">
            <v>43165</v>
          </cell>
          <cell r="AA196">
            <v>43171</v>
          </cell>
          <cell r="AB196">
            <v>0</v>
          </cell>
        </row>
        <row r="197">
          <cell r="A197" t="str">
            <v>17-081</v>
          </cell>
          <cell r="B197" t="str">
            <v>Y</v>
          </cell>
          <cell r="C197" t="str">
            <v>Y</v>
          </cell>
          <cell r="D197" t="str">
            <v>N</v>
          </cell>
          <cell r="E197" t="str">
            <v>Y</v>
          </cell>
          <cell r="F197">
            <v>1</v>
          </cell>
          <cell r="G197" t="str">
            <v>y</v>
          </cell>
          <cell r="H197">
            <v>43111</v>
          </cell>
          <cell r="I197">
            <v>43125</v>
          </cell>
          <cell r="J197">
            <v>43145</v>
          </cell>
          <cell r="K197">
            <v>43155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43090</v>
          </cell>
          <cell r="Q197">
            <v>43091</v>
          </cell>
          <cell r="R197">
            <v>2</v>
          </cell>
          <cell r="S197">
            <v>43158</v>
          </cell>
          <cell r="T197" t="str">
            <v>N/A</v>
          </cell>
          <cell r="U197">
            <v>43158</v>
          </cell>
          <cell r="V197">
            <v>43160</v>
          </cell>
          <cell r="W197">
            <v>43160</v>
          </cell>
          <cell r="X197">
            <v>43161</v>
          </cell>
          <cell r="Y197">
            <v>43161</v>
          </cell>
          <cell r="Z197">
            <v>43157</v>
          </cell>
          <cell r="AA197">
            <v>43164</v>
          </cell>
          <cell r="AB197">
            <v>0</v>
          </cell>
        </row>
        <row r="198">
          <cell r="A198" t="str">
            <v>17-082</v>
          </cell>
          <cell r="B198" t="str">
            <v>Y</v>
          </cell>
          <cell r="C198" t="str">
            <v>Y</v>
          </cell>
          <cell r="D198" t="str">
            <v>N</v>
          </cell>
          <cell r="E198" t="str">
            <v>Y</v>
          </cell>
          <cell r="F198">
            <v>1</v>
          </cell>
          <cell r="G198" t="str">
            <v>y</v>
          </cell>
          <cell r="H198">
            <v>43111</v>
          </cell>
          <cell r="I198">
            <v>43125</v>
          </cell>
          <cell r="J198">
            <v>43145</v>
          </cell>
          <cell r="K198">
            <v>43159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43090</v>
          </cell>
          <cell r="Q198">
            <v>43091</v>
          </cell>
          <cell r="R198">
            <v>2</v>
          </cell>
          <cell r="S198">
            <v>43167</v>
          </cell>
          <cell r="T198" t="str">
            <v>N/A</v>
          </cell>
          <cell r="U198">
            <v>43167</v>
          </cell>
          <cell r="V198">
            <v>43173</v>
          </cell>
          <cell r="W198">
            <v>43173</v>
          </cell>
          <cell r="X198">
            <v>43173</v>
          </cell>
          <cell r="Y198">
            <v>43173</v>
          </cell>
          <cell r="Z198">
            <v>43167</v>
          </cell>
          <cell r="AA198">
            <v>43171</v>
          </cell>
          <cell r="AB198">
            <v>0</v>
          </cell>
        </row>
        <row r="199">
          <cell r="A199" t="str">
            <v>17-083</v>
          </cell>
          <cell r="B199" t="str">
            <v>Y</v>
          </cell>
          <cell r="C199" t="str">
            <v>Y</v>
          </cell>
          <cell r="D199" t="str">
            <v>N</v>
          </cell>
          <cell r="E199" t="str">
            <v>Y</v>
          </cell>
          <cell r="F199">
            <v>1</v>
          </cell>
          <cell r="G199" t="str">
            <v>y</v>
          </cell>
          <cell r="H199">
            <v>43111</v>
          </cell>
          <cell r="I199">
            <v>43125</v>
          </cell>
          <cell r="J199">
            <v>43151</v>
          </cell>
          <cell r="K199">
            <v>43161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43090</v>
          </cell>
          <cell r="Q199">
            <v>43091</v>
          </cell>
          <cell r="R199">
            <v>2</v>
          </cell>
          <cell r="S199">
            <v>43168</v>
          </cell>
          <cell r="T199" t="str">
            <v>N/A</v>
          </cell>
          <cell r="U199">
            <v>43168</v>
          </cell>
          <cell r="V199">
            <v>43168</v>
          </cell>
          <cell r="W199">
            <v>43168</v>
          </cell>
          <cell r="X199">
            <v>43171</v>
          </cell>
          <cell r="Y199">
            <v>43171</v>
          </cell>
          <cell r="Z199">
            <v>43165</v>
          </cell>
          <cell r="AA199">
            <v>43171</v>
          </cell>
          <cell r="AB199">
            <v>0</v>
          </cell>
        </row>
        <row r="200">
          <cell r="A200" t="str">
            <v>17-084</v>
          </cell>
          <cell r="B200" t="str">
            <v>Y</v>
          </cell>
          <cell r="C200" t="str">
            <v>Y</v>
          </cell>
          <cell r="D200" t="str">
            <v>N</v>
          </cell>
          <cell r="E200" t="str">
            <v>Y</v>
          </cell>
          <cell r="F200">
            <v>1</v>
          </cell>
          <cell r="G200" t="str">
            <v>y</v>
          </cell>
          <cell r="H200">
            <v>43111</v>
          </cell>
          <cell r="I200">
            <v>43125</v>
          </cell>
          <cell r="J200">
            <v>43151</v>
          </cell>
          <cell r="K200">
            <v>43161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43090</v>
          </cell>
          <cell r="Q200">
            <v>43091</v>
          </cell>
          <cell r="R200">
            <v>2</v>
          </cell>
          <cell r="S200">
            <v>43165</v>
          </cell>
          <cell r="T200" t="str">
            <v>N/A</v>
          </cell>
          <cell r="U200">
            <v>43165</v>
          </cell>
          <cell r="V200">
            <v>43167</v>
          </cell>
          <cell r="W200">
            <v>43167</v>
          </cell>
          <cell r="X200">
            <v>43167</v>
          </cell>
          <cell r="Y200">
            <v>43167</v>
          </cell>
          <cell r="Z200">
            <v>43165</v>
          </cell>
          <cell r="AA200">
            <v>43171</v>
          </cell>
          <cell r="AB200">
            <v>0</v>
          </cell>
        </row>
        <row r="201">
          <cell r="A201" t="str">
            <v>17-085</v>
          </cell>
          <cell r="B201" t="str">
            <v>Y</v>
          </cell>
          <cell r="C201" t="str">
            <v>Y</v>
          </cell>
          <cell r="D201" t="str">
            <v>Y</v>
          </cell>
          <cell r="E201" t="str">
            <v>Y</v>
          </cell>
          <cell r="F201">
            <v>1</v>
          </cell>
          <cell r="G201" t="str">
            <v xml:space="preserve">  </v>
          </cell>
          <cell r="H201">
            <v>43119</v>
          </cell>
          <cell r="I201">
            <v>43157</v>
          </cell>
          <cell r="J201">
            <v>43166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43090</v>
          </cell>
          <cell r="Q201">
            <v>43091</v>
          </cell>
          <cell r="R201">
            <v>2</v>
          </cell>
          <cell r="S201">
            <v>0</v>
          </cell>
          <cell r="T201" t="str">
            <v>N/A</v>
          </cell>
          <cell r="U201">
            <v>0</v>
          </cell>
          <cell r="V201">
            <v>43174</v>
          </cell>
          <cell r="W201">
            <v>43174</v>
          </cell>
          <cell r="X201">
            <v>43179</v>
          </cell>
          <cell r="Y201">
            <v>43179</v>
          </cell>
          <cell r="Z201">
            <v>43167</v>
          </cell>
          <cell r="AA201">
            <v>0</v>
          </cell>
          <cell r="AB201">
            <v>0</v>
          </cell>
        </row>
        <row r="202">
          <cell r="A202" t="str">
            <v>17-086</v>
          </cell>
          <cell r="B202" t="str">
            <v>Y</v>
          </cell>
          <cell r="C202" t="str">
            <v>Y</v>
          </cell>
          <cell r="D202" t="str">
            <v>N</v>
          </cell>
          <cell r="E202" t="str">
            <v>Y</v>
          </cell>
          <cell r="F202">
            <v>1</v>
          </cell>
          <cell r="G202" t="str">
            <v>y</v>
          </cell>
          <cell r="H202">
            <v>43119</v>
          </cell>
          <cell r="I202">
            <v>43144</v>
          </cell>
          <cell r="J202">
            <v>43153</v>
          </cell>
          <cell r="K202">
            <v>43166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43090</v>
          </cell>
          <cell r="Q202">
            <v>43091</v>
          </cell>
          <cell r="R202">
            <v>2</v>
          </cell>
          <cell r="S202">
            <v>43173</v>
          </cell>
          <cell r="T202" t="str">
            <v>N/A</v>
          </cell>
          <cell r="U202">
            <v>43173</v>
          </cell>
          <cell r="V202">
            <v>43178</v>
          </cell>
          <cell r="W202">
            <v>43178</v>
          </cell>
          <cell r="X202">
            <v>43180</v>
          </cell>
          <cell r="Y202">
            <v>43180</v>
          </cell>
          <cell r="Z202">
            <v>43179</v>
          </cell>
          <cell r="AA202">
            <v>43171</v>
          </cell>
          <cell r="AB202">
            <v>0</v>
          </cell>
        </row>
        <row r="203">
          <cell r="A203" t="str">
            <v>17-087</v>
          </cell>
          <cell r="B203" t="str">
            <v>Y</v>
          </cell>
          <cell r="C203" t="str">
            <v>Y</v>
          </cell>
          <cell r="D203" t="str">
            <v>N</v>
          </cell>
          <cell r="E203" t="str">
            <v>Y</v>
          </cell>
          <cell r="F203">
            <v>1</v>
          </cell>
          <cell r="G203" t="str">
            <v>y</v>
          </cell>
          <cell r="H203">
            <v>43119</v>
          </cell>
          <cell r="I203">
            <v>43131</v>
          </cell>
          <cell r="J203">
            <v>43145</v>
          </cell>
          <cell r="K203">
            <v>43159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43104</v>
          </cell>
          <cell r="Q203">
            <v>43091</v>
          </cell>
          <cell r="R203">
            <v>2</v>
          </cell>
          <cell r="S203">
            <v>43164</v>
          </cell>
          <cell r="T203" t="str">
            <v>N/A</v>
          </cell>
          <cell r="U203">
            <v>43164</v>
          </cell>
          <cell r="V203">
            <v>43165</v>
          </cell>
          <cell r="W203">
            <v>43165</v>
          </cell>
          <cell r="X203">
            <v>43165</v>
          </cell>
          <cell r="Y203">
            <v>43165</v>
          </cell>
          <cell r="Z203">
            <v>43164</v>
          </cell>
          <cell r="AA203">
            <v>43165</v>
          </cell>
          <cell r="AB203">
            <v>0</v>
          </cell>
        </row>
        <row r="204">
          <cell r="A204" t="str">
            <v>17-088</v>
          </cell>
          <cell r="B204" t="str">
            <v>Y</v>
          </cell>
          <cell r="C204" t="str">
            <v>Y</v>
          </cell>
          <cell r="D204" t="str">
            <v>N</v>
          </cell>
          <cell r="E204" t="str">
            <v>Y</v>
          </cell>
          <cell r="F204">
            <v>1</v>
          </cell>
          <cell r="G204" t="str">
            <v>y</v>
          </cell>
          <cell r="H204">
            <v>43119</v>
          </cell>
          <cell r="I204">
            <v>43144</v>
          </cell>
          <cell r="J204">
            <v>43153</v>
          </cell>
          <cell r="K204">
            <v>43161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43090</v>
          </cell>
          <cell r="Q204">
            <v>43091</v>
          </cell>
          <cell r="R204">
            <v>2</v>
          </cell>
          <cell r="S204">
            <v>43164</v>
          </cell>
          <cell r="T204" t="str">
            <v>N/A</v>
          </cell>
          <cell r="U204">
            <v>43164</v>
          </cell>
          <cell r="V204">
            <v>43165</v>
          </cell>
          <cell r="W204">
            <v>43165</v>
          </cell>
          <cell r="X204">
            <v>43165</v>
          </cell>
          <cell r="Y204">
            <v>43165</v>
          </cell>
          <cell r="Z204">
            <v>43164</v>
          </cell>
          <cell r="AA204">
            <v>43166</v>
          </cell>
          <cell r="AB204">
            <v>0</v>
          </cell>
        </row>
        <row r="205">
          <cell r="A205" t="str">
            <v>17-089</v>
          </cell>
          <cell r="B205" t="str">
            <v>Y</v>
          </cell>
          <cell r="C205" t="str">
            <v>Y</v>
          </cell>
          <cell r="D205" t="str">
            <v>N</v>
          </cell>
          <cell r="E205" t="str">
            <v>Y</v>
          </cell>
          <cell r="F205">
            <v>1</v>
          </cell>
          <cell r="G205" t="str">
            <v>y</v>
          </cell>
          <cell r="H205">
            <v>43119</v>
          </cell>
          <cell r="I205">
            <v>43145</v>
          </cell>
          <cell r="J205">
            <v>43153</v>
          </cell>
          <cell r="K205">
            <v>43161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43090</v>
          </cell>
          <cell r="Q205">
            <v>43091</v>
          </cell>
          <cell r="R205">
            <v>2</v>
          </cell>
          <cell r="S205">
            <v>43165</v>
          </cell>
          <cell r="T205" t="str">
            <v>N/A</v>
          </cell>
          <cell r="U205">
            <v>43165</v>
          </cell>
          <cell r="V205">
            <v>43165</v>
          </cell>
          <cell r="W205">
            <v>43165</v>
          </cell>
          <cell r="X205">
            <v>43166</v>
          </cell>
          <cell r="Y205">
            <v>43166</v>
          </cell>
          <cell r="Z205">
            <v>43166</v>
          </cell>
          <cell r="AA205">
            <v>43171</v>
          </cell>
          <cell r="AB205">
            <v>0</v>
          </cell>
        </row>
        <row r="206">
          <cell r="A206" t="str">
            <v>17-090</v>
          </cell>
          <cell r="B206" t="str">
            <v>N</v>
          </cell>
          <cell r="C206" t="str">
            <v>Y</v>
          </cell>
          <cell r="D206" t="str">
            <v>Y</v>
          </cell>
          <cell r="E206" t="str">
            <v>Y</v>
          </cell>
          <cell r="F206" t="str">
            <v xml:space="preserve">  </v>
          </cell>
          <cell r="G206" t="str">
            <v xml:space="preserve">  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A207" t="str">
            <v>17-091</v>
          </cell>
          <cell r="B207" t="str">
            <v>Y</v>
          </cell>
          <cell r="C207" t="str">
            <v>Y</v>
          </cell>
          <cell r="D207" t="str">
            <v>Y</v>
          </cell>
          <cell r="E207" t="str">
            <v>Y</v>
          </cell>
          <cell r="F207">
            <v>1</v>
          </cell>
          <cell r="G207" t="str">
            <v>y</v>
          </cell>
          <cell r="H207">
            <v>43110</v>
          </cell>
          <cell r="I207">
            <v>43110</v>
          </cell>
          <cell r="J207">
            <v>43110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43110</v>
          </cell>
          <cell r="Q207">
            <v>43110</v>
          </cell>
          <cell r="R207">
            <v>2</v>
          </cell>
          <cell r="S207">
            <v>43110</v>
          </cell>
          <cell r="T207" t="str">
            <v>N/A</v>
          </cell>
          <cell r="U207">
            <v>43110</v>
          </cell>
          <cell r="V207">
            <v>43110</v>
          </cell>
          <cell r="W207">
            <v>43110</v>
          </cell>
          <cell r="X207">
            <v>43111</v>
          </cell>
          <cell r="Y207">
            <v>43111</v>
          </cell>
          <cell r="Z207">
            <v>43115</v>
          </cell>
          <cell r="AA207">
            <v>43117</v>
          </cell>
          <cell r="AB207">
            <v>0</v>
          </cell>
        </row>
        <row r="208">
          <cell r="A208" t="str">
            <v>17-092</v>
          </cell>
          <cell r="B208" t="str">
            <v>Y</v>
          </cell>
          <cell r="C208" t="str">
            <v>Y</v>
          </cell>
          <cell r="D208" t="str">
            <v>Y</v>
          </cell>
          <cell r="E208" t="str">
            <v>Y</v>
          </cell>
          <cell r="F208">
            <v>1</v>
          </cell>
          <cell r="G208" t="str">
            <v>y</v>
          </cell>
          <cell r="H208">
            <v>43117</v>
          </cell>
          <cell r="I208">
            <v>43125</v>
          </cell>
          <cell r="J208">
            <v>43132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43118</v>
          </cell>
          <cell r="Q208">
            <v>43112</v>
          </cell>
          <cell r="R208">
            <v>2</v>
          </cell>
          <cell r="S208">
            <v>43132</v>
          </cell>
          <cell r="T208" t="str">
            <v>N/A</v>
          </cell>
          <cell r="U208">
            <v>43132</v>
          </cell>
          <cell r="V208">
            <v>43153</v>
          </cell>
          <cell r="W208">
            <v>43153</v>
          </cell>
          <cell r="X208">
            <v>43154</v>
          </cell>
          <cell r="Y208">
            <v>43154</v>
          </cell>
          <cell r="Z208">
            <v>43144</v>
          </cell>
          <cell r="AA208">
            <v>43146</v>
          </cell>
          <cell r="AB208">
            <v>0</v>
          </cell>
        </row>
        <row r="209">
          <cell r="A209" t="str">
            <v>18-001</v>
          </cell>
          <cell r="B209" t="str">
            <v>Y</v>
          </cell>
          <cell r="C209" t="str">
            <v>Y</v>
          </cell>
          <cell r="D209" t="str">
            <v>Y</v>
          </cell>
          <cell r="E209" t="str">
            <v>Y</v>
          </cell>
          <cell r="F209">
            <v>1</v>
          </cell>
          <cell r="G209" t="str">
            <v>y</v>
          </cell>
          <cell r="H209">
            <v>43138</v>
          </cell>
          <cell r="I209">
            <v>43185</v>
          </cell>
          <cell r="J209">
            <v>43188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43119</v>
          </cell>
          <cell r="Q209">
            <v>43122</v>
          </cell>
          <cell r="R209">
            <v>2</v>
          </cell>
          <cell r="S209">
            <v>43192</v>
          </cell>
          <cell r="T209">
            <v>0</v>
          </cell>
          <cell r="U209">
            <v>43192</v>
          </cell>
          <cell r="V209">
            <v>43202</v>
          </cell>
          <cell r="W209">
            <v>43202</v>
          </cell>
          <cell r="X209">
            <v>43202</v>
          </cell>
          <cell r="Y209">
            <v>43202</v>
          </cell>
          <cell r="Z209">
            <v>43187</v>
          </cell>
          <cell r="AA209">
            <v>43213</v>
          </cell>
          <cell r="AB209">
            <v>0</v>
          </cell>
        </row>
        <row r="210">
          <cell r="A210" t="str">
            <v>18-002</v>
          </cell>
          <cell r="B210" t="str">
            <v>Y</v>
          </cell>
          <cell r="C210" t="str">
            <v>Y</v>
          </cell>
          <cell r="D210" t="str">
            <v>Y</v>
          </cell>
          <cell r="E210" t="str">
            <v>Y</v>
          </cell>
          <cell r="F210">
            <v>2</v>
          </cell>
          <cell r="G210" t="str">
            <v>y</v>
          </cell>
          <cell r="H210">
            <v>43131</v>
          </cell>
          <cell r="I210">
            <v>43139</v>
          </cell>
          <cell r="J210">
            <v>43159</v>
          </cell>
          <cell r="K210">
            <v>43161</v>
          </cell>
          <cell r="L210">
            <v>43168</v>
          </cell>
          <cell r="M210">
            <v>0</v>
          </cell>
          <cell r="N210">
            <v>0</v>
          </cell>
          <cell r="O210">
            <v>0</v>
          </cell>
          <cell r="P210">
            <v>43119</v>
          </cell>
          <cell r="Q210">
            <v>43122</v>
          </cell>
          <cell r="R210">
            <v>3</v>
          </cell>
          <cell r="S210">
            <v>43166</v>
          </cell>
          <cell r="T210">
            <v>0</v>
          </cell>
          <cell r="U210">
            <v>43166</v>
          </cell>
          <cell r="V210" t="str">
            <v>3/92018</v>
          </cell>
          <cell r="W210">
            <v>43168</v>
          </cell>
          <cell r="X210">
            <v>43171</v>
          </cell>
          <cell r="Y210">
            <v>43171</v>
          </cell>
          <cell r="Z210">
            <v>43172</v>
          </cell>
          <cell r="AA210">
            <v>43173</v>
          </cell>
          <cell r="AB210">
            <v>0</v>
          </cell>
        </row>
        <row r="211">
          <cell r="A211" t="str">
            <v>18-003</v>
          </cell>
          <cell r="B211" t="str">
            <v>Y</v>
          </cell>
          <cell r="C211" t="str">
            <v>Y</v>
          </cell>
          <cell r="D211" t="str">
            <v>Y</v>
          </cell>
          <cell r="E211" t="str">
            <v>Y</v>
          </cell>
          <cell r="F211">
            <v>2</v>
          </cell>
          <cell r="G211" t="str">
            <v>y</v>
          </cell>
          <cell r="H211">
            <v>43131</v>
          </cell>
          <cell r="I211">
            <v>43144</v>
          </cell>
          <cell r="J211">
            <v>43157</v>
          </cell>
          <cell r="K211">
            <v>43161</v>
          </cell>
          <cell r="L211">
            <v>43168</v>
          </cell>
          <cell r="M211">
            <v>0</v>
          </cell>
          <cell r="N211">
            <v>0</v>
          </cell>
          <cell r="O211">
            <v>0</v>
          </cell>
          <cell r="P211">
            <v>43119</v>
          </cell>
          <cell r="Q211">
            <v>43122</v>
          </cell>
          <cell r="R211">
            <v>3</v>
          </cell>
          <cell r="S211">
            <v>43166</v>
          </cell>
          <cell r="T211">
            <v>0</v>
          </cell>
          <cell r="U211">
            <v>43166</v>
          </cell>
          <cell r="V211" t="str">
            <v>3/92018</v>
          </cell>
          <cell r="W211">
            <v>43168</v>
          </cell>
          <cell r="X211">
            <v>43171</v>
          </cell>
          <cell r="Y211">
            <v>43171</v>
          </cell>
          <cell r="Z211">
            <v>43172</v>
          </cell>
          <cell r="AA211">
            <v>43173</v>
          </cell>
          <cell r="AB211">
            <v>0</v>
          </cell>
        </row>
        <row r="212">
          <cell r="A212" t="str">
            <v>18-004</v>
          </cell>
          <cell r="B212" t="str">
            <v>Y</v>
          </cell>
          <cell r="C212" t="str">
            <v>Y</v>
          </cell>
          <cell r="D212" t="str">
            <v>Y</v>
          </cell>
          <cell r="E212" t="str">
            <v>Y</v>
          </cell>
          <cell r="F212">
            <v>1</v>
          </cell>
          <cell r="G212" t="str">
            <v>y</v>
          </cell>
          <cell r="H212">
            <v>43133</v>
          </cell>
          <cell r="I212">
            <v>43185</v>
          </cell>
          <cell r="J212">
            <v>43188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43119</v>
          </cell>
          <cell r="Q212">
            <v>43122</v>
          </cell>
          <cell r="R212">
            <v>2</v>
          </cell>
          <cell r="S212">
            <v>43192</v>
          </cell>
          <cell r="T212">
            <v>0</v>
          </cell>
          <cell r="U212">
            <v>43192</v>
          </cell>
          <cell r="V212">
            <v>43202</v>
          </cell>
          <cell r="W212">
            <v>43202</v>
          </cell>
          <cell r="X212">
            <v>43202</v>
          </cell>
          <cell r="Y212">
            <v>43202</v>
          </cell>
          <cell r="Z212">
            <v>43187</v>
          </cell>
          <cell r="AA212">
            <v>43213</v>
          </cell>
          <cell r="AB212">
            <v>0</v>
          </cell>
        </row>
        <row r="213">
          <cell r="A213" t="str">
            <v>18-005.1</v>
          </cell>
          <cell r="B213" t="str">
            <v>Y</v>
          </cell>
          <cell r="C213" t="str">
            <v>Y</v>
          </cell>
          <cell r="D213" t="str">
            <v>Y</v>
          </cell>
          <cell r="E213" t="str">
            <v>Y</v>
          </cell>
          <cell r="F213">
            <v>0</v>
          </cell>
          <cell r="G213" t="str">
            <v xml:space="preserve">  </v>
          </cell>
          <cell r="H213">
            <v>43160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 t="str">
            <v>NA</v>
          </cell>
          <cell r="Q213" t="str">
            <v>NA</v>
          </cell>
          <cell r="R213">
            <v>1</v>
          </cell>
          <cell r="S213">
            <v>0</v>
          </cell>
          <cell r="T213">
            <v>0</v>
          </cell>
          <cell r="U213">
            <v>0</v>
          </cell>
          <cell r="V213" t="str">
            <v>NA</v>
          </cell>
          <cell r="W213" t="str">
            <v>NA</v>
          </cell>
          <cell r="X213" t="str">
            <v>NA</v>
          </cell>
          <cell r="Y213" t="str">
            <v>NA</v>
          </cell>
          <cell r="Z213">
            <v>0</v>
          </cell>
          <cell r="AA213">
            <v>0</v>
          </cell>
          <cell r="AB213">
            <v>0</v>
          </cell>
        </row>
        <row r="214">
          <cell r="A214" t="str">
            <v>18-005.2</v>
          </cell>
          <cell r="B214" t="str">
            <v>Y</v>
          </cell>
          <cell r="C214" t="str">
            <v>Y</v>
          </cell>
          <cell r="D214" t="str">
            <v>Y</v>
          </cell>
          <cell r="E214" t="str">
            <v>Y</v>
          </cell>
          <cell r="F214">
            <v>0</v>
          </cell>
          <cell r="G214" t="str">
            <v xml:space="preserve">  </v>
          </cell>
          <cell r="H214">
            <v>43160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 t="str">
            <v>NA</v>
          </cell>
          <cell r="Q214" t="str">
            <v>NA</v>
          </cell>
          <cell r="R214">
            <v>1</v>
          </cell>
          <cell r="S214">
            <v>0</v>
          </cell>
          <cell r="T214">
            <v>0</v>
          </cell>
          <cell r="U214">
            <v>0</v>
          </cell>
          <cell r="V214" t="str">
            <v>NA</v>
          </cell>
          <cell r="W214" t="str">
            <v>NA</v>
          </cell>
          <cell r="X214" t="str">
            <v>NA</v>
          </cell>
          <cell r="Y214" t="str">
            <v>NA</v>
          </cell>
          <cell r="Z214">
            <v>0</v>
          </cell>
          <cell r="AA214">
            <v>0</v>
          </cell>
          <cell r="AB214">
            <v>0</v>
          </cell>
        </row>
        <row r="215">
          <cell r="A215" t="str">
            <v>18-005.3</v>
          </cell>
          <cell r="B215" t="str">
            <v>Y</v>
          </cell>
          <cell r="C215" t="str">
            <v>Y</v>
          </cell>
          <cell r="D215" t="str">
            <v>Y</v>
          </cell>
          <cell r="E215" t="str">
            <v>Y</v>
          </cell>
          <cell r="F215">
            <v>0</v>
          </cell>
          <cell r="G215" t="str">
            <v xml:space="preserve">  </v>
          </cell>
          <cell r="H215">
            <v>43160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 t="str">
            <v>NA</v>
          </cell>
          <cell r="Q215" t="str">
            <v>NA</v>
          </cell>
          <cell r="R215">
            <v>1</v>
          </cell>
          <cell r="S215">
            <v>0</v>
          </cell>
          <cell r="T215">
            <v>0</v>
          </cell>
          <cell r="U215">
            <v>0</v>
          </cell>
          <cell r="V215" t="str">
            <v>NA</v>
          </cell>
          <cell r="W215" t="str">
            <v>NA</v>
          </cell>
          <cell r="X215" t="str">
            <v>NA</v>
          </cell>
          <cell r="Y215" t="str">
            <v>NA</v>
          </cell>
          <cell r="Z215">
            <v>0</v>
          </cell>
          <cell r="AA215">
            <v>0</v>
          </cell>
          <cell r="AB215">
            <v>0</v>
          </cell>
        </row>
        <row r="216">
          <cell r="A216" t="str">
            <v>18-006</v>
          </cell>
          <cell r="B216" t="str">
            <v>Y</v>
          </cell>
          <cell r="C216" t="str">
            <v>N</v>
          </cell>
          <cell r="D216" t="str">
            <v>Y</v>
          </cell>
          <cell r="E216" t="str">
            <v>Y</v>
          </cell>
          <cell r="F216">
            <v>0</v>
          </cell>
          <cell r="G216" t="str">
            <v>y</v>
          </cell>
          <cell r="H216">
            <v>43152</v>
          </cell>
          <cell r="I216">
            <v>43167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42779</v>
          </cell>
          <cell r="Q216">
            <v>43143</v>
          </cell>
          <cell r="R216">
            <v>1</v>
          </cell>
          <cell r="S216">
            <v>43173</v>
          </cell>
          <cell r="T216">
            <v>0</v>
          </cell>
          <cell r="U216">
            <v>43173</v>
          </cell>
          <cell r="V216">
            <v>43174</v>
          </cell>
          <cell r="W216">
            <v>43175</v>
          </cell>
          <cell r="X216">
            <v>43175</v>
          </cell>
          <cell r="Y216">
            <v>43175</v>
          </cell>
          <cell r="Z216">
            <v>43174</v>
          </cell>
          <cell r="AA216">
            <v>43196</v>
          </cell>
          <cell r="AB216">
            <v>0</v>
          </cell>
        </row>
        <row r="217">
          <cell r="A217" t="str">
            <v>18-007</v>
          </cell>
          <cell r="B217" t="str">
            <v>Y</v>
          </cell>
          <cell r="C217" t="str">
            <v>N</v>
          </cell>
          <cell r="D217" t="str">
            <v>Y</v>
          </cell>
          <cell r="E217" t="str">
            <v>Y</v>
          </cell>
          <cell r="F217">
            <v>0</v>
          </cell>
          <cell r="G217" t="str">
            <v>y</v>
          </cell>
          <cell r="H217">
            <v>43152</v>
          </cell>
          <cell r="I217">
            <v>43167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42779</v>
          </cell>
          <cell r="Q217">
            <v>43143</v>
          </cell>
          <cell r="R217">
            <v>1</v>
          </cell>
          <cell r="S217">
            <v>43173</v>
          </cell>
          <cell r="T217">
            <v>0</v>
          </cell>
          <cell r="U217">
            <v>43173</v>
          </cell>
          <cell r="V217">
            <v>43174</v>
          </cell>
          <cell r="W217">
            <v>43175</v>
          </cell>
          <cell r="X217">
            <v>43175</v>
          </cell>
          <cell r="Y217">
            <v>43175</v>
          </cell>
          <cell r="Z217">
            <v>43174</v>
          </cell>
          <cell r="AA217">
            <v>43196</v>
          </cell>
          <cell r="AB217">
            <v>0</v>
          </cell>
        </row>
        <row r="218">
          <cell r="A218" t="str">
            <v>18-008</v>
          </cell>
          <cell r="B218" t="str">
            <v>Y</v>
          </cell>
          <cell r="C218" t="str">
            <v>N</v>
          </cell>
          <cell r="D218" t="str">
            <v>Y</v>
          </cell>
          <cell r="E218" t="str">
            <v>Y</v>
          </cell>
          <cell r="F218">
            <v>0</v>
          </cell>
          <cell r="G218" t="str">
            <v>y</v>
          </cell>
          <cell r="H218">
            <v>43152</v>
          </cell>
          <cell r="I218">
            <v>43167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42779</v>
          </cell>
          <cell r="Q218">
            <v>43143</v>
          </cell>
          <cell r="R218">
            <v>1</v>
          </cell>
          <cell r="S218">
            <v>43175</v>
          </cell>
          <cell r="T218">
            <v>0</v>
          </cell>
          <cell r="U218">
            <v>43175</v>
          </cell>
          <cell r="V218">
            <v>43179</v>
          </cell>
          <cell r="W218">
            <v>43180</v>
          </cell>
          <cell r="X218">
            <v>43181</v>
          </cell>
          <cell r="Y218">
            <v>43181</v>
          </cell>
          <cell r="Z218">
            <v>43202</v>
          </cell>
          <cell r="AA218">
            <v>43203</v>
          </cell>
          <cell r="AB218">
            <v>0</v>
          </cell>
        </row>
        <row r="219">
          <cell r="A219" t="str">
            <v>18-009</v>
          </cell>
          <cell r="B219" t="str">
            <v>Y</v>
          </cell>
          <cell r="C219" t="str">
            <v>Y</v>
          </cell>
          <cell r="D219" t="str">
            <v>Y</v>
          </cell>
          <cell r="E219" t="str">
            <v>Y</v>
          </cell>
          <cell r="F219">
            <v>1</v>
          </cell>
          <cell r="G219" t="str">
            <v>y</v>
          </cell>
          <cell r="H219">
            <v>43157</v>
          </cell>
          <cell r="I219">
            <v>43159</v>
          </cell>
          <cell r="J219">
            <v>43171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42782</v>
          </cell>
          <cell r="Q219">
            <v>43146</v>
          </cell>
          <cell r="R219">
            <v>2</v>
          </cell>
          <cell r="S219">
            <v>43171</v>
          </cell>
          <cell r="T219">
            <v>0</v>
          </cell>
          <cell r="U219">
            <v>43171</v>
          </cell>
          <cell r="V219">
            <v>43158</v>
          </cell>
          <cell r="W219">
            <v>43158</v>
          </cell>
          <cell r="X219">
            <v>43159</v>
          </cell>
          <cell r="Y219">
            <v>43159</v>
          </cell>
          <cell r="Z219">
            <v>43161</v>
          </cell>
          <cell r="AA219">
            <v>43164</v>
          </cell>
          <cell r="AB219">
            <v>0</v>
          </cell>
        </row>
        <row r="220">
          <cell r="A220" t="str">
            <v>18-010</v>
          </cell>
          <cell r="B220" t="str">
            <v>Y</v>
          </cell>
          <cell r="C220" t="str">
            <v>Y</v>
          </cell>
          <cell r="D220" t="str">
            <v>Y</v>
          </cell>
          <cell r="E220" t="str">
            <v>Y</v>
          </cell>
          <cell r="F220">
            <v>1</v>
          </cell>
          <cell r="G220" t="str">
            <v>y</v>
          </cell>
          <cell r="H220">
            <v>43157</v>
          </cell>
          <cell r="I220">
            <v>43171</v>
          </cell>
          <cell r="J220">
            <v>43171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43154</v>
          </cell>
          <cell r="Q220">
            <v>43152</v>
          </cell>
          <cell r="R220">
            <v>2</v>
          </cell>
          <cell r="S220">
            <v>43171</v>
          </cell>
          <cell r="T220">
            <v>0</v>
          </cell>
          <cell r="U220">
            <v>43171</v>
          </cell>
          <cell r="V220">
            <v>43160</v>
          </cell>
          <cell r="W220">
            <v>43160</v>
          </cell>
          <cell r="X220">
            <v>43160</v>
          </cell>
          <cell r="Y220">
            <v>43160</v>
          </cell>
          <cell r="Z220">
            <v>43161</v>
          </cell>
          <cell r="AA220">
            <v>43164</v>
          </cell>
          <cell r="AB220">
            <v>0</v>
          </cell>
        </row>
        <row r="221">
          <cell r="A221" t="str">
            <v>18-011</v>
          </cell>
          <cell r="B221" t="str">
            <v>Y</v>
          </cell>
          <cell r="C221" t="str">
            <v>Y</v>
          </cell>
          <cell r="D221" t="str">
            <v>Y</v>
          </cell>
          <cell r="E221" t="str">
            <v>Y</v>
          </cell>
          <cell r="F221">
            <v>1</v>
          </cell>
          <cell r="G221" t="str">
            <v>y</v>
          </cell>
          <cell r="H221">
            <v>43157</v>
          </cell>
          <cell r="I221">
            <v>43171</v>
          </cell>
          <cell r="J221">
            <v>43171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43154</v>
          </cell>
          <cell r="Q221">
            <v>43152</v>
          </cell>
          <cell r="R221">
            <v>2</v>
          </cell>
          <cell r="S221">
            <v>43171</v>
          </cell>
          <cell r="T221">
            <v>0</v>
          </cell>
          <cell r="U221">
            <v>43171</v>
          </cell>
          <cell r="V221">
            <v>43160</v>
          </cell>
          <cell r="W221">
            <v>43160</v>
          </cell>
          <cell r="X221">
            <v>43160</v>
          </cell>
          <cell r="Y221">
            <v>43160</v>
          </cell>
          <cell r="Z221">
            <v>43161</v>
          </cell>
          <cell r="AA221">
            <v>43164</v>
          </cell>
          <cell r="AB221">
            <v>0</v>
          </cell>
        </row>
        <row r="222">
          <cell r="A222" t="str">
            <v>18-012</v>
          </cell>
          <cell r="B222" t="str">
            <v>Y</v>
          </cell>
          <cell r="C222" t="str">
            <v>Y</v>
          </cell>
          <cell r="D222" t="str">
            <v>Y</v>
          </cell>
          <cell r="E222" t="str">
            <v>Y</v>
          </cell>
          <cell r="F222">
            <v>0</v>
          </cell>
          <cell r="G222" t="str">
            <v xml:space="preserve">  </v>
          </cell>
          <cell r="H222">
            <v>43173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43151</v>
          </cell>
          <cell r="Q222">
            <v>43151</v>
          </cell>
          <cell r="R222">
            <v>1</v>
          </cell>
          <cell r="S222">
            <v>0</v>
          </cell>
          <cell r="T222">
            <v>0</v>
          </cell>
          <cell r="U222">
            <v>0</v>
          </cell>
          <cell r="V222" t="str">
            <v>NA</v>
          </cell>
          <cell r="W222" t="str">
            <v>NA</v>
          </cell>
          <cell r="X222" t="str">
            <v>NA</v>
          </cell>
          <cell r="Y222" t="str">
            <v>NA</v>
          </cell>
          <cell r="Z222" t="str">
            <v>NA</v>
          </cell>
          <cell r="AA222">
            <v>0</v>
          </cell>
          <cell r="AB222">
            <v>0</v>
          </cell>
        </row>
        <row r="223">
          <cell r="A223" t="str">
            <v>18-013</v>
          </cell>
          <cell r="B223" t="str">
            <v>Y</v>
          </cell>
          <cell r="C223" t="str">
            <v>N</v>
          </cell>
          <cell r="D223" t="str">
            <v>Y</v>
          </cell>
          <cell r="E223" t="str">
            <v>Y</v>
          </cell>
          <cell r="F223">
            <v>0</v>
          </cell>
          <cell r="G223" t="str">
            <v>y</v>
          </cell>
          <cell r="H223">
            <v>43164</v>
          </cell>
          <cell r="I223">
            <v>43167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43157</v>
          </cell>
          <cell r="Q223">
            <v>43157</v>
          </cell>
          <cell r="R223">
            <v>1</v>
          </cell>
          <cell r="S223">
            <v>43172</v>
          </cell>
          <cell r="T223">
            <v>0</v>
          </cell>
          <cell r="U223">
            <v>43172</v>
          </cell>
          <cell r="V223">
            <v>43193</v>
          </cell>
          <cell r="W223">
            <v>43193</v>
          </cell>
          <cell r="X223">
            <v>43194</v>
          </cell>
          <cell r="Y223">
            <v>43194</v>
          </cell>
          <cell r="Z223">
            <v>43193</v>
          </cell>
          <cell r="AA223">
            <v>43194</v>
          </cell>
          <cell r="AB223">
            <v>0</v>
          </cell>
        </row>
        <row r="224">
          <cell r="A224" t="str">
            <v>18-014</v>
          </cell>
          <cell r="B224" t="str">
            <v>Y</v>
          </cell>
          <cell r="C224" t="str">
            <v>N</v>
          </cell>
          <cell r="D224" t="str">
            <v>Y</v>
          </cell>
          <cell r="E224" t="str">
            <v>Y</v>
          </cell>
          <cell r="F224">
            <v>0</v>
          </cell>
          <cell r="G224" t="str">
            <v>y</v>
          </cell>
          <cell r="H224">
            <v>43171</v>
          </cell>
          <cell r="I224">
            <v>43175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43157</v>
          </cell>
          <cell r="Q224">
            <v>43157</v>
          </cell>
          <cell r="R224">
            <v>1</v>
          </cell>
          <cell r="S224">
            <v>43178</v>
          </cell>
          <cell r="T224">
            <v>0</v>
          </cell>
          <cell r="U224">
            <v>43178</v>
          </cell>
          <cell r="V224">
            <v>43181</v>
          </cell>
          <cell r="W224">
            <v>43181</v>
          </cell>
          <cell r="X224">
            <v>43185</v>
          </cell>
          <cell r="Y224">
            <v>43185</v>
          </cell>
          <cell r="Z224">
            <v>43200</v>
          </cell>
          <cell r="AA224">
            <v>43201</v>
          </cell>
          <cell r="AB224">
            <v>0</v>
          </cell>
        </row>
        <row r="225">
          <cell r="A225" t="str">
            <v>18-015</v>
          </cell>
          <cell r="B225" t="str">
            <v>Y</v>
          </cell>
          <cell r="C225" t="str">
            <v>N</v>
          </cell>
          <cell r="D225" t="str">
            <v>Y</v>
          </cell>
          <cell r="E225" t="str">
            <v>Y</v>
          </cell>
          <cell r="F225">
            <v>0</v>
          </cell>
          <cell r="G225" t="str">
            <v>y</v>
          </cell>
          <cell r="H225">
            <v>43173</v>
          </cell>
          <cell r="I225">
            <v>43180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43181</v>
          </cell>
          <cell r="Q225">
            <v>43181</v>
          </cell>
          <cell r="R225">
            <v>1</v>
          </cell>
          <cell r="S225">
            <v>43180</v>
          </cell>
          <cell r="T225">
            <v>0</v>
          </cell>
          <cell r="U225">
            <v>43180</v>
          </cell>
          <cell r="V225">
            <v>43182</v>
          </cell>
          <cell r="W225">
            <v>43182</v>
          </cell>
          <cell r="X225">
            <v>43186</v>
          </cell>
          <cell r="Y225">
            <v>43186</v>
          </cell>
          <cell r="Z225">
            <v>43192</v>
          </cell>
          <cell r="AA225">
            <v>43231</v>
          </cell>
          <cell r="AB225">
            <v>0</v>
          </cell>
        </row>
        <row r="226">
          <cell r="A226" t="str">
            <v>18-016</v>
          </cell>
          <cell r="B226" t="str">
            <v>Y</v>
          </cell>
          <cell r="C226" t="str">
            <v>N</v>
          </cell>
          <cell r="D226" t="str">
            <v>Y</v>
          </cell>
          <cell r="E226" t="str">
            <v>Y</v>
          </cell>
          <cell r="F226">
            <v>0</v>
          </cell>
          <cell r="G226" t="str">
            <v>y</v>
          </cell>
          <cell r="H226">
            <v>43173</v>
          </cell>
          <cell r="I226">
            <v>43180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43181</v>
          </cell>
          <cell r="Q226">
            <v>43181</v>
          </cell>
          <cell r="R226">
            <v>1</v>
          </cell>
          <cell r="S226">
            <v>43180</v>
          </cell>
          <cell r="T226">
            <v>0</v>
          </cell>
          <cell r="U226">
            <v>43180</v>
          </cell>
          <cell r="V226">
            <v>43182</v>
          </cell>
          <cell r="W226">
            <v>43182</v>
          </cell>
          <cell r="X226">
            <v>43186</v>
          </cell>
          <cell r="Y226">
            <v>43186</v>
          </cell>
          <cell r="Z226">
            <v>43192</v>
          </cell>
          <cell r="AA226">
            <v>43231</v>
          </cell>
          <cell r="AB226">
            <v>0</v>
          </cell>
        </row>
        <row r="227">
          <cell r="A227" t="str">
            <v>18-017</v>
          </cell>
          <cell r="B227" t="str">
            <v>Y</v>
          </cell>
          <cell r="C227" t="str">
            <v>N</v>
          </cell>
          <cell r="D227" t="str">
            <v>Y</v>
          </cell>
          <cell r="E227" t="str">
            <v>Y</v>
          </cell>
          <cell r="F227">
            <v>0</v>
          </cell>
          <cell r="G227" t="str">
            <v>y</v>
          </cell>
          <cell r="H227">
            <v>43173</v>
          </cell>
          <cell r="I227">
            <v>43180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43181</v>
          </cell>
          <cell r="Q227">
            <v>43181</v>
          </cell>
          <cell r="R227">
            <v>1</v>
          </cell>
          <cell r="S227">
            <v>43180</v>
          </cell>
          <cell r="T227">
            <v>0</v>
          </cell>
          <cell r="U227">
            <v>43180</v>
          </cell>
          <cell r="V227">
            <v>43182</v>
          </cell>
          <cell r="W227">
            <v>43182</v>
          </cell>
          <cell r="X227">
            <v>43186</v>
          </cell>
          <cell r="Y227">
            <v>43186</v>
          </cell>
          <cell r="Z227">
            <v>43192</v>
          </cell>
          <cell r="AA227">
            <v>43231</v>
          </cell>
          <cell r="AB227">
            <v>0</v>
          </cell>
        </row>
        <row r="228">
          <cell r="A228" t="str">
            <v>18-018</v>
          </cell>
          <cell r="B228" t="str">
            <v>N</v>
          </cell>
          <cell r="C228" t="str">
            <v>Y</v>
          </cell>
          <cell r="D228" t="str">
            <v>Y</v>
          </cell>
          <cell r="E228" t="str">
            <v>Y</v>
          </cell>
          <cell r="F228" t="str">
            <v xml:space="preserve">  </v>
          </cell>
          <cell r="G228" t="str">
            <v xml:space="preserve">  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 t="str">
            <v>NA</v>
          </cell>
          <cell r="Q228" t="str">
            <v>NA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 t="str">
            <v>NA</v>
          </cell>
          <cell r="W228" t="str">
            <v>NA</v>
          </cell>
          <cell r="X228" t="str">
            <v>NA</v>
          </cell>
          <cell r="Y228" t="str">
            <v>NA</v>
          </cell>
          <cell r="Z228">
            <v>0</v>
          </cell>
          <cell r="AA228">
            <v>0</v>
          </cell>
          <cell r="AB228">
            <v>0</v>
          </cell>
        </row>
        <row r="229">
          <cell r="A229" t="str">
            <v>18-019</v>
          </cell>
          <cell r="B229" t="str">
            <v>Y</v>
          </cell>
          <cell r="C229" t="str">
            <v>Y</v>
          </cell>
          <cell r="D229" t="str">
            <v>Y</v>
          </cell>
          <cell r="E229" t="str">
            <v>Y</v>
          </cell>
          <cell r="F229">
            <v>2</v>
          </cell>
          <cell r="G229" t="str">
            <v>y</v>
          </cell>
          <cell r="H229">
            <v>43188</v>
          </cell>
          <cell r="I229">
            <v>43196</v>
          </cell>
          <cell r="J229">
            <v>43203</v>
          </cell>
          <cell r="K229">
            <v>43215</v>
          </cell>
          <cell r="L229">
            <v>43217</v>
          </cell>
          <cell r="M229">
            <v>0</v>
          </cell>
          <cell r="N229">
            <v>0</v>
          </cell>
          <cell r="O229">
            <v>0</v>
          </cell>
          <cell r="P229">
            <v>43178</v>
          </cell>
          <cell r="Q229">
            <v>43179</v>
          </cell>
          <cell r="R229">
            <v>3</v>
          </cell>
          <cell r="S229">
            <v>43203</v>
          </cell>
          <cell r="T229">
            <v>0</v>
          </cell>
          <cell r="U229">
            <v>43203</v>
          </cell>
          <cell r="V229">
            <v>43221</v>
          </cell>
          <cell r="W229">
            <v>43221</v>
          </cell>
          <cell r="X229">
            <v>43222</v>
          </cell>
          <cell r="Y229">
            <v>43229</v>
          </cell>
          <cell r="Z229">
            <v>43224</v>
          </cell>
          <cell r="AA229">
            <v>43231</v>
          </cell>
          <cell r="AB229">
            <v>0</v>
          </cell>
        </row>
        <row r="230">
          <cell r="A230" t="str">
            <v>18-020</v>
          </cell>
          <cell r="B230" t="str">
            <v>Y</v>
          </cell>
          <cell r="C230" t="str">
            <v>Y</v>
          </cell>
          <cell r="D230" t="str">
            <v>Y</v>
          </cell>
          <cell r="E230" t="str">
            <v>Y</v>
          </cell>
          <cell r="F230">
            <v>2</v>
          </cell>
          <cell r="G230" t="str">
            <v>y</v>
          </cell>
          <cell r="H230">
            <v>43188</v>
          </cell>
          <cell r="I230">
            <v>43196</v>
          </cell>
          <cell r="J230">
            <v>43203</v>
          </cell>
          <cell r="K230">
            <v>43215</v>
          </cell>
          <cell r="L230">
            <v>43217</v>
          </cell>
          <cell r="M230">
            <v>0</v>
          </cell>
          <cell r="N230">
            <v>0</v>
          </cell>
          <cell r="O230">
            <v>0</v>
          </cell>
          <cell r="P230">
            <v>43178</v>
          </cell>
          <cell r="Q230">
            <v>43179</v>
          </cell>
          <cell r="R230">
            <v>3</v>
          </cell>
          <cell r="S230">
            <v>43203</v>
          </cell>
          <cell r="T230">
            <v>0</v>
          </cell>
          <cell r="U230">
            <v>43203</v>
          </cell>
          <cell r="V230">
            <v>43221</v>
          </cell>
          <cell r="W230">
            <v>43221</v>
          </cell>
          <cell r="X230">
            <v>43222</v>
          </cell>
          <cell r="Y230">
            <v>43229</v>
          </cell>
          <cell r="Z230">
            <v>43224</v>
          </cell>
          <cell r="AA230">
            <v>43231</v>
          </cell>
          <cell r="AB230">
            <v>0</v>
          </cell>
        </row>
        <row r="231">
          <cell r="A231" t="str">
            <v>18-021</v>
          </cell>
          <cell r="B231" t="str">
            <v>Y</v>
          </cell>
          <cell r="C231" t="str">
            <v>Y</v>
          </cell>
          <cell r="D231" t="str">
            <v>Y</v>
          </cell>
          <cell r="E231" t="str">
            <v>Y</v>
          </cell>
          <cell r="F231">
            <v>2</v>
          </cell>
          <cell r="G231" t="str">
            <v>y</v>
          </cell>
          <cell r="H231">
            <v>43188</v>
          </cell>
          <cell r="I231">
            <v>43196</v>
          </cell>
          <cell r="J231">
            <v>43203</v>
          </cell>
          <cell r="K231">
            <v>43215</v>
          </cell>
          <cell r="L231">
            <v>43217</v>
          </cell>
          <cell r="M231">
            <v>0</v>
          </cell>
          <cell r="N231">
            <v>0</v>
          </cell>
          <cell r="O231">
            <v>0</v>
          </cell>
          <cell r="P231">
            <v>43178</v>
          </cell>
          <cell r="Q231">
            <v>43179</v>
          </cell>
          <cell r="R231">
            <v>3</v>
          </cell>
          <cell r="S231">
            <v>43203</v>
          </cell>
          <cell r="T231">
            <v>0</v>
          </cell>
          <cell r="U231">
            <v>43203</v>
          </cell>
          <cell r="V231">
            <v>43221</v>
          </cell>
          <cell r="W231">
            <v>43221</v>
          </cell>
          <cell r="X231">
            <v>43222</v>
          </cell>
          <cell r="Y231">
            <v>43229</v>
          </cell>
          <cell r="Z231">
            <v>43224</v>
          </cell>
          <cell r="AA231">
            <v>43231</v>
          </cell>
          <cell r="AB231">
            <v>0</v>
          </cell>
        </row>
        <row r="232">
          <cell r="A232" t="str">
            <v>18-022</v>
          </cell>
          <cell r="B232" t="str">
            <v>Y</v>
          </cell>
          <cell r="C232" t="str">
            <v>Y</v>
          </cell>
          <cell r="D232" t="str">
            <v>Y</v>
          </cell>
          <cell r="E232" t="str">
            <v>Y</v>
          </cell>
          <cell r="F232">
            <v>1</v>
          </cell>
          <cell r="G232" t="str">
            <v>y</v>
          </cell>
          <cell r="H232">
            <v>43194</v>
          </cell>
          <cell r="I232">
            <v>43209</v>
          </cell>
          <cell r="J232">
            <v>43213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43186</v>
          </cell>
          <cell r="Q232">
            <v>43185</v>
          </cell>
          <cell r="R232">
            <v>2</v>
          </cell>
          <cell r="S232">
            <v>43213</v>
          </cell>
          <cell r="T232">
            <v>0</v>
          </cell>
          <cell r="U232">
            <v>43213</v>
          </cell>
          <cell r="V232">
            <v>43210</v>
          </cell>
          <cell r="W232">
            <v>43215</v>
          </cell>
          <cell r="X232">
            <v>43215</v>
          </cell>
          <cell r="Y232">
            <v>43215</v>
          </cell>
          <cell r="Z232">
            <v>43237</v>
          </cell>
          <cell r="AA232">
            <v>43241</v>
          </cell>
          <cell r="AB232">
            <v>0</v>
          </cell>
        </row>
        <row r="233">
          <cell r="A233" t="str">
            <v>18-023</v>
          </cell>
          <cell r="B233" t="str">
            <v>Y</v>
          </cell>
          <cell r="C233" t="str">
            <v>Y</v>
          </cell>
          <cell r="D233" t="str">
            <v>Y</v>
          </cell>
          <cell r="E233" t="str">
            <v>Y</v>
          </cell>
          <cell r="F233">
            <v>2</v>
          </cell>
          <cell r="G233" t="str">
            <v>y</v>
          </cell>
          <cell r="H233">
            <v>43194</v>
          </cell>
          <cell r="I233">
            <v>43206</v>
          </cell>
          <cell r="J233">
            <v>43207</v>
          </cell>
          <cell r="K233">
            <v>43227</v>
          </cell>
          <cell r="L233">
            <v>43229</v>
          </cell>
          <cell r="M233">
            <v>0</v>
          </cell>
          <cell r="N233">
            <v>0</v>
          </cell>
          <cell r="O233">
            <v>0</v>
          </cell>
          <cell r="P233">
            <v>43186</v>
          </cell>
          <cell r="Q233">
            <v>43185</v>
          </cell>
          <cell r="R233">
            <v>3</v>
          </cell>
          <cell r="S233">
            <v>43229</v>
          </cell>
          <cell r="T233">
            <v>0</v>
          </cell>
          <cell r="U233">
            <v>43229</v>
          </cell>
          <cell r="V233">
            <v>43236</v>
          </cell>
          <cell r="W233">
            <v>43238</v>
          </cell>
          <cell r="X233">
            <v>43242</v>
          </cell>
          <cell r="Y233">
            <v>43242</v>
          </cell>
          <cell r="Z233">
            <v>43237</v>
          </cell>
          <cell r="AA233">
            <v>43241</v>
          </cell>
          <cell r="AB233">
            <v>0</v>
          </cell>
        </row>
        <row r="234">
          <cell r="A234" t="str">
            <v>18-024</v>
          </cell>
          <cell r="B234" t="str">
            <v>Y</v>
          </cell>
          <cell r="C234" t="str">
            <v>Y</v>
          </cell>
          <cell r="D234" t="str">
            <v>Y</v>
          </cell>
          <cell r="E234" t="str">
            <v>Y</v>
          </cell>
          <cell r="F234">
            <v>2</v>
          </cell>
          <cell r="G234" t="str">
            <v>y</v>
          </cell>
          <cell r="H234">
            <v>43131</v>
          </cell>
          <cell r="I234">
            <v>43144</v>
          </cell>
          <cell r="J234">
            <v>43159</v>
          </cell>
          <cell r="K234">
            <v>43214</v>
          </cell>
          <cell r="L234">
            <v>43222</v>
          </cell>
          <cell r="M234">
            <v>0</v>
          </cell>
          <cell r="N234">
            <v>0</v>
          </cell>
          <cell r="O234">
            <v>0</v>
          </cell>
          <cell r="P234">
            <v>43187</v>
          </cell>
          <cell r="Q234">
            <v>43186</v>
          </cell>
          <cell r="R234">
            <v>3</v>
          </cell>
          <cell r="S234">
            <v>43222</v>
          </cell>
          <cell r="T234">
            <v>0</v>
          </cell>
          <cell r="U234">
            <v>43222</v>
          </cell>
          <cell r="V234">
            <v>43229</v>
          </cell>
          <cell r="W234">
            <v>43229</v>
          </cell>
          <cell r="X234">
            <v>43230</v>
          </cell>
          <cell r="Y234">
            <v>43230</v>
          </cell>
          <cell r="Z234">
            <v>43229</v>
          </cell>
          <cell r="AA234">
            <v>43234</v>
          </cell>
          <cell r="AB234">
            <v>0</v>
          </cell>
        </row>
        <row r="235">
          <cell r="A235" t="str">
            <v>18-025</v>
          </cell>
          <cell r="B235" t="str">
            <v>Y</v>
          </cell>
          <cell r="C235" t="str">
            <v>Y</v>
          </cell>
          <cell r="D235" t="str">
            <v>Y</v>
          </cell>
          <cell r="E235" t="str">
            <v>Y</v>
          </cell>
          <cell r="F235">
            <v>2</v>
          </cell>
          <cell r="G235" t="str">
            <v>y</v>
          </cell>
          <cell r="H235">
            <v>43131</v>
          </cell>
          <cell r="I235">
            <v>43144</v>
          </cell>
          <cell r="J235">
            <v>43159</v>
          </cell>
          <cell r="K235">
            <v>43214</v>
          </cell>
          <cell r="L235">
            <v>43222</v>
          </cell>
          <cell r="M235">
            <v>0</v>
          </cell>
          <cell r="N235">
            <v>0</v>
          </cell>
          <cell r="O235">
            <v>0</v>
          </cell>
          <cell r="P235">
            <v>43187</v>
          </cell>
          <cell r="Q235">
            <v>43186</v>
          </cell>
          <cell r="R235">
            <v>3</v>
          </cell>
          <cell r="S235">
            <v>43222</v>
          </cell>
          <cell r="T235">
            <v>0</v>
          </cell>
          <cell r="U235">
            <v>43222</v>
          </cell>
          <cell r="V235">
            <v>43232</v>
          </cell>
          <cell r="W235">
            <v>43232</v>
          </cell>
          <cell r="X235">
            <v>43235</v>
          </cell>
          <cell r="Y235">
            <v>43235</v>
          </cell>
          <cell r="Z235">
            <v>43229</v>
          </cell>
          <cell r="AA235">
            <v>43234</v>
          </cell>
          <cell r="AB235">
            <v>0</v>
          </cell>
        </row>
        <row r="236">
          <cell r="A236" t="str">
            <v>18-026</v>
          </cell>
          <cell r="B236" t="str">
            <v>Y</v>
          </cell>
          <cell r="C236" t="str">
            <v>Y</v>
          </cell>
          <cell r="D236" t="str">
            <v>Y</v>
          </cell>
          <cell r="E236" t="str">
            <v>Y</v>
          </cell>
          <cell r="F236">
            <v>2</v>
          </cell>
          <cell r="G236" t="str">
            <v>y</v>
          </cell>
          <cell r="H236">
            <v>43131</v>
          </cell>
          <cell r="I236">
            <v>43144</v>
          </cell>
          <cell r="J236">
            <v>43159</v>
          </cell>
          <cell r="K236">
            <v>43214</v>
          </cell>
          <cell r="L236">
            <v>43222</v>
          </cell>
          <cell r="M236">
            <v>0</v>
          </cell>
          <cell r="N236">
            <v>0</v>
          </cell>
          <cell r="O236">
            <v>0</v>
          </cell>
          <cell r="P236">
            <v>43187</v>
          </cell>
          <cell r="Q236">
            <v>43186</v>
          </cell>
          <cell r="R236">
            <v>3</v>
          </cell>
          <cell r="S236">
            <v>43222</v>
          </cell>
          <cell r="T236">
            <v>0</v>
          </cell>
          <cell r="U236">
            <v>43222</v>
          </cell>
          <cell r="V236">
            <v>43232</v>
          </cell>
          <cell r="W236">
            <v>43235</v>
          </cell>
          <cell r="X236">
            <v>43235</v>
          </cell>
          <cell r="Y236">
            <v>43235</v>
          </cell>
          <cell r="Z236">
            <v>43229</v>
          </cell>
          <cell r="AA236">
            <v>43234</v>
          </cell>
          <cell r="AB236">
            <v>0</v>
          </cell>
        </row>
        <row r="237">
          <cell r="A237" t="str">
            <v>18-027</v>
          </cell>
          <cell r="B237" t="str">
            <v>N</v>
          </cell>
          <cell r="C237" t="str">
            <v>Y</v>
          </cell>
          <cell r="D237" t="str">
            <v>Y</v>
          </cell>
          <cell r="E237" t="str">
            <v>Y</v>
          </cell>
          <cell r="F237" t="str">
            <v xml:space="preserve">  </v>
          </cell>
          <cell r="G237" t="str">
            <v xml:space="preserve">  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 t="str">
            <v>NA</v>
          </cell>
          <cell r="Q237" t="str">
            <v>NA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 t="str">
            <v>NA</v>
          </cell>
          <cell r="W237" t="str">
            <v>NA</v>
          </cell>
          <cell r="X237" t="str">
            <v>NA</v>
          </cell>
          <cell r="Y237" t="str">
            <v>NA</v>
          </cell>
          <cell r="Z237">
            <v>0</v>
          </cell>
          <cell r="AA237">
            <v>0</v>
          </cell>
          <cell r="AB237">
            <v>0</v>
          </cell>
        </row>
        <row r="238">
          <cell r="A238" t="str">
            <v>18-028</v>
          </cell>
          <cell r="B238" t="str">
            <v>Y</v>
          </cell>
          <cell r="C238" t="str">
            <v>Y</v>
          </cell>
          <cell r="D238" t="str">
            <v>Y</v>
          </cell>
          <cell r="E238" t="str">
            <v>Y</v>
          </cell>
          <cell r="F238">
            <v>2</v>
          </cell>
          <cell r="G238" t="str">
            <v>y</v>
          </cell>
          <cell r="H238">
            <v>43207</v>
          </cell>
          <cell r="I238">
            <v>43216</v>
          </cell>
          <cell r="J238">
            <v>43224</v>
          </cell>
          <cell r="K238">
            <v>43230</v>
          </cell>
          <cell r="L238">
            <v>43242</v>
          </cell>
          <cell r="M238">
            <v>0</v>
          </cell>
          <cell r="N238">
            <v>0</v>
          </cell>
          <cell r="O238">
            <v>0</v>
          </cell>
          <cell r="P238">
            <v>43193</v>
          </cell>
          <cell r="Q238">
            <v>43187</v>
          </cell>
          <cell r="R238">
            <v>3</v>
          </cell>
          <cell r="S238">
            <v>43242</v>
          </cell>
          <cell r="T238">
            <v>0</v>
          </cell>
          <cell r="U238">
            <v>43242</v>
          </cell>
          <cell r="V238">
            <v>43249</v>
          </cell>
          <cell r="W238">
            <v>43250</v>
          </cell>
          <cell r="X238">
            <v>43255</v>
          </cell>
          <cell r="Y238">
            <v>43255</v>
          </cell>
          <cell r="Z238">
            <v>43251</v>
          </cell>
          <cell r="AA238">
            <v>43269</v>
          </cell>
          <cell r="AB238">
            <v>0</v>
          </cell>
        </row>
        <row r="239">
          <cell r="A239" t="str">
            <v>18-029</v>
          </cell>
          <cell r="B239" t="str">
            <v>Y</v>
          </cell>
          <cell r="C239" t="str">
            <v>Y</v>
          </cell>
          <cell r="D239" t="str">
            <v>Y</v>
          </cell>
          <cell r="E239" t="str">
            <v>Y</v>
          </cell>
          <cell r="F239">
            <v>2</v>
          </cell>
          <cell r="G239" t="str">
            <v>y</v>
          </cell>
          <cell r="H239">
            <v>43207</v>
          </cell>
          <cell r="I239">
            <v>43216</v>
          </cell>
          <cell r="J239">
            <v>43224</v>
          </cell>
          <cell r="K239">
            <v>43230</v>
          </cell>
          <cell r="L239">
            <v>43242</v>
          </cell>
          <cell r="M239">
            <v>0</v>
          </cell>
          <cell r="N239">
            <v>0</v>
          </cell>
          <cell r="O239">
            <v>0</v>
          </cell>
          <cell r="P239">
            <v>43193</v>
          </cell>
          <cell r="Q239">
            <v>43187</v>
          </cell>
          <cell r="R239">
            <v>3</v>
          </cell>
          <cell r="S239">
            <v>43242</v>
          </cell>
          <cell r="T239">
            <v>0</v>
          </cell>
          <cell r="U239">
            <v>43242</v>
          </cell>
          <cell r="V239">
            <v>43249</v>
          </cell>
          <cell r="W239">
            <v>43250</v>
          </cell>
          <cell r="X239">
            <v>43255</v>
          </cell>
          <cell r="Y239">
            <v>43255</v>
          </cell>
          <cell r="Z239">
            <v>43251</v>
          </cell>
          <cell r="AA239">
            <v>43269</v>
          </cell>
          <cell r="AB239">
            <v>0</v>
          </cell>
        </row>
        <row r="240">
          <cell r="A240" t="str">
            <v>18-030</v>
          </cell>
          <cell r="B240" t="str">
            <v>Y</v>
          </cell>
          <cell r="C240" t="str">
            <v>Y</v>
          </cell>
          <cell r="D240" t="str">
            <v>Y</v>
          </cell>
          <cell r="E240" t="str">
            <v>Y</v>
          </cell>
          <cell r="F240">
            <v>1</v>
          </cell>
          <cell r="G240" t="str">
            <v>y</v>
          </cell>
          <cell r="H240">
            <v>43207</v>
          </cell>
          <cell r="I240">
            <v>43216</v>
          </cell>
          <cell r="J240">
            <v>43223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43193</v>
          </cell>
          <cell r="Q240">
            <v>43187</v>
          </cell>
          <cell r="R240">
            <v>2</v>
          </cell>
          <cell r="S240">
            <v>43223</v>
          </cell>
          <cell r="T240">
            <v>0</v>
          </cell>
          <cell r="U240">
            <v>43223</v>
          </cell>
          <cell r="V240">
            <v>43229</v>
          </cell>
          <cell r="W240">
            <v>43229</v>
          </cell>
          <cell r="X240">
            <v>43230</v>
          </cell>
          <cell r="Y240">
            <v>43230</v>
          </cell>
          <cell r="Z240">
            <v>43252</v>
          </cell>
          <cell r="AA240">
            <v>43286</v>
          </cell>
          <cell r="AB240">
            <v>0</v>
          </cell>
        </row>
        <row r="241">
          <cell r="A241" t="str">
            <v>18-031</v>
          </cell>
          <cell r="B241" t="str">
            <v>Y</v>
          </cell>
          <cell r="C241" t="str">
            <v>N</v>
          </cell>
          <cell r="D241" t="str">
            <v>Y</v>
          </cell>
          <cell r="E241" t="str">
            <v>Y</v>
          </cell>
          <cell r="F241">
            <v>0</v>
          </cell>
          <cell r="G241" t="str">
            <v>y</v>
          </cell>
          <cell r="H241">
            <v>43220</v>
          </cell>
          <cell r="I241">
            <v>43221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1</v>
          </cell>
          <cell r="S241">
            <v>43221</v>
          </cell>
          <cell r="T241">
            <v>0</v>
          </cell>
          <cell r="U241">
            <v>43221</v>
          </cell>
          <cell r="V241">
            <v>43223</v>
          </cell>
          <cell r="W241">
            <v>43223</v>
          </cell>
          <cell r="X241">
            <v>43224</v>
          </cell>
          <cell r="Y241">
            <v>43224</v>
          </cell>
          <cell r="Z241">
            <v>43264</v>
          </cell>
          <cell r="AA241">
            <v>43284</v>
          </cell>
          <cell r="AB241">
            <v>0</v>
          </cell>
        </row>
        <row r="242">
          <cell r="A242" t="str">
            <v>18-032</v>
          </cell>
          <cell r="B242" t="str">
            <v>N</v>
          </cell>
          <cell r="C242" t="str">
            <v>Y</v>
          </cell>
          <cell r="D242" t="str">
            <v>Y</v>
          </cell>
          <cell r="E242" t="str">
            <v>Y</v>
          </cell>
          <cell r="F242" t="str">
            <v xml:space="preserve">  </v>
          </cell>
          <cell r="G242" t="str">
            <v xml:space="preserve">  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43209</v>
          </cell>
          <cell r="Q242">
            <v>43208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43213</v>
          </cell>
          <cell r="W242">
            <v>43213</v>
          </cell>
          <cell r="X242">
            <v>43213</v>
          </cell>
          <cell r="Y242">
            <v>43213</v>
          </cell>
          <cell r="Z242">
            <v>43213</v>
          </cell>
          <cell r="AA242">
            <v>43214</v>
          </cell>
          <cell r="AB242">
            <v>0</v>
          </cell>
        </row>
        <row r="243">
          <cell r="A243" t="str">
            <v>18-033</v>
          </cell>
          <cell r="B243" t="str">
            <v>Y</v>
          </cell>
          <cell r="C243" t="str">
            <v>Y</v>
          </cell>
          <cell r="D243" t="str">
            <v>Y</v>
          </cell>
          <cell r="E243" t="str">
            <v>Y</v>
          </cell>
          <cell r="F243">
            <v>2</v>
          </cell>
          <cell r="G243" t="str">
            <v>y</v>
          </cell>
          <cell r="H243">
            <v>43227</v>
          </cell>
          <cell r="I243">
            <v>43236</v>
          </cell>
          <cell r="J243">
            <v>43238</v>
          </cell>
          <cell r="K243">
            <v>43244</v>
          </cell>
          <cell r="L243">
            <v>43251</v>
          </cell>
          <cell r="M243">
            <v>0</v>
          </cell>
          <cell r="N243">
            <v>0</v>
          </cell>
          <cell r="O243">
            <v>0</v>
          </cell>
          <cell r="P243">
            <v>43217</v>
          </cell>
          <cell r="Q243">
            <v>43223</v>
          </cell>
          <cell r="R243">
            <v>3</v>
          </cell>
          <cell r="S243">
            <v>43251</v>
          </cell>
          <cell r="T243">
            <v>0</v>
          </cell>
          <cell r="U243">
            <v>43251</v>
          </cell>
          <cell r="V243">
            <v>43241</v>
          </cell>
          <cell r="W243">
            <v>43241</v>
          </cell>
          <cell r="X243">
            <v>43244</v>
          </cell>
          <cell r="Y243">
            <v>43244</v>
          </cell>
          <cell r="Z243">
            <v>43264</v>
          </cell>
          <cell r="AA243">
            <v>43284</v>
          </cell>
          <cell r="AB243">
            <v>0</v>
          </cell>
        </row>
        <row r="244">
          <cell r="A244" t="str">
            <v>18-035</v>
          </cell>
          <cell r="B244" t="str">
            <v>N</v>
          </cell>
          <cell r="C244" t="str">
            <v>Y</v>
          </cell>
          <cell r="D244" t="str">
            <v>Y</v>
          </cell>
          <cell r="E244" t="str">
            <v>Y</v>
          </cell>
          <cell r="F244" t="str">
            <v xml:space="preserve">  </v>
          </cell>
          <cell r="G244" t="str">
            <v xml:space="preserve">  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 t="str">
            <v>NA</v>
          </cell>
          <cell r="Q244" t="str">
            <v>NA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NA</v>
          </cell>
          <cell r="W244" t="str">
            <v>NA</v>
          </cell>
          <cell r="X244" t="str">
            <v>NA</v>
          </cell>
          <cell r="Y244" t="str">
            <v>NA</v>
          </cell>
          <cell r="Z244">
            <v>0</v>
          </cell>
          <cell r="AA244">
            <v>0</v>
          </cell>
          <cell r="AB244">
            <v>0</v>
          </cell>
        </row>
        <row r="245">
          <cell r="A245" t="str">
            <v>18-037</v>
          </cell>
          <cell r="B245" t="str">
            <v>Y</v>
          </cell>
          <cell r="C245" t="str">
            <v>Y</v>
          </cell>
          <cell r="D245" t="str">
            <v>Y</v>
          </cell>
          <cell r="E245" t="str">
            <v>Y</v>
          </cell>
          <cell r="F245">
            <v>2</v>
          </cell>
          <cell r="G245" t="str">
            <v>y</v>
          </cell>
          <cell r="H245">
            <v>43235</v>
          </cell>
          <cell r="I245">
            <v>43243</v>
          </cell>
          <cell r="J245">
            <v>43245</v>
          </cell>
          <cell r="K245">
            <v>43269</v>
          </cell>
          <cell r="L245">
            <v>43269</v>
          </cell>
          <cell r="M245">
            <v>0</v>
          </cell>
          <cell r="N245">
            <v>0</v>
          </cell>
          <cell r="O245">
            <v>0</v>
          </cell>
          <cell r="P245">
            <v>43231</v>
          </cell>
          <cell r="Q245">
            <v>43231</v>
          </cell>
          <cell r="R245">
            <v>3</v>
          </cell>
          <cell r="S245">
            <v>43269</v>
          </cell>
          <cell r="T245">
            <v>0</v>
          </cell>
          <cell r="U245">
            <v>43269</v>
          </cell>
          <cell r="V245">
            <v>43270</v>
          </cell>
          <cell r="W245">
            <v>43271</v>
          </cell>
          <cell r="X245">
            <v>43272</v>
          </cell>
          <cell r="Y245">
            <v>43272</v>
          </cell>
          <cell r="Z245">
            <v>43271</v>
          </cell>
          <cell r="AA245">
            <v>43284</v>
          </cell>
          <cell r="AB245">
            <v>0</v>
          </cell>
        </row>
        <row r="246">
          <cell r="A246" t="str">
            <v>18-038</v>
          </cell>
          <cell r="B246" t="str">
            <v>Y</v>
          </cell>
          <cell r="C246" t="str">
            <v>Y</v>
          </cell>
          <cell r="D246" t="str">
            <v>Y</v>
          </cell>
          <cell r="E246" t="str">
            <v>Y</v>
          </cell>
          <cell r="F246">
            <v>1</v>
          </cell>
          <cell r="G246" t="str">
            <v>y</v>
          </cell>
          <cell r="H246">
            <v>43269</v>
          </cell>
          <cell r="I246">
            <v>43271</v>
          </cell>
          <cell r="J246">
            <v>43280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43231</v>
          </cell>
          <cell r="Q246">
            <v>43231</v>
          </cell>
          <cell r="R246">
            <v>2</v>
          </cell>
          <cell r="S246">
            <v>43280</v>
          </cell>
          <cell r="T246">
            <v>0</v>
          </cell>
          <cell r="U246">
            <v>43280</v>
          </cell>
          <cell r="V246">
            <v>43313</v>
          </cell>
          <cell r="W246">
            <v>43328</v>
          </cell>
          <cell r="X246">
            <v>43332</v>
          </cell>
          <cell r="Y246">
            <v>43332</v>
          </cell>
          <cell r="Z246">
            <v>43307</v>
          </cell>
          <cell r="AA246">
            <v>43329</v>
          </cell>
          <cell r="AB246">
            <v>0</v>
          </cell>
        </row>
        <row r="247">
          <cell r="A247" t="str">
            <v>18-039</v>
          </cell>
          <cell r="B247" t="str">
            <v>N</v>
          </cell>
          <cell r="C247" t="str">
            <v>Y</v>
          </cell>
          <cell r="D247" t="str">
            <v>Y</v>
          </cell>
          <cell r="E247" t="str">
            <v>Y</v>
          </cell>
          <cell r="F247" t="str">
            <v xml:space="preserve">  </v>
          </cell>
          <cell r="G247" t="str">
            <v>y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43234</v>
          </cell>
          <cell r="Q247">
            <v>43234</v>
          </cell>
          <cell r="R247">
            <v>0</v>
          </cell>
          <cell r="S247">
            <v>43244</v>
          </cell>
          <cell r="T247">
            <v>0</v>
          </cell>
          <cell r="U247">
            <v>43244</v>
          </cell>
          <cell r="V247">
            <v>43234</v>
          </cell>
          <cell r="W247">
            <v>43234</v>
          </cell>
          <cell r="X247">
            <v>43234</v>
          </cell>
          <cell r="Y247">
            <v>43234</v>
          </cell>
          <cell r="Z247">
            <v>43250</v>
          </cell>
          <cell r="AA247">
            <v>0</v>
          </cell>
          <cell r="AB247">
            <v>0</v>
          </cell>
        </row>
        <row r="248">
          <cell r="A248" t="str">
            <v>18-040</v>
          </cell>
          <cell r="B248" t="str">
            <v>Y</v>
          </cell>
          <cell r="C248" t="str">
            <v>N</v>
          </cell>
          <cell r="D248" t="str">
            <v>Y</v>
          </cell>
          <cell r="E248" t="str">
            <v>Y</v>
          </cell>
          <cell r="F248">
            <v>0</v>
          </cell>
          <cell r="G248" t="str">
            <v>y</v>
          </cell>
          <cell r="H248">
            <v>43245</v>
          </cell>
          <cell r="I248">
            <v>43259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43241</v>
          </cell>
          <cell r="Q248">
            <v>43237</v>
          </cell>
          <cell r="R248">
            <v>1</v>
          </cell>
          <cell r="S248">
            <v>43262</v>
          </cell>
          <cell r="T248">
            <v>0</v>
          </cell>
          <cell r="U248">
            <v>43262</v>
          </cell>
          <cell r="V248">
            <v>43269</v>
          </cell>
          <cell r="W248">
            <v>43269</v>
          </cell>
          <cell r="X248">
            <v>43271</v>
          </cell>
          <cell r="Y248">
            <v>43271</v>
          </cell>
          <cell r="Z248">
            <v>43272</v>
          </cell>
          <cell r="AA248">
            <v>43286</v>
          </cell>
          <cell r="AB248">
            <v>0</v>
          </cell>
        </row>
        <row r="249">
          <cell r="A249" t="str">
            <v>18-041</v>
          </cell>
          <cell r="B249" t="str">
            <v>Y</v>
          </cell>
          <cell r="C249" t="str">
            <v>Y</v>
          </cell>
          <cell r="D249" t="str">
            <v>Y</v>
          </cell>
          <cell r="E249" t="str">
            <v>Y</v>
          </cell>
          <cell r="F249">
            <v>1</v>
          </cell>
          <cell r="G249" t="str">
            <v>y</v>
          </cell>
          <cell r="H249">
            <v>43250</v>
          </cell>
          <cell r="I249">
            <v>43388</v>
          </cell>
          <cell r="J249">
            <v>43392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43242</v>
          </cell>
          <cell r="Q249">
            <v>43241</v>
          </cell>
          <cell r="R249">
            <v>2</v>
          </cell>
          <cell r="S249">
            <v>43406</v>
          </cell>
          <cell r="T249">
            <v>0</v>
          </cell>
          <cell r="U249">
            <v>43406</v>
          </cell>
          <cell r="V249">
            <v>43391</v>
          </cell>
          <cell r="W249">
            <v>43391</v>
          </cell>
          <cell r="X249">
            <v>43392</v>
          </cell>
          <cell r="Y249">
            <v>43409</v>
          </cell>
          <cell r="Z249">
            <v>43403</v>
          </cell>
          <cell r="AA249">
            <v>43405</v>
          </cell>
          <cell r="AB249">
            <v>0</v>
          </cell>
        </row>
        <row r="250">
          <cell r="A250" t="str">
            <v>18-042</v>
          </cell>
          <cell r="B250" t="str">
            <v>Y</v>
          </cell>
          <cell r="C250" t="str">
            <v>Y</v>
          </cell>
          <cell r="D250" t="str">
            <v>Y</v>
          </cell>
          <cell r="E250" t="str">
            <v>Y</v>
          </cell>
          <cell r="F250">
            <v>1</v>
          </cell>
          <cell r="G250" t="str">
            <v>y</v>
          </cell>
          <cell r="H250">
            <v>43256</v>
          </cell>
          <cell r="I250">
            <v>43257</v>
          </cell>
          <cell r="J250">
            <v>43263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43245</v>
          </cell>
          <cell r="Q250">
            <v>43244</v>
          </cell>
          <cell r="R250">
            <v>2</v>
          </cell>
          <cell r="S250">
            <v>43263</v>
          </cell>
          <cell r="T250">
            <v>0</v>
          </cell>
          <cell r="U250">
            <v>43263</v>
          </cell>
          <cell r="V250">
            <v>43270</v>
          </cell>
          <cell r="W250">
            <v>43270</v>
          </cell>
          <cell r="X250">
            <v>43271</v>
          </cell>
          <cell r="Y250">
            <v>43271</v>
          </cell>
          <cell r="Z250">
            <v>43273</v>
          </cell>
          <cell r="AA250">
            <v>43283</v>
          </cell>
          <cell r="AB250">
            <v>0</v>
          </cell>
        </row>
        <row r="251">
          <cell r="A251" t="str">
            <v>18-043</v>
          </cell>
          <cell r="B251" t="str">
            <v>Y</v>
          </cell>
          <cell r="C251" t="str">
            <v>Y</v>
          </cell>
          <cell r="D251" t="str">
            <v>Y</v>
          </cell>
          <cell r="E251" t="str">
            <v>Y</v>
          </cell>
          <cell r="F251">
            <v>1</v>
          </cell>
          <cell r="G251" t="str">
            <v>y</v>
          </cell>
          <cell r="H251">
            <v>43307</v>
          </cell>
          <cell r="I251">
            <v>43325</v>
          </cell>
          <cell r="J251">
            <v>43333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43280</v>
          </cell>
          <cell r="Q251">
            <v>43251</v>
          </cell>
          <cell r="R251">
            <v>2</v>
          </cell>
          <cell r="S251">
            <v>43333</v>
          </cell>
          <cell r="T251">
            <v>0</v>
          </cell>
          <cell r="U251">
            <v>43333</v>
          </cell>
          <cell r="V251">
            <v>43340</v>
          </cell>
          <cell r="W251">
            <v>43342</v>
          </cell>
          <cell r="X251">
            <v>43343</v>
          </cell>
          <cell r="Y251">
            <v>43343</v>
          </cell>
          <cell r="Z251">
            <v>43327</v>
          </cell>
          <cell r="AA251">
            <v>43343</v>
          </cell>
          <cell r="AB251">
            <v>0</v>
          </cell>
        </row>
        <row r="252">
          <cell r="A252" t="str">
            <v>18-045</v>
          </cell>
          <cell r="B252" t="str">
            <v>Y</v>
          </cell>
          <cell r="C252" t="str">
            <v>Y</v>
          </cell>
          <cell r="D252" t="str">
            <v>Y</v>
          </cell>
          <cell r="E252" t="str">
            <v>Y</v>
          </cell>
          <cell r="F252">
            <v>1</v>
          </cell>
          <cell r="G252" t="str">
            <v>y</v>
          </cell>
          <cell r="H252">
            <v>43287</v>
          </cell>
          <cell r="I252">
            <v>43287</v>
          </cell>
          <cell r="J252">
            <v>43292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43273</v>
          </cell>
          <cell r="Q252">
            <v>43272</v>
          </cell>
          <cell r="R252">
            <v>2</v>
          </cell>
          <cell r="S252">
            <v>43292</v>
          </cell>
          <cell r="T252">
            <v>0</v>
          </cell>
          <cell r="U252">
            <v>43292</v>
          </cell>
          <cell r="V252">
            <v>43297</v>
          </cell>
          <cell r="W252">
            <v>43298</v>
          </cell>
          <cell r="X252">
            <v>43299</v>
          </cell>
          <cell r="Y252">
            <v>43299</v>
          </cell>
          <cell r="Z252">
            <v>43311</v>
          </cell>
          <cell r="AA252">
            <v>43313</v>
          </cell>
          <cell r="AB252">
            <v>0</v>
          </cell>
        </row>
        <row r="253">
          <cell r="A253" t="str">
            <v>18-046</v>
          </cell>
          <cell r="B253" t="str">
            <v>Y</v>
          </cell>
          <cell r="C253" t="str">
            <v>Y</v>
          </cell>
          <cell r="D253" t="str">
            <v>Y</v>
          </cell>
          <cell r="E253" t="str">
            <v>Y</v>
          </cell>
          <cell r="F253">
            <v>1</v>
          </cell>
          <cell r="G253" t="str">
            <v>y</v>
          </cell>
          <cell r="H253">
            <v>43283</v>
          </cell>
          <cell r="I253">
            <v>43293</v>
          </cell>
          <cell r="J253">
            <v>43300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43273</v>
          </cell>
          <cell r="Q253">
            <v>43272</v>
          </cell>
          <cell r="R253">
            <v>2</v>
          </cell>
          <cell r="S253">
            <v>43300</v>
          </cell>
          <cell r="T253">
            <v>0</v>
          </cell>
          <cell r="U253">
            <v>43300</v>
          </cell>
          <cell r="V253">
            <v>43307</v>
          </cell>
          <cell r="W253">
            <v>43308</v>
          </cell>
          <cell r="X253">
            <v>43311</v>
          </cell>
          <cell r="Y253">
            <v>43312</v>
          </cell>
          <cell r="Z253">
            <v>43312</v>
          </cell>
          <cell r="AA253">
            <v>43313</v>
          </cell>
          <cell r="AB253">
            <v>0</v>
          </cell>
        </row>
        <row r="254">
          <cell r="A254" t="str">
            <v>18-047</v>
          </cell>
          <cell r="B254" t="str">
            <v>Y</v>
          </cell>
          <cell r="C254" t="str">
            <v>Y</v>
          </cell>
          <cell r="D254" t="str">
            <v>Y</v>
          </cell>
          <cell r="E254" t="str">
            <v>Y</v>
          </cell>
          <cell r="F254">
            <v>1</v>
          </cell>
          <cell r="G254" t="str">
            <v>y</v>
          </cell>
          <cell r="H254">
            <v>43290</v>
          </cell>
          <cell r="I254">
            <v>43318</v>
          </cell>
          <cell r="J254">
            <v>43320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43279</v>
          </cell>
          <cell r="Q254">
            <v>43278</v>
          </cell>
          <cell r="R254">
            <v>2</v>
          </cell>
          <cell r="S254">
            <v>43320</v>
          </cell>
          <cell r="T254">
            <v>0</v>
          </cell>
          <cell r="U254">
            <v>43320</v>
          </cell>
          <cell r="V254">
            <v>43325</v>
          </cell>
          <cell r="W254">
            <v>43325</v>
          </cell>
          <cell r="X254">
            <v>43326</v>
          </cell>
          <cell r="Y254">
            <v>43326</v>
          </cell>
          <cell r="Z254">
            <v>43347</v>
          </cell>
          <cell r="AA254">
            <v>43354</v>
          </cell>
          <cell r="AB254">
            <v>0</v>
          </cell>
        </row>
        <row r="255">
          <cell r="A255" t="str">
            <v>18-048</v>
          </cell>
          <cell r="B255" t="str">
            <v>Y</v>
          </cell>
          <cell r="C255" t="str">
            <v>N</v>
          </cell>
          <cell r="D255" t="str">
            <v>Y</v>
          </cell>
          <cell r="E255" t="str">
            <v>Y</v>
          </cell>
          <cell r="F255">
            <v>0</v>
          </cell>
          <cell r="G255" t="str">
            <v>y</v>
          </cell>
          <cell r="H255">
            <v>43313</v>
          </cell>
          <cell r="I255">
            <v>43327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43298</v>
          </cell>
          <cell r="Q255">
            <v>43298</v>
          </cell>
          <cell r="R255">
            <v>1</v>
          </cell>
          <cell r="S255">
            <v>43340</v>
          </cell>
          <cell r="T255">
            <v>0</v>
          </cell>
          <cell r="U255">
            <v>43340</v>
          </cell>
          <cell r="V255">
            <v>43350</v>
          </cell>
          <cell r="W255">
            <v>43350</v>
          </cell>
          <cell r="X255">
            <v>43355</v>
          </cell>
          <cell r="Y255">
            <v>43355</v>
          </cell>
          <cell r="Z255">
            <v>43361</v>
          </cell>
          <cell r="AA255">
            <v>43362</v>
          </cell>
          <cell r="AB255">
            <v>0</v>
          </cell>
        </row>
        <row r="256">
          <cell r="A256" t="str">
            <v>18-049</v>
          </cell>
          <cell r="B256" t="str">
            <v>Y</v>
          </cell>
          <cell r="C256" t="str">
            <v>N</v>
          </cell>
          <cell r="D256" t="str">
            <v>Y</v>
          </cell>
          <cell r="E256" t="str">
            <v>Y</v>
          </cell>
          <cell r="F256">
            <v>0</v>
          </cell>
          <cell r="G256" t="str">
            <v>y</v>
          </cell>
          <cell r="H256">
            <v>43321</v>
          </cell>
          <cell r="I256">
            <v>43334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43301</v>
          </cell>
          <cell r="Q256">
            <v>43300</v>
          </cell>
          <cell r="R256">
            <v>1</v>
          </cell>
          <cell r="S256">
            <v>43355</v>
          </cell>
          <cell r="T256">
            <v>0</v>
          </cell>
          <cell r="U256">
            <v>43355</v>
          </cell>
          <cell r="V256">
            <v>43368</v>
          </cell>
          <cell r="W256">
            <v>408610</v>
          </cell>
          <cell r="X256">
            <v>43391</v>
          </cell>
          <cell r="Y256">
            <v>43391</v>
          </cell>
          <cell r="Z256">
            <v>43357</v>
          </cell>
          <cell r="AA256">
            <v>43395</v>
          </cell>
          <cell r="AB256">
            <v>0</v>
          </cell>
        </row>
        <row r="257">
          <cell r="A257" t="str">
            <v>18-050</v>
          </cell>
          <cell r="B257" t="str">
            <v>Y</v>
          </cell>
          <cell r="C257" t="str">
            <v>N</v>
          </cell>
          <cell r="D257" t="str">
            <v>Y</v>
          </cell>
          <cell r="E257" t="str">
            <v>Y</v>
          </cell>
          <cell r="F257">
            <v>0</v>
          </cell>
          <cell r="G257" t="str">
            <v>y</v>
          </cell>
          <cell r="H257">
            <v>43321</v>
          </cell>
          <cell r="I257">
            <v>43334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43301</v>
          </cell>
          <cell r="Q257">
            <v>43300</v>
          </cell>
          <cell r="R257">
            <v>1</v>
          </cell>
          <cell r="S257">
            <v>43355</v>
          </cell>
          <cell r="T257">
            <v>0</v>
          </cell>
          <cell r="U257">
            <v>43355</v>
          </cell>
          <cell r="V257">
            <v>43368</v>
          </cell>
          <cell r="W257">
            <v>408610</v>
          </cell>
          <cell r="X257">
            <v>43391</v>
          </cell>
          <cell r="Y257">
            <v>43391</v>
          </cell>
          <cell r="Z257">
            <v>43357</v>
          </cell>
          <cell r="AA257">
            <v>43395</v>
          </cell>
          <cell r="AB257">
            <v>0</v>
          </cell>
        </row>
        <row r="258">
          <cell r="A258" t="str">
            <v>18-051</v>
          </cell>
          <cell r="B258" t="str">
            <v>Y</v>
          </cell>
          <cell r="C258" t="str">
            <v>Y</v>
          </cell>
          <cell r="D258" t="str">
            <v>Y</v>
          </cell>
          <cell r="E258" t="str">
            <v>Y</v>
          </cell>
          <cell r="F258">
            <v>1</v>
          </cell>
          <cell r="G258" t="str">
            <v>y</v>
          </cell>
          <cell r="H258">
            <v>43321</v>
          </cell>
          <cell r="I258">
            <v>43334</v>
          </cell>
          <cell r="J258">
            <v>43343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43301</v>
          </cell>
          <cell r="Q258">
            <v>43300</v>
          </cell>
          <cell r="R258">
            <v>2</v>
          </cell>
          <cell r="S258">
            <v>43343</v>
          </cell>
          <cell r="T258">
            <v>0</v>
          </cell>
          <cell r="U258">
            <v>43343</v>
          </cell>
          <cell r="V258">
            <v>43367</v>
          </cell>
          <cell r="W258">
            <v>43367</v>
          </cell>
          <cell r="X258">
            <v>43368</v>
          </cell>
          <cell r="Y258">
            <v>408610</v>
          </cell>
          <cell r="Z258">
            <v>43348</v>
          </cell>
          <cell r="AA258">
            <v>43370</v>
          </cell>
          <cell r="AB258">
            <v>0</v>
          </cell>
        </row>
        <row r="259">
          <cell r="A259" t="str">
            <v>18-052</v>
          </cell>
          <cell r="B259" t="str">
            <v>Y</v>
          </cell>
          <cell r="C259" t="str">
            <v>Y</v>
          </cell>
          <cell r="D259" t="str">
            <v>Y</v>
          </cell>
          <cell r="E259" t="str">
            <v>Y</v>
          </cell>
          <cell r="F259">
            <v>1</v>
          </cell>
          <cell r="G259" t="str">
            <v>y</v>
          </cell>
          <cell r="H259">
            <v>43321</v>
          </cell>
          <cell r="I259">
            <v>43334</v>
          </cell>
          <cell r="J259">
            <v>43343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43301</v>
          </cell>
          <cell r="Q259">
            <v>43300</v>
          </cell>
          <cell r="R259">
            <v>2</v>
          </cell>
          <cell r="S259">
            <v>43343</v>
          </cell>
          <cell r="T259">
            <v>0</v>
          </cell>
          <cell r="U259">
            <v>43343</v>
          </cell>
          <cell r="V259">
            <v>43367</v>
          </cell>
          <cell r="W259">
            <v>43367</v>
          </cell>
          <cell r="X259">
            <v>43368</v>
          </cell>
          <cell r="Y259">
            <v>408610</v>
          </cell>
          <cell r="Z259">
            <v>43348</v>
          </cell>
          <cell r="AA259">
            <v>43370</v>
          </cell>
          <cell r="AB259">
            <v>0</v>
          </cell>
        </row>
        <row r="260">
          <cell r="A260" t="str">
            <v>18-053</v>
          </cell>
          <cell r="B260" t="str">
            <v>Y</v>
          </cell>
          <cell r="C260" t="str">
            <v>Y</v>
          </cell>
          <cell r="D260" t="str">
            <v>Y</v>
          </cell>
          <cell r="E260" t="str">
            <v>Y</v>
          </cell>
          <cell r="F260">
            <v>1</v>
          </cell>
          <cell r="G260" t="str">
            <v>y</v>
          </cell>
          <cell r="H260">
            <v>43321</v>
          </cell>
          <cell r="I260">
            <v>43334</v>
          </cell>
          <cell r="J260">
            <v>43343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43301</v>
          </cell>
          <cell r="Q260">
            <v>43300</v>
          </cell>
          <cell r="R260">
            <v>2</v>
          </cell>
          <cell r="S260">
            <v>43343</v>
          </cell>
          <cell r="T260">
            <v>0</v>
          </cell>
          <cell r="U260">
            <v>43343</v>
          </cell>
          <cell r="V260">
            <v>43368</v>
          </cell>
          <cell r="W260">
            <v>43368</v>
          </cell>
          <cell r="X260">
            <v>43369</v>
          </cell>
          <cell r="Y260">
            <v>43369</v>
          </cell>
          <cell r="Z260">
            <v>43348</v>
          </cell>
          <cell r="AA260">
            <v>43395</v>
          </cell>
          <cell r="AB260">
            <v>0</v>
          </cell>
        </row>
        <row r="261">
          <cell r="A261" t="str">
            <v>18-054</v>
          </cell>
          <cell r="B261" t="str">
            <v>Y</v>
          </cell>
          <cell r="C261" t="str">
            <v>Y</v>
          </cell>
          <cell r="D261" t="str">
            <v>Y</v>
          </cell>
          <cell r="E261" t="str">
            <v>Y</v>
          </cell>
          <cell r="F261">
            <v>1</v>
          </cell>
          <cell r="G261" t="str">
            <v>y</v>
          </cell>
          <cell r="H261">
            <v>43321</v>
          </cell>
          <cell r="I261">
            <v>43334</v>
          </cell>
          <cell r="J261">
            <v>43343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43301</v>
          </cell>
          <cell r="Q261">
            <v>43300</v>
          </cell>
          <cell r="R261">
            <v>2</v>
          </cell>
          <cell r="S261">
            <v>43343</v>
          </cell>
          <cell r="T261">
            <v>0</v>
          </cell>
          <cell r="U261">
            <v>43343</v>
          </cell>
          <cell r="V261">
            <v>43367</v>
          </cell>
          <cell r="W261">
            <v>43367</v>
          </cell>
          <cell r="X261">
            <v>43368</v>
          </cell>
          <cell r="Y261">
            <v>408610</v>
          </cell>
          <cell r="Z261">
            <v>43348</v>
          </cell>
          <cell r="AA261">
            <v>43370</v>
          </cell>
          <cell r="AB261">
            <v>0</v>
          </cell>
        </row>
        <row r="262">
          <cell r="A262" t="str">
            <v>18-055</v>
          </cell>
          <cell r="B262" t="str">
            <v>N</v>
          </cell>
          <cell r="C262" t="str">
            <v>Y</v>
          </cell>
          <cell r="D262" t="str">
            <v>Y</v>
          </cell>
          <cell r="E262" t="str">
            <v>Y</v>
          </cell>
          <cell r="F262" t="str">
            <v xml:space="preserve">  </v>
          </cell>
          <cell r="G262" t="str">
            <v xml:space="preserve">  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 t="str">
            <v>NA</v>
          </cell>
          <cell r="Q262" t="str">
            <v>NA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>NA</v>
          </cell>
          <cell r="W262" t="str">
            <v>NA</v>
          </cell>
          <cell r="X262" t="str">
            <v>NA</v>
          </cell>
          <cell r="Y262" t="str">
            <v>NA</v>
          </cell>
          <cell r="Z262" t="str">
            <v>NA</v>
          </cell>
          <cell r="AA262">
            <v>0</v>
          </cell>
          <cell r="AB262">
            <v>0</v>
          </cell>
        </row>
        <row r="263">
          <cell r="A263" t="str">
            <v>18-056</v>
          </cell>
          <cell r="B263" t="str">
            <v>Y</v>
          </cell>
          <cell r="C263" t="str">
            <v>Y</v>
          </cell>
          <cell r="D263" t="str">
            <v>Y</v>
          </cell>
          <cell r="E263" t="str">
            <v>Y</v>
          </cell>
          <cell r="F263">
            <v>1</v>
          </cell>
          <cell r="G263" t="str">
            <v>y</v>
          </cell>
          <cell r="H263">
            <v>43328</v>
          </cell>
          <cell r="I263">
            <v>43355</v>
          </cell>
          <cell r="J263">
            <v>43369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43301</v>
          </cell>
          <cell r="Q263">
            <v>43300</v>
          </cell>
          <cell r="R263">
            <v>2</v>
          </cell>
          <cell r="S263">
            <v>43355</v>
          </cell>
          <cell r="T263">
            <v>0</v>
          </cell>
          <cell r="U263">
            <v>43355</v>
          </cell>
          <cell r="V263">
            <v>43382</v>
          </cell>
          <cell r="W263">
            <v>43383</v>
          </cell>
          <cell r="X263">
            <v>43391</v>
          </cell>
          <cell r="Y263">
            <v>43391</v>
          </cell>
          <cell r="Z263">
            <v>43391</v>
          </cell>
          <cell r="AA263">
            <v>43399</v>
          </cell>
          <cell r="AB263">
            <v>0</v>
          </cell>
        </row>
        <row r="264">
          <cell r="A264" t="str">
            <v>18-057</v>
          </cell>
          <cell r="B264" t="str">
            <v>Y</v>
          </cell>
          <cell r="C264" t="str">
            <v>Y</v>
          </cell>
          <cell r="D264" t="str">
            <v>Y</v>
          </cell>
          <cell r="E264" t="str">
            <v>Y</v>
          </cell>
          <cell r="F264">
            <v>1</v>
          </cell>
          <cell r="G264" t="str">
            <v>y</v>
          </cell>
          <cell r="H264">
            <v>43313</v>
          </cell>
          <cell r="I264">
            <v>43313</v>
          </cell>
          <cell r="J264">
            <v>43314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43308</v>
          </cell>
          <cell r="Q264">
            <v>43307</v>
          </cell>
          <cell r="R264">
            <v>2</v>
          </cell>
          <cell r="S264">
            <v>43314</v>
          </cell>
          <cell r="T264">
            <v>0</v>
          </cell>
          <cell r="U264">
            <v>43314</v>
          </cell>
          <cell r="V264">
            <v>43327</v>
          </cell>
          <cell r="W264">
            <v>43328</v>
          </cell>
          <cell r="X264">
            <v>43329</v>
          </cell>
          <cell r="Y264">
            <v>43329</v>
          </cell>
          <cell r="Z264">
            <v>43347</v>
          </cell>
          <cell r="AA264">
            <v>43354</v>
          </cell>
          <cell r="AB264">
            <v>0</v>
          </cell>
        </row>
        <row r="265">
          <cell r="A265" t="str">
            <v>18-058</v>
          </cell>
          <cell r="B265" t="str">
            <v>Y</v>
          </cell>
          <cell r="C265" t="str">
            <v>Y</v>
          </cell>
          <cell r="D265" t="str">
            <v>Y</v>
          </cell>
          <cell r="E265" t="str">
            <v>Y</v>
          </cell>
          <cell r="F265">
            <v>1</v>
          </cell>
          <cell r="G265" t="str">
            <v>y</v>
          </cell>
          <cell r="H265">
            <v>43326</v>
          </cell>
          <cell r="I265">
            <v>43328</v>
          </cell>
          <cell r="J265">
            <v>43332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43308</v>
          </cell>
          <cell r="Q265">
            <v>43307</v>
          </cell>
          <cell r="R265">
            <v>2</v>
          </cell>
          <cell r="S265">
            <v>43332</v>
          </cell>
          <cell r="T265">
            <v>0</v>
          </cell>
          <cell r="U265">
            <v>43332</v>
          </cell>
          <cell r="V265">
            <v>43339</v>
          </cell>
          <cell r="W265">
            <v>43339</v>
          </cell>
          <cell r="X265">
            <v>43340</v>
          </cell>
          <cell r="Y265">
            <v>43340</v>
          </cell>
          <cell r="Z265">
            <v>43347</v>
          </cell>
          <cell r="AA265">
            <v>43354</v>
          </cell>
          <cell r="AB265">
            <v>0</v>
          </cell>
        </row>
        <row r="266">
          <cell r="A266" t="str">
            <v>18-059</v>
          </cell>
          <cell r="B266" t="str">
            <v>Y</v>
          </cell>
          <cell r="C266" t="str">
            <v>Y</v>
          </cell>
          <cell r="D266" t="str">
            <v>Y</v>
          </cell>
          <cell r="E266" t="str">
            <v>Y</v>
          </cell>
          <cell r="F266">
            <v>1</v>
          </cell>
          <cell r="G266" t="str">
            <v>y</v>
          </cell>
          <cell r="H266">
            <v>43326</v>
          </cell>
          <cell r="I266">
            <v>43328</v>
          </cell>
          <cell r="J266">
            <v>43332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43308</v>
          </cell>
          <cell r="Q266">
            <v>43307</v>
          </cell>
          <cell r="R266">
            <v>2</v>
          </cell>
          <cell r="S266">
            <v>43332</v>
          </cell>
          <cell r="T266">
            <v>0</v>
          </cell>
          <cell r="U266">
            <v>43332</v>
          </cell>
          <cell r="V266">
            <v>43339</v>
          </cell>
          <cell r="W266">
            <v>43339</v>
          </cell>
          <cell r="X266">
            <v>43340</v>
          </cell>
          <cell r="Y266">
            <v>43340</v>
          </cell>
          <cell r="Z266">
            <v>43347</v>
          </cell>
          <cell r="AA266">
            <v>43354</v>
          </cell>
          <cell r="AB266">
            <v>0</v>
          </cell>
        </row>
        <row r="267">
          <cell r="A267" t="str">
            <v>18-060</v>
          </cell>
          <cell r="B267" t="str">
            <v>N</v>
          </cell>
          <cell r="C267" t="str">
            <v>Y</v>
          </cell>
          <cell r="D267" t="str">
            <v>Y</v>
          </cell>
          <cell r="E267" t="str">
            <v>Y</v>
          </cell>
          <cell r="F267" t="str">
            <v xml:space="preserve">  </v>
          </cell>
          <cell r="G267" t="str">
            <v xml:space="preserve">  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43348</v>
          </cell>
          <cell r="Q267">
            <v>43348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43348</v>
          </cell>
          <cell r="W267">
            <v>43348</v>
          </cell>
          <cell r="X267">
            <v>43349</v>
          </cell>
          <cell r="Y267">
            <v>43349</v>
          </cell>
          <cell r="Z267">
            <v>43349</v>
          </cell>
          <cell r="AA267">
            <v>43349</v>
          </cell>
          <cell r="AB267">
            <v>0</v>
          </cell>
        </row>
        <row r="268">
          <cell r="A268" t="str">
            <v>18-061</v>
          </cell>
          <cell r="B268" t="str">
            <v>Y</v>
          </cell>
          <cell r="C268" t="str">
            <v>Y</v>
          </cell>
          <cell r="D268" t="str">
            <v>Y</v>
          </cell>
          <cell r="E268" t="str">
            <v>Y</v>
          </cell>
          <cell r="F268">
            <v>1</v>
          </cell>
          <cell r="G268" t="str">
            <v>y</v>
          </cell>
          <cell r="H268">
            <v>43343</v>
          </cell>
          <cell r="I268">
            <v>43357</v>
          </cell>
          <cell r="J268">
            <v>43363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43339</v>
          </cell>
          <cell r="Q268">
            <v>43339</v>
          </cell>
          <cell r="R268">
            <v>2</v>
          </cell>
          <cell r="S268">
            <v>43363</v>
          </cell>
          <cell r="T268">
            <v>0</v>
          </cell>
          <cell r="U268">
            <v>43363</v>
          </cell>
          <cell r="V268">
            <v>43339</v>
          </cell>
          <cell r="W268">
            <v>43363</v>
          </cell>
          <cell r="X268">
            <v>43363</v>
          </cell>
          <cell r="Y268">
            <v>43363</v>
          </cell>
          <cell r="Z268">
            <v>43388</v>
          </cell>
          <cell r="AA268">
            <v>43391</v>
          </cell>
          <cell r="AB268">
            <v>0</v>
          </cell>
        </row>
        <row r="269">
          <cell r="A269" t="str">
            <v>18-062</v>
          </cell>
          <cell r="B269" t="str">
            <v>Y</v>
          </cell>
          <cell r="C269" t="str">
            <v>Y</v>
          </cell>
          <cell r="D269" t="str">
            <v>Y</v>
          </cell>
          <cell r="E269" t="str">
            <v>Y</v>
          </cell>
          <cell r="F269">
            <v>2</v>
          </cell>
          <cell r="G269" t="str">
            <v>y</v>
          </cell>
          <cell r="H269">
            <v>43355</v>
          </cell>
          <cell r="I269">
            <v>43369</v>
          </cell>
          <cell r="J269">
            <v>43374</v>
          </cell>
          <cell r="K269">
            <v>43389</v>
          </cell>
          <cell r="L269">
            <v>43392</v>
          </cell>
          <cell r="M269">
            <v>0</v>
          </cell>
          <cell r="N269">
            <v>0</v>
          </cell>
          <cell r="O269">
            <v>0</v>
          </cell>
          <cell r="P269">
            <v>43341</v>
          </cell>
          <cell r="Q269">
            <v>43341</v>
          </cell>
          <cell r="R269">
            <v>3</v>
          </cell>
          <cell r="S269">
            <v>43392</v>
          </cell>
          <cell r="T269">
            <v>0</v>
          </cell>
          <cell r="U269">
            <v>43392</v>
          </cell>
          <cell r="V269">
            <v>43395</v>
          </cell>
          <cell r="W269">
            <v>43396</v>
          </cell>
          <cell r="X269">
            <v>43397</v>
          </cell>
          <cell r="Y269">
            <v>43397</v>
          </cell>
          <cell r="Z269">
            <v>43403</v>
          </cell>
          <cell r="AA269">
            <v>43405</v>
          </cell>
          <cell r="AB269">
            <v>0</v>
          </cell>
        </row>
        <row r="270">
          <cell r="A270" t="str">
            <v>18-063</v>
          </cell>
          <cell r="B270" t="str">
            <v>Y</v>
          </cell>
          <cell r="C270" t="str">
            <v>Y</v>
          </cell>
          <cell r="D270" t="str">
            <v>Y</v>
          </cell>
          <cell r="E270" t="str">
            <v>Y</v>
          </cell>
          <cell r="F270">
            <v>2</v>
          </cell>
          <cell r="G270" t="str">
            <v>y</v>
          </cell>
          <cell r="H270">
            <v>43354</v>
          </cell>
          <cell r="I270">
            <v>43361</v>
          </cell>
          <cell r="J270">
            <v>43367</v>
          </cell>
          <cell r="K270">
            <v>43382</v>
          </cell>
          <cell r="L270">
            <v>43382</v>
          </cell>
          <cell r="M270">
            <v>0</v>
          </cell>
          <cell r="N270">
            <v>0</v>
          </cell>
          <cell r="O270">
            <v>0</v>
          </cell>
          <cell r="P270">
            <v>43341</v>
          </cell>
          <cell r="Q270">
            <v>43341</v>
          </cell>
          <cell r="R270">
            <v>3</v>
          </cell>
          <cell r="S270">
            <v>43382</v>
          </cell>
          <cell r="T270">
            <v>0</v>
          </cell>
          <cell r="U270">
            <v>43382</v>
          </cell>
          <cell r="V270">
            <v>43389</v>
          </cell>
          <cell r="W270">
            <v>43389</v>
          </cell>
          <cell r="X270">
            <v>43390</v>
          </cell>
          <cell r="Y270">
            <v>43390</v>
          </cell>
          <cell r="Z270">
            <v>43404</v>
          </cell>
          <cell r="AA270">
            <v>43405</v>
          </cell>
          <cell r="AB270">
            <v>0</v>
          </cell>
        </row>
        <row r="271">
          <cell r="A271" t="str">
            <v>18-064</v>
          </cell>
          <cell r="B271" t="str">
            <v>Y</v>
          </cell>
          <cell r="C271" t="str">
            <v>Y</v>
          </cell>
          <cell r="D271" t="str">
            <v>Y</v>
          </cell>
          <cell r="E271" t="str">
            <v>Y</v>
          </cell>
          <cell r="F271">
            <v>2</v>
          </cell>
          <cell r="G271" t="str">
            <v>y</v>
          </cell>
          <cell r="H271">
            <v>43350</v>
          </cell>
          <cell r="I271">
            <v>43363</v>
          </cell>
          <cell r="J271">
            <v>43367</v>
          </cell>
          <cell r="K271">
            <v>43383</v>
          </cell>
          <cell r="L271">
            <v>43383</v>
          </cell>
          <cell r="M271">
            <v>0</v>
          </cell>
          <cell r="N271">
            <v>0</v>
          </cell>
          <cell r="O271">
            <v>0</v>
          </cell>
          <cell r="P271">
            <v>43347</v>
          </cell>
          <cell r="Q271">
            <v>43341</v>
          </cell>
          <cell r="R271">
            <v>3</v>
          </cell>
          <cell r="S271">
            <v>43383</v>
          </cell>
          <cell r="T271">
            <v>0</v>
          </cell>
          <cell r="U271">
            <v>43383</v>
          </cell>
          <cell r="V271">
            <v>43385</v>
          </cell>
          <cell r="W271">
            <v>43385</v>
          </cell>
          <cell r="X271">
            <v>43388</v>
          </cell>
          <cell r="Y271">
            <v>43388</v>
          </cell>
          <cell r="Z271">
            <v>43406</v>
          </cell>
          <cell r="AA271">
            <v>43405</v>
          </cell>
          <cell r="AB271">
            <v>0</v>
          </cell>
        </row>
        <row r="272">
          <cell r="A272" t="str">
            <v>18-065</v>
          </cell>
          <cell r="B272" t="str">
            <v>Y</v>
          </cell>
          <cell r="C272" t="str">
            <v>Y</v>
          </cell>
          <cell r="D272" t="str">
            <v>Y</v>
          </cell>
          <cell r="E272" t="str">
            <v>Y</v>
          </cell>
          <cell r="F272">
            <v>2</v>
          </cell>
          <cell r="G272" t="str">
            <v>y</v>
          </cell>
          <cell r="H272">
            <v>43362</v>
          </cell>
          <cell r="I272">
            <v>43377</v>
          </cell>
          <cell r="J272">
            <v>43424</v>
          </cell>
          <cell r="K272">
            <v>43434</v>
          </cell>
          <cell r="L272">
            <v>43444</v>
          </cell>
          <cell r="M272">
            <v>0</v>
          </cell>
          <cell r="N272">
            <v>0</v>
          </cell>
          <cell r="O272">
            <v>0</v>
          </cell>
          <cell r="P272">
            <v>43349</v>
          </cell>
          <cell r="Q272">
            <v>43347</v>
          </cell>
          <cell r="R272">
            <v>3</v>
          </cell>
          <cell r="S272">
            <v>43444</v>
          </cell>
          <cell r="T272">
            <v>0</v>
          </cell>
          <cell r="U272">
            <v>43444</v>
          </cell>
          <cell r="V272">
            <v>43438</v>
          </cell>
          <cell r="W272">
            <v>43438</v>
          </cell>
          <cell r="X272">
            <v>43439</v>
          </cell>
          <cell r="Y272">
            <v>43439</v>
          </cell>
          <cell r="Z272">
            <v>43432</v>
          </cell>
          <cell r="AA272">
            <v>43448</v>
          </cell>
          <cell r="AB272">
            <v>0</v>
          </cell>
        </row>
        <row r="273">
          <cell r="A273" t="str">
            <v>18-066</v>
          </cell>
          <cell r="B273" t="str">
            <v>Y</v>
          </cell>
          <cell r="C273" t="str">
            <v>Y</v>
          </cell>
          <cell r="D273" t="str">
            <v>Y</v>
          </cell>
          <cell r="E273" t="str">
            <v>Y</v>
          </cell>
          <cell r="F273">
            <v>2</v>
          </cell>
          <cell r="G273" t="str">
            <v>y</v>
          </cell>
          <cell r="H273">
            <v>43362</v>
          </cell>
          <cell r="I273">
            <v>43377</v>
          </cell>
          <cell r="J273">
            <v>43424</v>
          </cell>
          <cell r="K273">
            <v>43434</v>
          </cell>
          <cell r="L273">
            <v>43444</v>
          </cell>
          <cell r="M273">
            <v>0</v>
          </cell>
          <cell r="N273">
            <v>0</v>
          </cell>
          <cell r="O273">
            <v>0</v>
          </cell>
          <cell r="P273">
            <v>43349</v>
          </cell>
          <cell r="Q273">
            <v>43347</v>
          </cell>
          <cell r="R273">
            <v>3</v>
          </cell>
          <cell r="S273">
            <v>43444</v>
          </cell>
          <cell r="T273">
            <v>0</v>
          </cell>
          <cell r="U273">
            <v>43444</v>
          </cell>
          <cell r="V273">
            <v>43438</v>
          </cell>
          <cell r="W273">
            <v>43438</v>
          </cell>
          <cell r="X273">
            <v>43439</v>
          </cell>
          <cell r="Y273">
            <v>43439</v>
          </cell>
          <cell r="Z273">
            <v>43432</v>
          </cell>
          <cell r="AA273">
            <v>43448</v>
          </cell>
          <cell r="AB273">
            <v>0</v>
          </cell>
        </row>
        <row r="274">
          <cell r="A274" t="str">
            <v>18-067</v>
          </cell>
          <cell r="B274" t="str">
            <v>Y</v>
          </cell>
          <cell r="C274" t="str">
            <v>Y</v>
          </cell>
          <cell r="D274" t="str">
            <v>Y</v>
          </cell>
          <cell r="E274" t="str">
            <v>Y</v>
          </cell>
          <cell r="F274">
            <v>2</v>
          </cell>
          <cell r="G274" t="str">
            <v>y</v>
          </cell>
          <cell r="H274">
            <v>43362</v>
          </cell>
          <cell r="I274">
            <v>43377</v>
          </cell>
          <cell r="J274">
            <v>43424</v>
          </cell>
          <cell r="K274">
            <v>43434</v>
          </cell>
          <cell r="L274">
            <v>43444</v>
          </cell>
          <cell r="M274">
            <v>0</v>
          </cell>
          <cell r="N274">
            <v>0</v>
          </cell>
          <cell r="O274">
            <v>0</v>
          </cell>
          <cell r="P274">
            <v>43349</v>
          </cell>
          <cell r="Q274">
            <v>43347</v>
          </cell>
          <cell r="R274">
            <v>3</v>
          </cell>
          <cell r="S274">
            <v>43444</v>
          </cell>
          <cell r="T274">
            <v>0</v>
          </cell>
          <cell r="U274">
            <v>43444</v>
          </cell>
          <cell r="V274">
            <v>43438</v>
          </cell>
          <cell r="W274">
            <v>43438</v>
          </cell>
          <cell r="X274">
            <v>43439</v>
          </cell>
          <cell r="Y274">
            <v>43439</v>
          </cell>
          <cell r="Z274">
            <v>43432</v>
          </cell>
          <cell r="AA274">
            <v>43448</v>
          </cell>
          <cell r="AB274">
            <v>0</v>
          </cell>
        </row>
        <row r="275">
          <cell r="A275" t="str">
            <v>18-068</v>
          </cell>
          <cell r="B275" t="str">
            <v>Y</v>
          </cell>
          <cell r="C275" t="str">
            <v>Y</v>
          </cell>
          <cell r="D275" t="str">
            <v>Y</v>
          </cell>
          <cell r="E275" t="str">
            <v>Y</v>
          </cell>
          <cell r="F275">
            <v>2</v>
          </cell>
          <cell r="G275" t="str">
            <v>y</v>
          </cell>
          <cell r="H275">
            <v>43360</v>
          </cell>
          <cell r="I275">
            <v>43377</v>
          </cell>
          <cell r="J275">
            <v>43424</v>
          </cell>
          <cell r="K275">
            <v>43434</v>
          </cell>
          <cell r="L275">
            <v>43444</v>
          </cell>
          <cell r="M275">
            <v>0</v>
          </cell>
          <cell r="N275">
            <v>0</v>
          </cell>
          <cell r="O275">
            <v>0</v>
          </cell>
          <cell r="P275">
            <v>43349</v>
          </cell>
          <cell r="Q275">
            <v>43347</v>
          </cell>
          <cell r="R275">
            <v>3</v>
          </cell>
          <cell r="S275">
            <v>43444</v>
          </cell>
          <cell r="T275">
            <v>0</v>
          </cell>
          <cell r="U275">
            <v>43444</v>
          </cell>
          <cell r="V275">
            <v>43444</v>
          </cell>
          <cell r="W275">
            <v>43445</v>
          </cell>
          <cell r="X275">
            <v>43447</v>
          </cell>
          <cell r="Y275">
            <v>43447</v>
          </cell>
          <cell r="Z275">
            <v>43432</v>
          </cell>
          <cell r="AA275">
            <v>43448</v>
          </cell>
          <cell r="AB275">
            <v>0</v>
          </cell>
        </row>
        <row r="276">
          <cell r="A276" t="str">
            <v>18-069</v>
          </cell>
          <cell r="B276" t="str">
            <v>Y</v>
          </cell>
          <cell r="C276" t="str">
            <v>Y</v>
          </cell>
          <cell r="D276" t="str">
            <v>Y</v>
          </cell>
          <cell r="E276" t="str">
            <v>Y</v>
          </cell>
          <cell r="F276">
            <v>2</v>
          </cell>
          <cell r="G276" t="str">
            <v>y</v>
          </cell>
          <cell r="H276">
            <v>43360</v>
          </cell>
          <cell r="I276">
            <v>43377</v>
          </cell>
          <cell r="J276">
            <v>43392</v>
          </cell>
          <cell r="K276">
            <v>43398</v>
          </cell>
          <cell r="L276">
            <v>43399</v>
          </cell>
          <cell r="M276">
            <v>0</v>
          </cell>
          <cell r="N276">
            <v>0</v>
          </cell>
          <cell r="O276">
            <v>0</v>
          </cell>
          <cell r="P276">
            <v>43349</v>
          </cell>
          <cell r="Q276">
            <v>43347</v>
          </cell>
          <cell r="R276">
            <v>3</v>
          </cell>
          <cell r="S276">
            <v>43399</v>
          </cell>
          <cell r="T276">
            <v>0</v>
          </cell>
          <cell r="U276">
            <v>43399</v>
          </cell>
          <cell r="V276">
            <v>43403</v>
          </cell>
          <cell r="W276">
            <v>43403</v>
          </cell>
          <cell r="X276">
            <v>43404</v>
          </cell>
          <cell r="Y276">
            <v>43404</v>
          </cell>
          <cell r="Z276">
            <v>0</v>
          </cell>
          <cell r="AA276">
            <v>0</v>
          </cell>
          <cell r="AB276">
            <v>0</v>
          </cell>
        </row>
        <row r="277">
          <cell r="A277" t="str">
            <v>18-070</v>
          </cell>
          <cell r="B277" t="str">
            <v>Y</v>
          </cell>
          <cell r="C277" t="str">
            <v>Y</v>
          </cell>
          <cell r="D277" t="str">
            <v>Y</v>
          </cell>
          <cell r="E277" t="str">
            <v>Y</v>
          </cell>
          <cell r="F277">
            <v>1</v>
          </cell>
          <cell r="G277" t="str">
            <v>y</v>
          </cell>
          <cell r="H277">
            <v>43374</v>
          </cell>
          <cell r="I277">
            <v>43385</v>
          </cell>
          <cell r="J277">
            <v>43385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43362</v>
          </cell>
          <cell r="Q277">
            <v>43362</v>
          </cell>
          <cell r="R277">
            <v>2</v>
          </cell>
          <cell r="S277">
            <v>43385</v>
          </cell>
          <cell r="T277">
            <v>0</v>
          </cell>
          <cell r="U277">
            <v>43385</v>
          </cell>
          <cell r="V277">
            <v>43390</v>
          </cell>
          <cell r="W277">
            <v>43390</v>
          </cell>
          <cell r="X277">
            <v>43391</v>
          </cell>
          <cell r="Y277">
            <v>43391</v>
          </cell>
          <cell r="Z277">
            <v>43412</v>
          </cell>
          <cell r="AA277">
            <v>43413</v>
          </cell>
          <cell r="AB277">
            <v>0</v>
          </cell>
        </row>
        <row r="278">
          <cell r="A278" t="str">
            <v>18-071</v>
          </cell>
          <cell r="B278" t="str">
            <v>Y</v>
          </cell>
          <cell r="C278" t="str">
            <v>Y</v>
          </cell>
          <cell r="D278" t="str">
            <v>Y</v>
          </cell>
          <cell r="E278" t="str">
            <v>Y</v>
          </cell>
          <cell r="F278">
            <v>2</v>
          </cell>
          <cell r="G278" t="str">
            <v>y</v>
          </cell>
          <cell r="H278">
            <v>43383</v>
          </cell>
          <cell r="I278">
            <v>43389</v>
          </cell>
          <cell r="J278">
            <v>43395</v>
          </cell>
          <cell r="K278">
            <v>43397</v>
          </cell>
          <cell r="L278">
            <v>43399</v>
          </cell>
          <cell r="M278">
            <v>0</v>
          </cell>
          <cell r="N278">
            <v>0</v>
          </cell>
          <cell r="O278">
            <v>0</v>
          </cell>
          <cell r="P278">
            <v>43367</v>
          </cell>
          <cell r="Q278">
            <v>43364</v>
          </cell>
          <cell r="R278">
            <v>3</v>
          </cell>
          <cell r="S278">
            <v>43399</v>
          </cell>
          <cell r="T278">
            <v>0</v>
          </cell>
          <cell r="U278">
            <v>43399</v>
          </cell>
          <cell r="V278">
            <v>43404</v>
          </cell>
          <cell r="W278">
            <v>43404</v>
          </cell>
          <cell r="X278">
            <v>43406</v>
          </cell>
          <cell r="Y278">
            <v>43406</v>
          </cell>
          <cell r="Z278">
            <v>43424</v>
          </cell>
          <cell r="AA278">
            <v>0</v>
          </cell>
          <cell r="AB278">
            <v>0</v>
          </cell>
        </row>
        <row r="279">
          <cell r="A279" t="str">
            <v>18-072</v>
          </cell>
          <cell r="B279" t="str">
            <v>Y</v>
          </cell>
          <cell r="C279" t="str">
            <v>Y</v>
          </cell>
          <cell r="D279" t="str">
            <v>Y</v>
          </cell>
          <cell r="E279" t="str">
            <v>N</v>
          </cell>
          <cell r="F279">
            <v>2</v>
          </cell>
          <cell r="G279" t="str">
            <v>y</v>
          </cell>
          <cell r="H279">
            <v>43399</v>
          </cell>
          <cell r="I279">
            <v>43403</v>
          </cell>
          <cell r="J279">
            <v>43410</v>
          </cell>
          <cell r="K279">
            <v>43419</v>
          </cell>
          <cell r="L279">
            <v>43434</v>
          </cell>
          <cell r="M279">
            <v>43437</v>
          </cell>
          <cell r="N279">
            <v>0</v>
          </cell>
          <cell r="O279">
            <v>0</v>
          </cell>
          <cell r="P279">
            <v>43414</v>
          </cell>
          <cell r="Q279">
            <v>43397</v>
          </cell>
          <cell r="R279">
            <v>3</v>
          </cell>
          <cell r="S279">
            <v>43437</v>
          </cell>
          <cell r="T279">
            <v>0</v>
          </cell>
          <cell r="U279">
            <v>43437</v>
          </cell>
          <cell r="V279">
            <v>43440</v>
          </cell>
          <cell r="W279">
            <v>43440</v>
          </cell>
          <cell r="X279">
            <v>43444</v>
          </cell>
          <cell r="Y279">
            <v>43444</v>
          </cell>
          <cell r="Z279">
            <v>43445</v>
          </cell>
          <cell r="AA279">
            <v>43445</v>
          </cell>
          <cell r="AB279">
            <v>0</v>
          </cell>
        </row>
        <row r="280">
          <cell r="A280" t="str">
            <v>18-073</v>
          </cell>
          <cell r="B280" t="str">
            <v>N</v>
          </cell>
          <cell r="C280" t="str">
            <v>Y</v>
          </cell>
          <cell r="D280" t="str">
            <v>Y</v>
          </cell>
          <cell r="E280" t="str">
            <v>Y</v>
          </cell>
          <cell r="F280" t="str">
            <v xml:space="preserve">  </v>
          </cell>
          <cell r="G280" t="str">
            <v xml:space="preserve">  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 t="str">
            <v>NA</v>
          </cell>
          <cell r="Q280" t="str">
            <v>NA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NA</v>
          </cell>
          <cell r="W280" t="str">
            <v>NA</v>
          </cell>
          <cell r="X280" t="str">
            <v>NA</v>
          </cell>
          <cell r="Y280" t="str">
            <v>NA</v>
          </cell>
          <cell r="Z280">
            <v>43405</v>
          </cell>
          <cell r="AA280">
            <v>0</v>
          </cell>
          <cell r="AB280">
            <v>0</v>
          </cell>
        </row>
        <row r="281">
          <cell r="A281" t="str">
            <v>18-074</v>
          </cell>
          <cell r="B281" t="str">
            <v>Y</v>
          </cell>
          <cell r="C281" t="str">
            <v>Y</v>
          </cell>
          <cell r="D281" t="str">
            <v>Y</v>
          </cell>
          <cell r="E281" t="str">
            <v>Y</v>
          </cell>
          <cell r="F281">
            <v>2</v>
          </cell>
          <cell r="G281" t="str">
            <v>y</v>
          </cell>
          <cell r="H281">
            <v>43424</v>
          </cell>
          <cell r="I281">
            <v>43446</v>
          </cell>
          <cell r="J281">
            <v>43452</v>
          </cell>
          <cell r="K281">
            <v>43453</v>
          </cell>
          <cell r="L281">
            <v>43453</v>
          </cell>
          <cell r="M281">
            <v>0</v>
          </cell>
          <cell r="N281">
            <v>0</v>
          </cell>
          <cell r="O281">
            <v>0</v>
          </cell>
          <cell r="P281">
            <v>43424</v>
          </cell>
          <cell r="Q281">
            <v>43424</v>
          </cell>
          <cell r="R281">
            <v>3</v>
          </cell>
          <cell r="S281">
            <v>43453</v>
          </cell>
          <cell r="T281">
            <v>0</v>
          </cell>
          <cell r="U281">
            <v>43453</v>
          </cell>
          <cell r="V281">
            <v>43455</v>
          </cell>
          <cell r="W281">
            <v>43455</v>
          </cell>
          <cell r="X281">
            <v>43460</v>
          </cell>
          <cell r="Y281">
            <v>43460</v>
          </cell>
          <cell r="Z281">
            <v>43454</v>
          </cell>
          <cell r="AA281">
            <v>43468</v>
          </cell>
          <cell r="AB281">
            <v>0</v>
          </cell>
        </row>
        <row r="282">
          <cell r="A282" t="str">
            <v>18-075</v>
          </cell>
          <cell r="B282" t="str">
            <v>Y</v>
          </cell>
          <cell r="C282" t="str">
            <v>Y</v>
          </cell>
          <cell r="D282" t="str">
            <v>Y</v>
          </cell>
          <cell r="E282" t="str">
            <v>Y</v>
          </cell>
          <cell r="F282">
            <v>2</v>
          </cell>
          <cell r="G282" t="str">
            <v>y</v>
          </cell>
          <cell r="H282">
            <v>43424</v>
          </cell>
          <cell r="I282">
            <v>43446</v>
          </cell>
          <cell r="J282">
            <v>43452</v>
          </cell>
          <cell r="K282">
            <v>43453</v>
          </cell>
          <cell r="L282">
            <v>43453</v>
          </cell>
          <cell r="M282">
            <v>0</v>
          </cell>
          <cell r="N282">
            <v>0</v>
          </cell>
          <cell r="O282">
            <v>0</v>
          </cell>
          <cell r="P282">
            <v>43424</v>
          </cell>
          <cell r="Q282">
            <v>43424</v>
          </cell>
          <cell r="R282">
            <v>3</v>
          </cell>
          <cell r="S282">
            <v>43453</v>
          </cell>
          <cell r="T282">
            <v>0</v>
          </cell>
          <cell r="U282">
            <v>43453</v>
          </cell>
          <cell r="V282">
            <v>43455</v>
          </cell>
          <cell r="W282">
            <v>43455</v>
          </cell>
          <cell r="X282">
            <v>43460</v>
          </cell>
          <cell r="Y282">
            <v>43460</v>
          </cell>
          <cell r="Z282">
            <v>43454</v>
          </cell>
          <cell r="AA282">
            <v>43468</v>
          </cell>
          <cell r="AB282">
            <v>0</v>
          </cell>
        </row>
        <row r="283">
          <cell r="A283" t="str">
            <v>18-076</v>
          </cell>
          <cell r="B283" t="str">
            <v>Y</v>
          </cell>
          <cell r="C283" t="str">
            <v>Y</v>
          </cell>
          <cell r="D283" t="str">
            <v>Y</v>
          </cell>
          <cell r="E283" t="str">
            <v>Y</v>
          </cell>
          <cell r="F283">
            <v>2</v>
          </cell>
          <cell r="G283" t="str">
            <v>y</v>
          </cell>
          <cell r="H283">
            <v>43434</v>
          </cell>
          <cell r="I283">
            <v>43444</v>
          </cell>
          <cell r="J283">
            <v>43447</v>
          </cell>
          <cell r="K283">
            <v>43454</v>
          </cell>
          <cell r="L283">
            <v>43454</v>
          </cell>
          <cell r="M283">
            <v>0</v>
          </cell>
          <cell r="N283">
            <v>0</v>
          </cell>
          <cell r="O283">
            <v>0</v>
          </cell>
          <cell r="P283">
            <v>43434</v>
          </cell>
          <cell r="Q283">
            <v>43420</v>
          </cell>
          <cell r="R283">
            <v>3</v>
          </cell>
          <cell r="S283">
            <v>43454</v>
          </cell>
          <cell r="T283">
            <v>0</v>
          </cell>
          <cell r="U283">
            <v>43454</v>
          </cell>
          <cell r="V283">
            <v>43461</v>
          </cell>
          <cell r="W283">
            <v>43461</v>
          </cell>
          <cell r="X283">
            <v>43462</v>
          </cell>
          <cell r="Y283">
            <v>43462</v>
          </cell>
          <cell r="Z283">
            <v>43481</v>
          </cell>
          <cell r="AA283">
            <v>43482</v>
          </cell>
          <cell r="AB283">
            <v>0</v>
          </cell>
        </row>
        <row r="284">
          <cell r="A284" t="str">
            <v>18-077</v>
          </cell>
          <cell r="B284" t="str">
            <v>Y</v>
          </cell>
          <cell r="C284" t="str">
            <v>Y</v>
          </cell>
          <cell r="D284" t="str">
            <v>Y</v>
          </cell>
          <cell r="E284" t="str">
            <v>Y</v>
          </cell>
          <cell r="F284">
            <v>1</v>
          </cell>
          <cell r="G284" t="str">
            <v>y</v>
          </cell>
          <cell r="H284">
            <v>43434</v>
          </cell>
          <cell r="I284">
            <v>43444</v>
          </cell>
          <cell r="J284">
            <v>43447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43425</v>
          </cell>
          <cell r="Q284">
            <v>43420</v>
          </cell>
          <cell r="R284">
            <v>2</v>
          </cell>
          <cell r="S284">
            <v>43447</v>
          </cell>
          <cell r="T284">
            <v>0</v>
          </cell>
          <cell r="U284">
            <v>43447</v>
          </cell>
          <cell r="V284">
            <v>43452</v>
          </cell>
          <cell r="W284">
            <v>43452</v>
          </cell>
          <cell r="X284">
            <v>43454</v>
          </cell>
          <cell r="Y284">
            <v>43454</v>
          </cell>
          <cell r="Z284">
            <v>43467</v>
          </cell>
          <cell r="AA284">
            <v>43468</v>
          </cell>
          <cell r="AB284">
            <v>0</v>
          </cell>
        </row>
        <row r="285">
          <cell r="A285" t="str">
            <v>18-078</v>
          </cell>
          <cell r="B285" t="str">
            <v>Y</v>
          </cell>
          <cell r="C285" t="str">
            <v>Y</v>
          </cell>
          <cell r="D285" t="str">
            <v>Y</v>
          </cell>
          <cell r="E285" t="str">
            <v>Y</v>
          </cell>
          <cell r="F285">
            <v>1</v>
          </cell>
          <cell r="G285" t="str">
            <v>y</v>
          </cell>
          <cell r="H285">
            <v>43434</v>
          </cell>
          <cell r="I285">
            <v>43444</v>
          </cell>
          <cell r="J285">
            <v>43447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43425</v>
          </cell>
          <cell r="Q285">
            <v>43420</v>
          </cell>
          <cell r="R285">
            <v>2</v>
          </cell>
          <cell r="S285">
            <v>43447</v>
          </cell>
          <cell r="T285">
            <v>0</v>
          </cell>
          <cell r="U285">
            <v>43447</v>
          </cell>
          <cell r="V285">
            <v>43452</v>
          </cell>
          <cell r="W285">
            <v>43452</v>
          </cell>
          <cell r="X285">
            <v>43454</v>
          </cell>
          <cell r="Y285">
            <v>43454</v>
          </cell>
          <cell r="Z285">
            <v>43467</v>
          </cell>
          <cell r="AA285">
            <v>43468</v>
          </cell>
          <cell r="AB285">
            <v>0</v>
          </cell>
        </row>
        <row r="286">
          <cell r="A286" t="str">
            <v>18-079</v>
          </cell>
          <cell r="B286" t="str">
            <v>Y</v>
          </cell>
          <cell r="C286" t="str">
            <v>Y</v>
          </cell>
          <cell r="D286" t="str">
            <v>Y</v>
          </cell>
          <cell r="E286" t="str">
            <v>Y</v>
          </cell>
          <cell r="F286">
            <v>1</v>
          </cell>
          <cell r="G286" t="str">
            <v>y</v>
          </cell>
          <cell r="H286">
            <v>43434</v>
          </cell>
          <cell r="I286">
            <v>43444</v>
          </cell>
          <cell r="J286">
            <v>43447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43424</v>
          </cell>
          <cell r="Q286">
            <v>43420</v>
          </cell>
          <cell r="R286">
            <v>2</v>
          </cell>
          <cell r="S286">
            <v>43447</v>
          </cell>
          <cell r="T286">
            <v>0</v>
          </cell>
          <cell r="U286">
            <v>43447</v>
          </cell>
          <cell r="V286">
            <v>43452</v>
          </cell>
          <cell r="W286">
            <v>43452</v>
          </cell>
          <cell r="X286">
            <v>43454</v>
          </cell>
          <cell r="Y286">
            <v>43454</v>
          </cell>
          <cell r="Z286">
            <v>43467</v>
          </cell>
          <cell r="AA286">
            <v>43468</v>
          </cell>
          <cell r="AB286">
            <v>0</v>
          </cell>
        </row>
        <row r="287">
          <cell r="A287" t="str">
            <v>18-080</v>
          </cell>
          <cell r="B287" t="str">
            <v>Y</v>
          </cell>
          <cell r="C287" t="str">
            <v>Y</v>
          </cell>
          <cell r="D287" t="str">
            <v>N</v>
          </cell>
          <cell r="E287" t="str">
            <v>Y</v>
          </cell>
          <cell r="F287">
            <v>1</v>
          </cell>
          <cell r="G287" t="str">
            <v>y</v>
          </cell>
          <cell r="H287">
            <v>43430</v>
          </cell>
          <cell r="I287">
            <v>43430</v>
          </cell>
          <cell r="J287">
            <v>43430</v>
          </cell>
          <cell r="K287">
            <v>43431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43423</v>
          </cell>
          <cell r="Q287">
            <v>43423</v>
          </cell>
          <cell r="R287">
            <v>2</v>
          </cell>
          <cell r="S287">
            <v>43430</v>
          </cell>
          <cell r="T287">
            <v>0</v>
          </cell>
          <cell r="U287">
            <v>43430</v>
          </cell>
          <cell r="V287">
            <v>43431</v>
          </cell>
          <cell r="W287">
            <v>43431</v>
          </cell>
          <cell r="X287">
            <v>43432</v>
          </cell>
          <cell r="Y287">
            <v>43432</v>
          </cell>
          <cell r="Z287">
            <v>43467</v>
          </cell>
          <cell r="AA287">
            <v>43468</v>
          </cell>
          <cell r="AB287">
            <v>0</v>
          </cell>
        </row>
        <row r="288">
          <cell r="A288" t="str">
            <v>18-081</v>
          </cell>
          <cell r="B288" t="str">
            <v>Y</v>
          </cell>
          <cell r="C288" t="str">
            <v>Y</v>
          </cell>
          <cell r="D288" t="str">
            <v>N</v>
          </cell>
          <cell r="E288" t="str">
            <v>Y</v>
          </cell>
          <cell r="F288">
            <v>1</v>
          </cell>
          <cell r="G288" t="str">
            <v>y</v>
          </cell>
          <cell r="H288">
            <v>43502</v>
          </cell>
          <cell r="I288">
            <v>43507</v>
          </cell>
          <cell r="J288">
            <v>43511</v>
          </cell>
          <cell r="K288">
            <v>43515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43420</v>
          </cell>
          <cell r="Q288">
            <v>43500</v>
          </cell>
          <cell r="R288">
            <v>2</v>
          </cell>
          <cell r="S288">
            <v>43515</v>
          </cell>
          <cell r="T288">
            <v>0</v>
          </cell>
          <cell r="U288">
            <v>43515</v>
          </cell>
          <cell r="V288">
            <v>43511</v>
          </cell>
          <cell r="W288">
            <v>43514</v>
          </cell>
          <cell r="X288">
            <v>43518</v>
          </cell>
          <cell r="Y288">
            <v>43523</v>
          </cell>
          <cell r="Z288">
            <v>43508</v>
          </cell>
          <cell r="AA288">
            <v>43516</v>
          </cell>
          <cell r="AB288">
            <v>0</v>
          </cell>
        </row>
        <row r="289">
          <cell r="A289" t="str">
            <v>18-082</v>
          </cell>
          <cell r="B289" t="str">
            <v>Y</v>
          </cell>
          <cell r="C289" t="str">
            <v>Y</v>
          </cell>
          <cell r="D289" t="str">
            <v>N</v>
          </cell>
          <cell r="E289" t="str">
            <v>Y</v>
          </cell>
          <cell r="F289">
            <v>1</v>
          </cell>
          <cell r="G289" t="str">
            <v>y</v>
          </cell>
          <cell r="H289">
            <v>43502</v>
          </cell>
          <cell r="I289">
            <v>43507</v>
          </cell>
          <cell r="J289">
            <v>43514</v>
          </cell>
          <cell r="K289">
            <v>43515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43420</v>
          </cell>
          <cell r="Q289">
            <v>43500</v>
          </cell>
          <cell r="R289">
            <v>2</v>
          </cell>
          <cell r="S289">
            <v>43515</v>
          </cell>
          <cell r="T289">
            <v>0</v>
          </cell>
          <cell r="U289">
            <v>43515</v>
          </cell>
          <cell r="V289">
            <v>43511</v>
          </cell>
          <cell r="W289">
            <v>43514</v>
          </cell>
          <cell r="X289">
            <v>43518</v>
          </cell>
          <cell r="Y289">
            <v>43523</v>
          </cell>
          <cell r="Z289">
            <v>43508</v>
          </cell>
          <cell r="AA289">
            <v>43516</v>
          </cell>
          <cell r="AB289">
            <v>0</v>
          </cell>
        </row>
        <row r="290">
          <cell r="A290" t="str">
            <v>18-083</v>
          </cell>
          <cell r="B290" t="str">
            <v>N</v>
          </cell>
          <cell r="C290" t="str">
            <v>Y</v>
          </cell>
          <cell r="D290" t="str">
            <v>Y</v>
          </cell>
          <cell r="E290" t="str">
            <v>Y</v>
          </cell>
          <cell r="F290" t="str">
            <v xml:space="preserve">  </v>
          </cell>
          <cell r="G290" t="str">
            <v xml:space="preserve">  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 t="str">
            <v>NA</v>
          </cell>
          <cell r="Q290" t="str">
            <v>NA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 t="str">
            <v>NA</v>
          </cell>
          <cell r="W290" t="str">
            <v>NA</v>
          </cell>
          <cell r="X290" t="str">
            <v>NA</v>
          </cell>
          <cell r="Y290" t="str">
            <v>NA</v>
          </cell>
          <cell r="Z290">
            <v>0</v>
          </cell>
          <cell r="AA290">
            <v>0</v>
          </cell>
          <cell r="AB290">
            <v>0</v>
          </cell>
        </row>
        <row r="291">
          <cell r="A291" t="str">
            <v>18-084</v>
          </cell>
          <cell r="B291" t="str">
            <v>N</v>
          </cell>
          <cell r="C291" t="str">
            <v>Y</v>
          </cell>
          <cell r="D291" t="str">
            <v>Y</v>
          </cell>
          <cell r="E291" t="str">
            <v>Y</v>
          </cell>
          <cell r="F291" t="str">
            <v xml:space="preserve">  </v>
          </cell>
          <cell r="G291" t="str">
            <v xml:space="preserve">  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43433</v>
          </cell>
          <cell r="Q291">
            <v>43432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43433</v>
          </cell>
          <cell r="W291">
            <v>43433</v>
          </cell>
          <cell r="X291">
            <v>43433</v>
          </cell>
          <cell r="Y291">
            <v>43433</v>
          </cell>
          <cell r="Z291">
            <v>43445</v>
          </cell>
          <cell r="AA291">
            <v>43439</v>
          </cell>
          <cell r="AB291">
            <v>0</v>
          </cell>
        </row>
        <row r="292">
          <cell r="A292" t="str">
            <v>18-085</v>
          </cell>
          <cell r="B292" t="str">
            <v>Y</v>
          </cell>
          <cell r="C292" t="str">
            <v>Y</v>
          </cell>
          <cell r="D292" t="str">
            <v>N</v>
          </cell>
          <cell r="E292" t="str">
            <v>Y</v>
          </cell>
          <cell r="F292">
            <v>1</v>
          </cell>
          <cell r="G292" t="str">
            <v>y</v>
          </cell>
          <cell r="H292">
            <v>43454</v>
          </cell>
          <cell r="I292">
            <v>43473</v>
          </cell>
          <cell r="J292">
            <v>43481</v>
          </cell>
          <cell r="K292">
            <v>43493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43445</v>
          </cell>
          <cell r="Q292">
            <v>43439</v>
          </cell>
          <cell r="R292">
            <v>2</v>
          </cell>
          <cell r="S292">
            <v>43500</v>
          </cell>
          <cell r="T292">
            <v>0</v>
          </cell>
          <cell r="U292">
            <v>43500</v>
          </cell>
          <cell r="V292">
            <v>43503</v>
          </cell>
          <cell r="W292">
            <v>43503</v>
          </cell>
          <cell r="X292">
            <v>43504</v>
          </cell>
          <cell r="Y292">
            <v>43504</v>
          </cell>
          <cell r="Z292">
            <v>43518</v>
          </cell>
          <cell r="AA292">
            <v>43521</v>
          </cell>
          <cell r="AB292">
            <v>0</v>
          </cell>
        </row>
        <row r="293">
          <cell r="A293" t="str">
            <v>18-086</v>
          </cell>
          <cell r="B293" t="str">
            <v>Y</v>
          </cell>
          <cell r="C293" t="str">
            <v>Y</v>
          </cell>
          <cell r="D293" t="str">
            <v>Y</v>
          </cell>
          <cell r="E293" t="str">
            <v>Y</v>
          </cell>
          <cell r="F293">
            <v>1</v>
          </cell>
          <cell r="G293" t="str">
            <v>y</v>
          </cell>
          <cell r="H293">
            <v>43455</v>
          </cell>
          <cell r="I293">
            <v>43528</v>
          </cell>
          <cell r="J293">
            <v>43535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43440</v>
          </cell>
          <cell r="Q293">
            <v>43440</v>
          </cell>
          <cell r="R293">
            <v>2</v>
          </cell>
          <cell r="S293">
            <v>43535</v>
          </cell>
          <cell r="T293">
            <v>0</v>
          </cell>
          <cell r="U293">
            <v>43535</v>
          </cell>
          <cell r="V293">
            <v>43535</v>
          </cell>
          <cell r="W293">
            <v>43535</v>
          </cell>
          <cell r="X293">
            <v>43537</v>
          </cell>
          <cell r="Y293">
            <v>43537</v>
          </cell>
          <cell r="Z293">
            <v>43532</v>
          </cell>
          <cell r="AA293">
            <v>43538</v>
          </cell>
          <cell r="AB293">
            <v>0</v>
          </cell>
        </row>
        <row r="294">
          <cell r="A294" t="str">
            <v>18-087</v>
          </cell>
          <cell r="B294" t="str">
            <v>Y</v>
          </cell>
          <cell r="C294" t="str">
            <v>Y</v>
          </cell>
          <cell r="D294" t="str">
            <v>y</v>
          </cell>
          <cell r="E294" t="str">
            <v>Y</v>
          </cell>
          <cell r="F294">
            <v>1</v>
          </cell>
          <cell r="G294" t="str">
            <v>y</v>
          </cell>
          <cell r="H294">
            <v>43448</v>
          </cell>
          <cell r="I294">
            <v>43452</v>
          </cell>
          <cell r="J294">
            <v>43454</v>
          </cell>
          <cell r="K294">
            <v>43455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43440</v>
          </cell>
          <cell r="Q294">
            <v>43440</v>
          </cell>
          <cell r="R294">
            <v>2</v>
          </cell>
          <cell r="S294">
            <v>43455</v>
          </cell>
          <cell r="T294">
            <v>0</v>
          </cell>
          <cell r="U294">
            <v>43455</v>
          </cell>
          <cell r="V294">
            <v>43827</v>
          </cell>
          <cell r="W294">
            <v>43827</v>
          </cell>
          <cell r="X294">
            <v>43827</v>
          </cell>
          <cell r="Y294">
            <v>43827</v>
          </cell>
          <cell r="Z294">
            <v>0</v>
          </cell>
          <cell r="AA294">
            <v>0</v>
          </cell>
          <cell r="AB294">
            <v>0</v>
          </cell>
        </row>
        <row r="295">
          <cell r="A295" t="str">
            <v>18-088</v>
          </cell>
          <cell r="B295" t="str">
            <v>Y</v>
          </cell>
          <cell r="C295" t="str">
            <v>Y</v>
          </cell>
          <cell r="D295" t="str">
            <v>Y</v>
          </cell>
          <cell r="E295" t="str">
            <v>Y</v>
          </cell>
          <cell r="F295">
            <v>1</v>
          </cell>
          <cell r="G295" t="str">
            <v>y</v>
          </cell>
          <cell r="H295">
            <v>43453</v>
          </cell>
          <cell r="I295">
            <v>43472</v>
          </cell>
          <cell r="J295">
            <v>43472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43445</v>
          </cell>
          <cell r="Q295">
            <v>43444</v>
          </cell>
          <cell r="R295">
            <v>2</v>
          </cell>
          <cell r="S295">
            <v>43472</v>
          </cell>
          <cell r="T295">
            <v>0</v>
          </cell>
          <cell r="U295">
            <v>43472</v>
          </cell>
          <cell r="V295">
            <v>43472</v>
          </cell>
          <cell r="W295">
            <v>43472</v>
          </cell>
          <cell r="X295">
            <v>43473</v>
          </cell>
          <cell r="Y295">
            <v>43473</v>
          </cell>
          <cell r="Z295">
            <v>0</v>
          </cell>
          <cell r="AA295">
            <v>0</v>
          </cell>
          <cell r="AB295">
            <v>0</v>
          </cell>
        </row>
        <row r="296">
          <cell r="A296" t="str">
            <v>18-089</v>
          </cell>
          <cell r="B296" t="str">
            <v>Y</v>
          </cell>
          <cell r="C296" t="str">
            <v>Y</v>
          </cell>
          <cell r="D296" t="str">
            <v>Y</v>
          </cell>
          <cell r="E296" t="str">
            <v>Y</v>
          </cell>
          <cell r="F296">
            <v>1</v>
          </cell>
          <cell r="G296" t="str">
            <v>y</v>
          </cell>
          <cell r="H296">
            <v>43453</v>
          </cell>
          <cell r="I296">
            <v>43472</v>
          </cell>
          <cell r="J296">
            <v>43472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43445</v>
          </cell>
          <cell r="Q296">
            <v>43444</v>
          </cell>
          <cell r="R296">
            <v>2</v>
          </cell>
          <cell r="S296">
            <v>43472</v>
          </cell>
          <cell r="T296">
            <v>0</v>
          </cell>
          <cell r="U296">
            <v>43472</v>
          </cell>
          <cell r="V296">
            <v>43472</v>
          </cell>
          <cell r="W296">
            <v>43472</v>
          </cell>
          <cell r="X296">
            <v>43473</v>
          </cell>
          <cell r="Y296">
            <v>43473</v>
          </cell>
          <cell r="Z296">
            <v>0</v>
          </cell>
          <cell r="AA296">
            <v>0</v>
          </cell>
          <cell r="AB296">
            <v>0</v>
          </cell>
        </row>
        <row r="297">
          <cell r="A297" t="str">
            <v>18-090</v>
          </cell>
          <cell r="B297" t="str">
            <v>Y</v>
          </cell>
          <cell r="C297" t="str">
            <v>Y</v>
          </cell>
          <cell r="D297" t="str">
            <v>Y</v>
          </cell>
          <cell r="E297" t="str">
            <v>Y</v>
          </cell>
          <cell r="F297">
            <v>1</v>
          </cell>
          <cell r="G297" t="str">
            <v>y</v>
          </cell>
          <cell r="H297">
            <v>43469</v>
          </cell>
          <cell r="I297">
            <v>43496</v>
          </cell>
          <cell r="J297">
            <v>43500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43448</v>
          </cell>
          <cell r="Q297" t="str">
            <v>12/13/1018</v>
          </cell>
          <cell r="R297">
            <v>2</v>
          </cell>
          <cell r="S297">
            <v>43500</v>
          </cell>
          <cell r="T297">
            <v>0</v>
          </cell>
          <cell r="U297">
            <v>43500</v>
          </cell>
          <cell r="V297">
            <v>43507</v>
          </cell>
          <cell r="W297">
            <v>43507</v>
          </cell>
          <cell r="X297">
            <v>43508</v>
          </cell>
          <cell r="Y297">
            <v>43508</v>
          </cell>
          <cell r="Z297">
            <v>43511</v>
          </cell>
          <cell r="AA297">
            <v>43514</v>
          </cell>
          <cell r="AB297">
            <v>0</v>
          </cell>
        </row>
        <row r="298">
          <cell r="A298" t="str">
            <v>18-091</v>
          </cell>
          <cell r="B298" t="str">
            <v>Y</v>
          </cell>
          <cell r="C298" t="str">
            <v>Y</v>
          </cell>
          <cell r="D298" t="str">
            <v>Y</v>
          </cell>
          <cell r="E298" t="str">
            <v>Y</v>
          </cell>
          <cell r="F298">
            <v>1</v>
          </cell>
          <cell r="G298" t="str">
            <v>y</v>
          </cell>
          <cell r="H298">
            <v>43469</v>
          </cell>
          <cell r="I298">
            <v>43496</v>
          </cell>
          <cell r="J298">
            <v>43500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43448</v>
          </cell>
          <cell r="Q298" t="str">
            <v>12/13/1018</v>
          </cell>
          <cell r="R298">
            <v>2</v>
          </cell>
          <cell r="S298">
            <v>43500</v>
          </cell>
          <cell r="T298">
            <v>0</v>
          </cell>
          <cell r="U298">
            <v>43500</v>
          </cell>
          <cell r="V298">
            <v>43503</v>
          </cell>
          <cell r="W298">
            <v>43504</v>
          </cell>
          <cell r="X298">
            <v>43507</v>
          </cell>
          <cell r="Y298">
            <v>43507</v>
          </cell>
          <cell r="Z298">
            <v>43514</v>
          </cell>
          <cell r="AA298">
            <v>43515</v>
          </cell>
          <cell r="AB298">
            <v>0</v>
          </cell>
        </row>
        <row r="299">
          <cell r="A299" t="str">
            <v>18-092</v>
          </cell>
          <cell r="B299" t="str">
            <v>Y</v>
          </cell>
          <cell r="C299" t="str">
            <v>Y</v>
          </cell>
          <cell r="D299" t="str">
            <v>Y</v>
          </cell>
          <cell r="E299" t="str">
            <v>Y</v>
          </cell>
          <cell r="F299">
            <v>1</v>
          </cell>
          <cell r="G299" t="str">
            <v>y</v>
          </cell>
          <cell r="H299">
            <v>43469</v>
          </cell>
          <cell r="I299">
            <v>43469</v>
          </cell>
          <cell r="J299">
            <v>43472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43448</v>
          </cell>
          <cell r="Q299" t="str">
            <v>12/13/1018</v>
          </cell>
          <cell r="R299">
            <v>2</v>
          </cell>
          <cell r="S299">
            <v>43472</v>
          </cell>
          <cell r="T299">
            <v>0</v>
          </cell>
          <cell r="U299">
            <v>43472</v>
          </cell>
          <cell r="V299">
            <v>43472</v>
          </cell>
          <cell r="W299">
            <v>43473</v>
          </cell>
          <cell r="X299">
            <v>43474</v>
          </cell>
          <cell r="Y299">
            <v>43474</v>
          </cell>
          <cell r="Z299">
            <v>43482</v>
          </cell>
          <cell r="AA299">
            <v>43486</v>
          </cell>
          <cell r="AB299">
            <v>0</v>
          </cell>
        </row>
        <row r="300">
          <cell r="A300" t="str">
            <v>19-001</v>
          </cell>
          <cell r="B300" t="str">
            <v>Y</v>
          </cell>
          <cell r="C300" t="str">
            <v>Y</v>
          </cell>
          <cell r="D300" t="str">
            <v>Y</v>
          </cell>
          <cell r="E300" t="str">
            <v>Y</v>
          </cell>
          <cell r="F300">
            <v>2</v>
          </cell>
          <cell r="G300" t="str">
            <v>y</v>
          </cell>
          <cell r="H300">
            <v>43503</v>
          </cell>
          <cell r="I300">
            <v>43515</v>
          </cell>
          <cell r="J300">
            <v>43521</v>
          </cell>
          <cell r="K300">
            <v>43528</v>
          </cell>
          <cell r="L300">
            <v>43528</v>
          </cell>
          <cell r="M300">
            <v>0</v>
          </cell>
          <cell r="N300">
            <v>0</v>
          </cell>
          <cell r="O300">
            <v>0</v>
          </cell>
          <cell r="P300">
            <v>43487</v>
          </cell>
          <cell r="Q300">
            <v>43481</v>
          </cell>
          <cell r="R300">
            <v>3</v>
          </cell>
          <cell r="S300">
            <v>43528</v>
          </cell>
          <cell r="T300">
            <v>0</v>
          </cell>
          <cell r="U300">
            <v>43528</v>
          </cell>
          <cell r="V300">
            <v>43530</v>
          </cell>
          <cell r="W300">
            <v>43530</v>
          </cell>
          <cell r="X300">
            <v>43531</v>
          </cell>
          <cell r="Y300">
            <v>43532</v>
          </cell>
          <cell r="Z300">
            <v>43532</v>
          </cell>
          <cell r="AA300">
            <v>43535</v>
          </cell>
          <cell r="AB300">
            <v>0</v>
          </cell>
        </row>
        <row r="301">
          <cell r="A301" t="str">
            <v>19-002</v>
          </cell>
          <cell r="B301" t="str">
            <v>Y</v>
          </cell>
          <cell r="C301" t="str">
            <v>Y</v>
          </cell>
          <cell r="D301" t="str">
            <v>Y</v>
          </cell>
          <cell r="E301" t="str">
            <v>Y</v>
          </cell>
          <cell r="F301">
            <v>2</v>
          </cell>
          <cell r="G301" t="str">
            <v>y</v>
          </cell>
          <cell r="H301">
            <v>43503</v>
          </cell>
          <cell r="I301">
            <v>43515</v>
          </cell>
          <cell r="J301">
            <v>43521</v>
          </cell>
          <cell r="K301">
            <v>43528</v>
          </cell>
          <cell r="L301">
            <v>43528</v>
          </cell>
          <cell r="M301">
            <v>0</v>
          </cell>
          <cell r="N301">
            <v>0</v>
          </cell>
          <cell r="O301">
            <v>0</v>
          </cell>
          <cell r="P301">
            <v>43487</v>
          </cell>
          <cell r="Q301">
            <v>43481</v>
          </cell>
          <cell r="R301">
            <v>3</v>
          </cell>
          <cell r="S301">
            <v>43528</v>
          </cell>
          <cell r="T301">
            <v>0</v>
          </cell>
          <cell r="U301">
            <v>43528</v>
          </cell>
          <cell r="V301">
            <v>43530</v>
          </cell>
          <cell r="W301">
            <v>43530</v>
          </cell>
          <cell r="X301">
            <v>43531</v>
          </cell>
          <cell r="Y301">
            <v>43532</v>
          </cell>
          <cell r="Z301">
            <v>43532</v>
          </cell>
          <cell r="AA301">
            <v>43535</v>
          </cell>
          <cell r="AB301">
            <v>0</v>
          </cell>
        </row>
        <row r="302">
          <cell r="A302" t="str">
            <v>19-003</v>
          </cell>
          <cell r="B302" t="str">
            <v>N</v>
          </cell>
          <cell r="C302" t="str">
            <v>Y</v>
          </cell>
          <cell r="D302" t="str">
            <v>Y</v>
          </cell>
          <cell r="E302" t="str">
            <v>Y</v>
          </cell>
          <cell r="F302" t="str">
            <v xml:space="preserve">  </v>
          </cell>
          <cell r="G302" t="str">
            <v>y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43501</v>
          </cell>
          <cell r="Q302">
            <v>43501</v>
          </cell>
          <cell r="R302">
            <v>0</v>
          </cell>
          <cell r="S302">
            <v>43524</v>
          </cell>
          <cell r="T302">
            <v>0</v>
          </cell>
          <cell r="U302">
            <v>43524</v>
          </cell>
          <cell r="V302">
            <v>43521</v>
          </cell>
          <cell r="W302">
            <v>43522</v>
          </cell>
          <cell r="X302">
            <v>43522</v>
          </cell>
          <cell r="Y302">
            <v>43523</v>
          </cell>
          <cell r="Z302">
            <v>43518</v>
          </cell>
          <cell r="AA302">
            <v>43524</v>
          </cell>
          <cell r="AB302">
            <v>0</v>
          </cell>
        </row>
        <row r="303">
          <cell r="A303" t="str">
            <v>19-004</v>
          </cell>
          <cell r="B303" t="str">
            <v>N</v>
          </cell>
          <cell r="C303" t="str">
            <v>Y</v>
          </cell>
          <cell r="D303" t="str">
            <v>Y</v>
          </cell>
          <cell r="E303" t="str">
            <v>Y</v>
          </cell>
          <cell r="F303" t="str">
            <v xml:space="preserve">  </v>
          </cell>
          <cell r="G303" t="str">
            <v>y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43508</v>
          </cell>
          <cell r="Q303">
            <v>43504</v>
          </cell>
          <cell r="R303">
            <v>0</v>
          </cell>
          <cell r="S303">
            <v>43524</v>
          </cell>
          <cell r="T303">
            <v>0</v>
          </cell>
          <cell r="U303">
            <v>43524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43521</v>
          </cell>
          <cell r="AA303">
            <v>43528</v>
          </cell>
          <cell r="AB303">
            <v>0</v>
          </cell>
        </row>
        <row r="304">
          <cell r="A304" t="str">
            <v>19-005</v>
          </cell>
          <cell r="B304" t="str">
            <v>N</v>
          </cell>
          <cell r="C304" t="str">
            <v>Y</v>
          </cell>
          <cell r="D304" t="str">
            <v>Y</v>
          </cell>
          <cell r="E304" t="str">
            <v>Y</v>
          </cell>
          <cell r="F304" t="str">
            <v xml:space="preserve">  </v>
          </cell>
          <cell r="G304" t="str">
            <v xml:space="preserve">  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 t="str">
            <v>NA</v>
          </cell>
          <cell r="Q304" t="str">
            <v>NA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 t="str">
            <v>NA</v>
          </cell>
          <cell r="W304" t="str">
            <v>NA</v>
          </cell>
          <cell r="X304" t="str">
            <v>NA</v>
          </cell>
          <cell r="Y304" t="str">
            <v>NA</v>
          </cell>
          <cell r="Z304">
            <v>0</v>
          </cell>
          <cell r="AA304">
            <v>0</v>
          </cell>
          <cell r="AB304">
            <v>0</v>
          </cell>
        </row>
        <row r="305">
          <cell r="A305" t="str">
            <v>19-006</v>
          </cell>
          <cell r="B305" t="str">
            <v>Y</v>
          </cell>
          <cell r="C305" t="str">
            <v>Y</v>
          </cell>
          <cell r="D305" t="str">
            <v>Y</v>
          </cell>
          <cell r="E305" t="str">
            <v>Y</v>
          </cell>
          <cell r="F305">
            <v>0</v>
          </cell>
          <cell r="G305" t="str">
            <v xml:space="preserve">  </v>
          </cell>
          <cell r="H305">
            <v>43538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43536</v>
          </cell>
          <cell r="Q305">
            <v>43535</v>
          </cell>
          <cell r="R305">
            <v>1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</row>
        <row r="306">
          <cell r="A306" t="str">
            <v>19-007</v>
          </cell>
          <cell r="B306" t="str">
            <v>Y</v>
          </cell>
          <cell r="C306" t="str">
            <v>Y</v>
          </cell>
          <cell r="D306" t="str">
            <v>Y</v>
          </cell>
          <cell r="E306" t="str">
            <v>Y</v>
          </cell>
          <cell r="F306">
            <v>0</v>
          </cell>
          <cell r="G306" t="str">
            <v xml:space="preserve">  </v>
          </cell>
          <cell r="H306">
            <v>43538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43536</v>
          </cell>
          <cell r="Q306">
            <v>43535</v>
          </cell>
          <cell r="R306">
            <v>1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</row>
        <row r="307">
          <cell r="A307" t="str">
            <v>19-008</v>
          </cell>
          <cell r="B307" t="str">
            <v>N</v>
          </cell>
          <cell r="C307" t="str">
            <v>Y</v>
          </cell>
          <cell r="D307" t="str">
            <v>Y</v>
          </cell>
          <cell r="E307" t="str">
            <v>Y</v>
          </cell>
          <cell r="F307" t="str">
            <v xml:space="preserve">  </v>
          </cell>
          <cell r="G307" t="str">
            <v xml:space="preserve">  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</row>
        <row r="308">
          <cell r="A308" t="str">
            <v>19-009</v>
          </cell>
          <cell r="B308" t="str">
            <v>Y</v>
          </cell>
          <cell r="C308" t="str">
            <v>N</v>
          </cell>
          <cell r="D308" t="str">
            <v>Y</v>
          </cell>
          <cell r="E308" t="str">
            <v>Y</v>
          </cell>
          <cell r="F308">
            <v>0</v>
          </cell>
          <cell r="G308" t="str">
            <v>y</v>
          </cell>
          <cell r="H308">
            <v>43530</v>
          </cell>
          <cell r="I308">
            <v>43535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43529</v>
          </cell>
          <cell r="Q308">
            <v>43529</v>
          </cell>
          <cell r="R308">
            <v>1</v>
          </cell>
          <cell r="S308">
            <v>43535</v>
          </cell>
          <cell r="T308">
            <v>0</v>
          </cell>
          <cell r="U308">
            <v>43535</v>
          </cell>
          <cell r="V308">
            <v>43535</v>
          </cell>
          <cell r="W308">
            <v>43536</v>
          </cell>
          <cell r="X308">
            <v>43537</v>
          </cell>
          <cell r="Y308">
            <v>43537</v>
          </cell>
          <cell r="Z308">
            <v>43542</v>
          </cell>
          <cell r="AA308">
            <v>43543</v>
          </cell>
          <cell r="AB308">
            <v>0</v>
          </cell>
        </row>
        <row r="309">
          <cell r="A309" t="str">
            <v>19-010</v>
          </cell>
          <cell r="B309" t="str">
            <v>N</v>
          </cell>
          <cell r="C309" t="str">
            <v>Y</v>
          </cell>
          <cell r="D309" t="str">
            <v>Y</v>
          </cell>
          <cell r="E309" t="str">
            <v>Y</v>
          </cell>
          <cell r="F309" t="str">
            <v xml:space="preserve">  </v>
          </cell>
          <cell r="G309" t="str">
            <v xml:space="preserve">  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43537</v>
          </cell>
          <cell r="Q309">
            <v>43537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</row>
        <row r="310">
          <cell r="A310" t="str">
            <v>19-011</v>
          </cell>
          <cell r="B310" t="str">
            <v>N</v>
          </cell>
          <cell r="C310" t="str">
            <v>Y</v>
          </cell>
          <cell r="D310" t="str">
            <v>Y</v>
          </cell>
          <cell r="E310" t="str">
            <v>Y</v>
          </cell>
          <cell r="F310" t="str">
            <v xml:space="preserve">  </v>
          </cell>
          <cell r="G310" t="str">
            <v xml:space="preserve">  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43537</v>
          </cell>
          <cell r="Q310">
            <v>43537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</row>
        <row r="311">
          <cell r="A311" t="str">
            <v>19-012</v>
          </cell>
          <cell r="B311" t="str">
            <v>N</v>
          </cell>
          <cell r="C311" t="str">
            <v>Y</v>
          </cell>
          <cell r="D311" t="str">
            <v>Y</v>
          </cell>
          <cell r="E311" t="str">
            <v>Y</v>
          </cell>
          <cell r="F311" t="str">
            <v xml:space="preserve">  </v>
          </cell>
          <cell r="G311" t="str">
            <v xml:space="preserve">  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43537</v>
          </cell>
          <cell r="Q311">
            <v>43537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</row>
        <row r="312">
          <cell r="A312" t="str">
            <v>19-013</v>
          </cell>
          <cell r="B312" t="str">
            <v>N</v>
          </cell>
          <cell r="C312" t="str">
            <v>Y</v>
          </cell>
          <cell r="D312" t="str">
            <v>Y</v>
          </cell>
          <cell r="E312" t="str">
            <v>Y</v>
          </cell>
          <cell r="F312" t="str">
            <v xml:space="preserve">  </v>
          </cell>
          <cell r="G312" t="str">
            <v xml:space="preserve">  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43537</v>
          </cell>
          <cell r="Q312">
            <v>43537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</row>
        <row r="313">
          <cell r="A313" t="str">
            <v>19-014</v>
          </cell>
          <cell r="B313" t="str">
            <v>Y</v>
          </cell>
          <cell r="C313" t="str">
            <v>Y</v>
          </cell>
          <cell r="D313" t="str">
            <v>Y</v>
          </cell>
          <cell r="E313" t="str">
            <v>Y</v>
          </cell>
          <cell r="F313">
            <v>0</v>
          </cell>
          <cell r="G313" t="str">
            <v xml:space="preserve">  </v>
          </cell>
          <cell r="H313">
            <v>43545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1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</row>
        <row r="314">
          <cell r="A314" t="str">
            <v>19-015</v>
          </cell>
          <cell r="B314" t="str">
            <v>N</v>
          </cell>
          <cell r="C314" t="str">
            <v>Y</v>
          </cell>
          <cell r="D314" t="str">
            <v>Y</v>
          </cell>
          <cell r="E314" t="str">
            <v>Y</v>
          </cell>
          <cell r="F314" t="str">
            <v xml:space="preserve">  </v>
          </cell>
          <cell r="G314" t="str">
            <v xml:space="preserve">  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</row>
        <row r="315">
          <cell r="A315">
            <v>0</v>
          </cell>
          <cell r="B315" t="str">
            <v>N</v>
          </cell>
          <cell r="C315" t="str">
            <v>Y</v>
          </cell>
          <cell r="D315" t="str">
            <v>Y</v>
          </cell>
          <cell r="E315" t="str">
            <v>Y</v>
          </cell>
          <cell r="F315" t="str">
            <v xml:space="preserve">  </v>
          </cell>
          <cell r="G315" t="str">
            <v xml:space="preserve">  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</row>
        <row r="316">
          <cell r="A316">
            <v>0</v>
          </cell>
          <cell r="B316" t="str">
            <v>N</v>
          </cell>
          <cell r="C316" t="str">
            <v>Y</v>
          </cell>
          <cell r="D316" t="str">
            <v>Y</v>
          </cell>
          <cell r="E316" t="str">
            <v>Y</v>
          </cell>
          <cell r="F316" t="str">
            <v xml:space="preserve">  </v>
          </cell>
          <cell r="G316" t="str">
            <v xml:space="preserve">  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</row>
        <row r="317">
          <cell r="A317">
            <v>0</v>
          </cell>
          <cell r="B317" t="str">
            <v>N</v>
          </cell>
          <cell r="C317" t="str">
            <v>Y</v>
          </cell>
          <cell r="D317" t="str">
            <v>Y</v>
          </cell>
          <cell r="E317" t="str">
            <v>Y</v>
          </cell>
          <cell r="F317" t="str">
            <v xml:space="preserve">  </v>
          </cell>
          <cell r="G317" t="str">
            <v xml:space="preserve">  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</row>
        <row r="318">
          <cell r="A318">
            <v>0</v>
          </cell>
          <cell r="B318" t="str">
            <v>N</v>
          </cell>
          <cell r="C318" t="str">
            <v>Y</v>
          </cell>
          <cell r="D318" t="str">
            <v>Y</v>
          </cell>
          <cell r="E318" t="str">
            <v>Y</v>
          </cell>
          <cell r="F318" t="str">
            <v xml:space="preserve">  </v>
          </cell>
          <cell r="G318" t="str">
            <v xml:space="preserve">  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</row>
        <row r="319">
          <cell r="A319">
            <v>0</v>
          </cell>
          <cell r="B319" t="str">
            <v>N</v>
          </cell>
          <cell r="C319" t="str">
            <v>Y</v>
          </cell>
          <cell r="D319" t="str">
            <v>Y</v>
          </cell>
          <cell r="E319" t="str">
            <v>Y</v>
          </cell>
          <cell r="F319" t="str">
            <v xml:space="preserve">  </v>
          </cell>
          <cell r="G319" t="str">
            <v xml:space="preserve">  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</row>
        <row r="320">
          <cell r="A320">
            <v>0</v>
          </cell>
          <cell r="B320" t="str">
            <v>N</v>
          </cell>
          <cell r="C320" t="str">
            <v>Y</v>
          </cell>
          <cell r="D320" t="str">
            <v>Y</v>
          </cell>
          <cell r="E320" t="str">
            <v>Y</v>
          </cell>
          <cell r="F320" t="str">
            <v xml:space="preserve">  </v>
          </cell>
          <cell r="G320" t="str">
            <v xml:space="preserve">  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</row>
        <row r="321">
          <cell r="A321">
            <v>0</v>
          </cell>
          <cell r="B321" t="str">
            <v>N</v>
          </cell>
          <cell r="C321" t="str">
            <v>Y</v>
          </cell>
          <cell r="D321" t="str">
            <v>Y</v>
          </cell>
          <cell r="E321" t="str">
            <v>Y</v>
          </cell>
          <cell r="F321" t="str">
            <v xml:space="preserve">  </v>
          </cell>
          <cell r="G321" t="str">
            <v xml:space="preserve">  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</row>
        <row r="322">
          <cell r="A322">
            <v>0</v>
          </cell>
          <cell r="B322" t="str">
            <v>N</v>
          </cell>
          <cell r="C322" t="str">
            <v>Y</v>
          </cell>
          <cell r="D322" t="str">
            <v>Y</v>
          </cell>
          <cell r="E322" t="str">
            <v>Y</v>
          </cell>
          <cell r="F322" t="str">
            <v xml:space="preserve">  </v>
          </cell>
          <cell r="G322" t="str">
            <v xml:space="preserve">  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</row>
        <row r="323">
          <cell r="A323">
            <v>0</v>
          </cell>
          <cell r="B323" t="str">
            <v>N</v>
          </cell>
          <cell r="C323" t="str">
            <v>Y</v>
          </cell>
          <cell r="D323" t="str">
            <v>Y</v>
          </cell>
          <cell r="E323" t="str">
            <v>Y</v>
          </cell>
          <cell r="F323" t="str">
            <v xml:space="preserve">  </v>
          </cell>
          <cell r="G323" t="str">
            <v xml:space="preserve">  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A324">
            <v>0</v>
          </cell>
          <cell r="B324" t="str">
            <v>N</v>
          </cell>
          <cell r="C324" t="str">
            <v>Y</v>
          </cell>
          <cell r="D324" t="str">
            <v>Y</v>
          </cell>
          <cell r="E324" t="str">
            <v>Y</v>
          </cell>
          <cell r="F324" t="str">
            <v xml:space="preserve">  </v>
          </cell>
          <cell r="G324" t="str">
            <v xml:space="preserve">  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</row>
        <row r="325">
          <cell r="A325">
            <v>0</v>
          </cell>
          <cell r="B325" t="str">
            <v>N</v>
          </cell>
          <cell r="C325" t="str">
            <v>Y</v>
          </cell>
          <cell r="D325" t="str">
            <v>Y</v>
          </cell>
          <cell r="E325" t="str">
            <v>Y</v>
          </cell>
          <cell r="F325" t="str">
            <v xml:space="preserve">  </v>
          </cell>
          <cell r="G325" t="str">
            <v xml:space="preserve">  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</row>
        <row r="326">
          <cell r="A326">
            <v>0</v>
          </cell>
          <cell r="B326" t="str">
            <v>N</v>
          </cell>
          <cell r="C326" t="str">
            <v>Y</v>
          </cell>
          <cell r="D326" t="str">
            <v>Y</v>
          </cell>
          <cell r="E326" t="str">
            <v>Y</v>
          </cell>
          <cell r="F326" t="str">
            <v xml:space="preserve">  </v>
          </cell>
          <cell r="G326" t="str">
            <v xml:space="preserve">  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</row>
        <row r="327">
          <cell r="A327">
            <v>0</v>
          </cell>
          <cell r="B327" t="str">
            <v>N</v>
          </cell>
          <cell r="C327" t="str">
            <v>Y</v>
          </cell>
          <cell r="D327" t="str">
            <v>Y</v>
          </cell>
          <cell r="E327" t="str">
            <v>Y</v>
          </cell>
          <cell r="F327" t="str">
            <v xml:space="preserve">  </v>
          </cell>
          <cell r="G327" t="str">
            <v xml:space="preserve">  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</row>
        <row r="328">
          <cell r="A328">
            <v>0</v>
          </cell>
          <cell r="B328" t="str">
            <v>N</v>
          </cell>
          <cell r="C328" t="str">
            <v>Y</v>
          </cell>
          <cell r="D328" t="str">
            <v>Y</v>
          </cell>
          <cell r="E328" t="str">
            <v>Y</v>
          </cell>
          <cell r="F328" t="str">
            <v xml:space="preserve">  </v>
          </cell>
          <cell r="G328" t="str">
            <v xml:space="preserve">  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</row>
        <row r="329">
          <cell r="A329">
            <v>0</v>
          </cell>
          <cell r="B329" t="str">
            <v>N</v>
          </cell>
          <cell r="C329" t="str">
            <v>Y</v>
          </cell>
          <cell r="D329" t="str">
            <v>Y</v>
          </cell>
          <cell r="E329" t="str">
            <v>Y</v>
          </cell>
          <cell r="F329" t="str">
            <v xml:space="preserve">  </v>
          </cell>
          <cell r="G329" t="str">
            <v xml:space="preserve">  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</row>
        <row r="330">
          <cell r="A330">
            <v>0</v>
          </cell>
          <cell r="B330" t="str">
            <v>N</v>
          </cell>
          <cell r="C330" t="str">
            <v>Y</v>
          </cell>
          <cell r="D330" t="str">
            <v>Y</v>
          </cell>
          <cell r="E330" t="str">
            <v>Y</v>
          </cell>
          <cell r="F330" t="str">
            <v xml:space="preserve">  </v>
          </cell>
          <cell r="G330" t="str">
            <v xml:space="preserve">  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</row>
        <row r="331">
          <cell r="A331">
            <v>0</v>
          </cell>
          <cell r="B331" t="str">
            <v>N</v>
          </cell>
          <cell r="C331" t="str">
            <v>Y</v>
          </cell>
          <cell r="D331" t="str">
            <v>Y</v>
          </cell>
          <cell r="E331" t="str">
            <v>Y</v>
          </cell>
          <cell r="F331" t="str">
            <v xml:space="preserve">  </v>
          </cell>
          <cell r="G331" t="str">
            <v xml:space="preserve">  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</row>
        <row r="332">
          <cell r="A332">
            <v>0</v>
          </cell>
          <cell r="B332" t="str">
            <v>N</v>
          </cell>
          <cell r="C332" t="str">
            <v>Y</v>
          </cell>
          <cell r="D332" t="str">
            <v>Y</v>
          </cell>
          <cell r="E332" t="str">
            <v>Y</v>
          </cell>
          <cell r="F332" t="str">
            <v xml:space="preserve">  </v>
          </cell>
          <cell r="G332" t="str">
            <v xml:space="preserve">  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</row>
        <row r="333">
          <cell r="A333">
            <v>0</v>
          </cell>
          <cell r="B333" t="str">
            <v>N</v>
          </cell>
          <cell r="C333" t="str">
            <v>Y</v>
          </cell>
          <cell r="D333" t="str">
            <v>Y</v>
          </cell>
          <cell r="E333" t="str">
            <v>Y</v>
          </cell>
          <cell r="F333" t="str">
            <v xml:space="preserve">  </v>
          </cell>
          <cell r="G333" t="str">
            <v xml:space="preserve">  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</row>
        <row r="334">
          <cell r="A334">
            <v>0</v>
          </cell>
          <cell r="B334" t="str">
            <v>N</v>
          </cell>
          <cell r="C334" t="str">
            <v>Y</v>
          </cell>
          <cell r="D334" t="str">
            <v>Y</v>
          </cell>
          <cell r="E334" t="str">
            <v>Y</v>
          </cell>
          <cell r="F334" t="str">
            <v xml:space="preserve">  </v>
          </cell>
          <cell r="G334" t="str">
            <v xml:space="preserve">  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</row>
        <row r="335">
          <cell r="A335">
            <v>0</v>
          </cell>
          <cell r="B335" t="str">
            <v>N</v>
          </cell>
          <cell r="C335" t="str">
            <v>Y</v>
          </cell>
          <cell r="D335" t="str">
            <v>Y</v>
          </cell>
          <cell r="E335" t="str">
            <v>Y</v>
          </cell>
          <cell r="F335" t="str">
            <v xml:space="preserve">  </v>
          </cell>
          <cell r="G335" t="str">
            <v xml:space="preserve">  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</row>
        <row r="336">
          <cell r="A336">
            <v>0</v>
          </cell>
          <cell r="B336" t="str">
            <v>N</v>
          </cell>
          <cell r="C336" t="str">
            <v>Y</v>
          </cell>
          <cell r="D336" t="str">
            <v>Y</v>
          </cell>
          <cell r="E336" t="str">
            <v>Y</v>
          </cell>
          <cell r="F336" t="str">
            <v xml:space="preserve">  </v>
          </cell>
          <cell r="G336" t="str">
            <v xml:space="preserve">  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</row>
        <row r="337">
          <cell r="A337">
            <v>0</v>
          </cell>
          <cell r="B337" t="str">
            <v>N</v>
          </cell>
          <cell r="C337" t="str">
            <v>Y</v>
          </cell>
          <cell r="D337" t="str">
            <v>Y</v>
          </cell>
          <cell r="E337" t="str">
            <v>Y</v>
          </cell>
          <cell r="F337" t="str">
            <v xml:space="preserve">  </v>
          </cell>
          <cell r="G337" t="str">
            <v xml:space="preserve">  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</row>
        <row r="338">
          <cell r="A338">
            <v>0</v>
          </cell>
          <cell r="B338" t="str">
            <v>N</v>
          </cell>
          <cell r="C338" t="str">
            <v>Y</v>
          </cell>
          <cell r="D338" t="str">
            <v>Y</v>
          </cell>
          <cell r="E338" t="str">
            <v>Y</v>
          </cell>
          <cell r="F338" t="str">
            <v xml:space="preserve">  </v>
          </cell>
          <cell r="G338" t="str">
            <v xml:space="preserve">  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</row>
        <row r="339">
          <cell r="A339">
            <v>0</v>
          </cell>
          <cell r="B339" t="str">
            <v>N</v>
          </cell>
          <cell r="C339" t="str">
            <v>Y</v>
          </cell>
          <cell r="D339" t="str">
            <v>Y</v>
          </cell>
          <cell r="E339" t="str">
            <v>Y</v>
          </cell>
          <cell r="F339" t="str">
            <v xml:space="preserve">  </v>
          </cell>
          <cell r="G339" t="str">
            <v xml:space="preserve">  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</row>
        <row r="340">
          <cell r="A340">
            <v>0</v>
          </cell>
          <cell r="B340" t="str">
            <v>N</v>
          </cell>
          <cell r="C340" t="str">
            <v>Y</v>
          </cell>
          <cell r="D340" t="str">
            <v>Y</v>
          </cell>
          <cell r="E340" t="str">
            <v>Y</v>
          </cell>
          <cell r="F340" t="str">
            <v xml:space="preserve">  </v>
          </cell>
          <cell r="G340" t="str">
            <v xml:space="preserve">  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</row>
        <row r="341">
          <cell r="A341">
            <v>0</v>
          </cell>
          <cell r="B341" t="str">
            <v>N</v>
          </cell>
          <cell r="C341" t="str">
            <v>Y</v>
          </cell>
          <cell r="D341" t="str">
            <v>Y</v>
          </cell>
          <cell r="E341" t="str">
            <v>Y</v>
          </cell>
          <cell r="F341" t="str">
            <v xml:space="preserve">  </v>
          </cell>
          <cell r="G341" t="str">
            <v xml:space="preserve">  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</row>
        <row r="342">
          <cell r="A342">
            <v>0</v>
          </cell>
          <cell r="B342" t="str">
            <v>N</v>
          </cell>
          <cell r="C342" t="str">
            <v>Y</v>
          </cell>
          <cell r="D342" t="str">
            <v>Y</v>
          </cell>
          <cell r="E342" t="str">
            <v>Y</v>
          </cell>
          <cell r="F342" t="str">
            <v xml:space="preserve">  </v>
          </cell>
          <cell r="G342" t="str">
            <v xml:space="preserve">  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</row>
        <row r="343">
          <cell r="A343">
            <v>0</v>
          </cell>
          <cell r="B343" t="str">
            <v>N</v>
          </cell>
          <cell r="C343" t="str">
            <v>Y</v>
          </cell>
          <cell r="D343" t="str">
            <v>Y</v>
          </cell>
          <cell r="E343" t="str">
            <v>Y</v>
          </cell>
          <cell r="F343" t="str">
            <v xml:space="preserve">  </v>
          </cell>
          <cell r="G343" t="str">
            <v xml:space="preserve">  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</row>
        <row r="344">
          <cell r="A344">
            <v>0</v>
          </cell>
          <cell r="B344" t="str">
            <v>N</v>
          </cell>
          <cell r="C344" t="str">
            <v>Y</v>
          </cell>
          <cell r="D344" t="str">
            <v>Y</v>
          </cell>
          <cell r="E344" t="str">
            <v>Y</v>
          </cell>
          <cell r="F344" t="str">
            <v xml:space="preserve">  </v>
          </cell>
          <cell r="G344" t="str">
            <v xml:space="preserve">  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</row>
        <row r="345">
          <cell r="A345">
            <v>0</v>
          </cell>
          <cell r="B345" t="str">
            <v>N</v>
          </cell>
          <cell r="C345" t="str">
            <v>Y</v>
          </cell>
          <cell r="D345" t="str">
            <v>Y</v>
          </cell>
          <cell r="E345" t="str">
            <v>Y</v>
          </cell>
          <cell r="F345" t="str">
            <v xml:space="preserve">  </v>
          </cell>
          <cell r="G345" t="str">
            <v xml:space="preserve">  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</row>
        <row r="346">
          <cell r="A346">
            <v>0</v>
          </cell>
          <cell r="B346" t="str">
            <v>N</v>
          </cell>
          <cell r="C346" t="str">
            <v>Y</v>
          </cell>
          <cell r="D346" t="str">
            <v>Y</v>
          </cell>
          <cell r="E346" t="str">
            <v>Y</v>
          </cell>
          <cell r="F346" t="str">
            <v xml:space="preserve">  </v>
          </cell>
          <cell r="G346" t="str">
            <v xml:space="preserve">  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</row>
        <row r="347">
          <cell r="A347">
            <v>0</v>
          </cell>
          <cell r="B347" t="str">
            <v>N</v>
          </cell>
          <cell r="C347" t="str">
            <v>Y</v>
          </cell>
          <cell r="D347" t="str">
            <v>Y</v>
          </cell>
          <cell r="E347" t="str">
            <v>Y</v>
          </cell>
          <cell r="F347" t="str">
            <v xml:space="preserve">  </v>
          </cell>
          <cell r="G347" t="str">
            <v xml:space="preserve">  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</row>
        <row r="348">
          <cell r="A348">
            <v>0</v>
          </cell>
          <cell r="B348" t="str">
            <v>N</v>
          </cell>
          <cell r="C348" t="str">
            <v>Y</v>
          </cell>
          <cell r="D348" t="str">
            <v>Y</v>
          </cell>
          <cell r="E348" t="str">
            <v>Y</v>
          </cell>
          <cell r="F348" t="str">
            <v xml:space="preserve">  </v>
          </cell>
          <cell r="G348" t="str">
            <v xml:space="preserve">  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</row>
        <row r="349">
          <cell r="A349">
            <v>0</v>
          </cell>
          <cell r="B349" t="str">
            <v>N</v>
          </cell>
          <cell r="C349" t="str">
            <v>Y</v>
          </cell>
          <cell r="D349" t="str">
            <v>Y</v>
          </cell>
          <cell r="E349" t="str">
            <v>Y</v>
          </cell>
          <cell r="F349" t="str">
            <v xml:space="preserve">  </v>
          </cell>
          <cell r="G349" t="str">
            <v xml:space="preserve">  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</row>
      </sheetData>
      <sheetData sheetId="4" refreshError="1"/>
      <sheetData sheetId="5" refreshError="1"/>
      <sheetData sheetId="6" refreshError="1">
        <row r="4">
          <cell r="A4" t="str">
            <v>15-126</v>
          </cell>
          <cell r="B4" t="str">
            <v>IFF</v>
          </cell>
          <cell r="C4" t="str">
            <v>12/3/2015</v>
          </cell>
          <cell r="D4">
            <v>2</v>
          </cell>
          <cell r="E4">
            <v>3</v>
          </cell>
          <cell r="F4">
            <v>22</v>
          </cell>
          <cell r="G4">
            <v>26</v>
          </cell>
          <cell r="H4">
            <v>42362</v>
          </cell>
          <cell r="I4">
            <v>42368</v>
          </cell>
          <cell r="J4">
            <v>42364</v>
          </cell>
          <cell r="K4">
            <v>42374</v>
          </cell>
          <cell r="L4">
            <v>42366</v>
          </cell>
          <cell r="M4">
            <v>42383</v>
          </cell>
          <cell r="N4">
            <v>42384</v>
          </cell>
          <cell r="O4">
            <v>42391</v>
          </cell>
          <cell r="P4">
            <v>42355</v>
          </cell>
          <cell r="Q4">
            <v>42355</v>
          </cell>
          <cell r="R4">
            <v>0</v>
          </cell>
          <cell r="S4">
            <v>42379</v>
          </cell>
          <cell r="T4">
            <v>42380</v>
          </cell>
          <cell r="U4">
            <v>42384</v>
          </cell>
          <cell r="V4">
            <v>42391</v>
          </cell>
          <cell r="W4">
            <v>42398</v>
          </cell>
          <cell r="X4">
            <v>42398</v>
          </cell>
          <cell r="Y4">
            <v>42398</v>
          </cell>
          <cell r="Z4">
            <v>42398</v>
          </cell>
          <cell r="AA4">
            <v>42399</v>
          </cell>
          <cell r="AB4">
            <v>42559</v>
          </cell>
        </row>
        <row r="5">
          <cell r="A5" t="str">
            <v>16-004</v>
          </cell>
          <cell r="B5" t="str">
            <v>Sys-Con</v>
          </cell>
          <cell r="C5" t="str">
            <v>1/18/2016</v>
          </cell>
          <cell r="D5">
            <v>3</v>
          </cell>
          <cell r="E5">
            <v>4</v>
          </cell>
          <cell r="F5">
            <v>22</v>
          </cell>
          <cell r="G5">
            <v>26</v>
          </cell>
          <cell r="H5">
            <v>42415</v>
          </cell>
          <cell r="I5">
            <v>42412</v>
          </cell>
          <cell r="J5">
            <v>42419</v>
          </cell>
          <cell r="K5">
            <v>42433</v>
          </cell>
          <cell r="L5">
            <v>42440</v>
          </cell>
          <cell r="M5">
            <v>42444</v>
          </cell>
          <cell r="N5">
            <v>42451</v>
          </cell>
          <cell r="O5">
            <v>42550</v>
          </cell>
          <cell r="P5">
            <v>42401</v>
          </cell>
          <cell r="Q5">
            <v>42401</v>
          </cell>
          <cell r="R5">
            <v>0</v>
          </cell>
          <cell r="S5">
            <v>42414</v>
          </cell>
          <cell r="T5">
            <v>42415</v>
          </cell>
          <cell r="U5">
            <v>42419</v>
          </cell>
          <cell r="V5">
            <v>42426</v>
          </cell>
          <cell r="W5">
            <v>42433</v>
          </cell>
          <cell r="X5">
            <v>42433</v>
          </cell>
          <cell r="Y5">
            <v>42433</v>
          </cell>
          <cell r="Z5">
            <v>42433</v>
          </cell>
          <cell r="AA5">
            <v>42434</v>
          </cell>
          <cell r="AB5">
            <v>42594</v>
          </cell>
        </row>
        <row r="6">
          <cell r="A6" t="str">
            <v>16-005</v>
          </cell>
          <cell r="B6" t="str">
            <v>Sys-Con</v>
          </cell>
          <cell r="C6" t="str">
            <v>1/18/2016</v>
          </cell>
          <cell r="D6">
            <v>3</v>
          </cell>
          <cell r="E6">
            <v>4</v>
          </cell>
          <cell r="F6">
            <v>22</v>
          </cell>
          <cell r="G6">
            <v>26</v>
          </cell>
          <cell r="H6">
            <v>42415</v>
          </cell>
          <cell r="I6">
            <v>42412</v>
          </cell>
          <cell r="J6">
            <v>42419</v>
          </cell>
          <cell r="K6">
            <v>42452</v>
          </cell>
          <cell r="L6">
            <v>42459</v>
          </cell>
          <cell r="M6">
            <v>42466</v>
          </cell>
          <cell r="N6">
            <v>42473</v>
          </cell>
          <cell r="O6">
            <v>42535</v>
          </cell>
          <cell r="P6">
            <v>42401</v>
          </cell>
          <cell r="Q6">
            <v>42401</v>
          </cell>
          <cell r="R6">
            <v>0</v>
          </cell>
          <cell r="S6">
            <v>42414</v>
          </cell>
          <cell r="T6">
            <v>42415</v>
          </cell>
          <cell r="U6">
            <v>42419</v>
          </cell>
          <cell r="V6">
            <v>42426</v>
          </cell>
          <cell r="W6">
            <v>42433</v>
          </cell>
          <cell r="X6">
            <v>42433</v>
          </cell>
          <cell r="Y6">
            <v>42433</v>
          </cell>
          <cell r="Z6">
            <v>42433</v>
          </cell>
          <cell r="AA6">
            <v>42434</v>
          </cell>
          <cell r="AB6">
            <v>42594</v>
          </cell>
        </row>
        <row r="7">
          <cell r="A7" t="str">
            <v>16-006</v>
          </cell>
          <cell r="B7" t="str">
            <v>Sys-Con</v>
          </cell>
          <cell r="C7" t="str">
            <v>1/18/2016</v>
          </cell>
          <cell r="D7">
            <v>3</v>
          </cell>
          <cell r="E7">
            <v>4</v>
          </cell>
          <cell r="F7">
            <v>22</v>
          </cell>
          <cell r="G7">
            <v>26</v>
          </cell>
          <cell r="H7">
            <v>42415</v>
          </cell>
          <cell r="I7">
            <v>42412</v>
          </cell>
          <cell r="J7">
            <v>42419</v>
          </cell>
          <cell r="K7">
            <v>42452</v>
          </cell>
          <cell r="L7">
            <v>42459</v>
          </cell>
          <cell r="M7">
            <v>42466</v>
          </cell>
          <cell r="N7">
            <v>42473</v>
          </cell>
          <cell r="O7">
            <v>42535</v>
          </cell>
          <cell r="P7">
            <v>42401</v>
          </cell>
          <cell r="Q7">
            <v>42401</v>
          </cell>
          <cell r="R7">
            <v>0</v>
          </cell>
          <cell r="S7">
            <v>42414</v>
          </cell>
          <cell r="T7">
            <v>42415</v>
          </cell>
          <cell r="U7">
            <v>42419</v>
          </cell>
          <cell r="V7">
            <v>42426</v>
          </cell>
          <cell r="W7">
            <v>42433</v>
          </cell>
          <cell r="X7">
            <v>42433</v>
          </cell>
          <cell r="Y7">
            <v>42433</v>
          </cell>
          <cell r="Z7">
            <v>42433</v>
          </cell>
          <cell r="AA7">
            <v>42434</v>
          </cell>
          <cell r="AB7">
            <v>42594</v>
          </cell>
        </row>
        <row r="8">
          <cell r="A8" t="str">
            <v>16-007</v>
          </cell>
          <cell r="B8" t="str">
            <v>Sys-Con</v>
          </cell>
          <cell r="C8" t="str">
            <v>1/18/2016</v>
          </cell>
          <cell r="D8">
            <v>3</v>
          </cell>
          <cell r="E8">
            <v>4</v>
          </cell>
          <cell r="F8">
            <v>22</v>
          </cell>
          <cell r="G8">
            <v>26</v>
          </cell>
          <cell r="H8">
            <v>42415</v>
          </cell>
          <cell r="I8">
            <v>42412</v>
          </cell>
          <cell r="J8">
            <v>42419</v>
          </cell>
          <cell r="K8">
            <v>42433</v>
          </cell>
          <cell r="L8">
            <v>42440</v>
          </cell>
          <cell r="M8">
            <v>42452</v>
          </cell>
          <cell r="N8">
            <v>42459</v>
          </cell>
          <cell r="O8">
            <v>42478</v>
          </cell>
          <cell r="P8">
            <v>42401</v>
          </cell>
          <cell r="Q8">
            <v>42401</v>
          </cell>
          <cell r="R8">
            <v>0</v>
          </cell>
          <cell r="S8">
            <v>42488</v>
          </cell>
          <cell r="T8">
            <v>42489</v>
          </cell>
          <cell r="U8">
            <v>42493</v>
          </cell>
          <cell r="V8">
            <v>42500</v>
          </cell>
          <cell r="W8">
            <v>42507</v>
          </cell>
          <cell r="X8">
            <v>42507</v>
          </cell>
          <cell r="Y8">
            <v>42507</v>
          </cell>
          <cell r="Z8">
            <v>42507</v>
          </cell>
          <cell r="AA8">
            <v>42508</v>
          </cell>
          <cell r="AB8">
            <v>42668</v>
          </cell>
        </row>
        <row r="9">
          <cell r="A9" t="str">
            <v>16-011</v>
          </cell>
          <cell r="B9" t="str">
            <v>Evergreen Packaging</v>
          </cell>
          <cell r="C9" t="str">
            <v>2/15/2016</v>
          </cell>
          <cell r="D9">
            <v>1</v>
          </cell>
          <cell r="E9">
            <v>2</v>
          </cell>
          <cell r="F9">
            <v>10</v>
          </cell>
          <cell r="G9">
            <v>12</v>
          </cell>
          <cell r="H9">
            <v>42429</v>
          </cell>
          <cell r="I9">
            <v>42443</v>
          </cell>
          <cell r="J9">
            <v>42450</v>
          </cell>
          <cell r="K9">
            <v>42457</v>
          </cell>
          <cell r="L9">
            <v>42464</v>
          </cell>
          <cell r="M9">
            <v>42471</v>
          </cell>
          <cell r="N9">
            <v>42478</v>
          </cell>
          <cell r="O9">
            <v>42485</v>
          </cell>
          <cell r="P9">
            <v>42429</v>
          </cell>
          <cell r="Q9">
            <v>42429</v>
          </cell>
          <cell r="R9">
            <v>0</v>
          </cell>
          <cell r="S9">
            <v>42445</v>
          </cell>
          <cell r="T9">
            <v>42446</v>
          </cell>
          <cell r="U9">
            <v>42450</v>
          </cell>
          <cell r="V9">
            <v>42457</v>
          </cell>
          <cell r="W9">
            <v>42464</v>
          </cell>
          <cell r="X9">
            <v>42464</v>
          </cell>
          <cell r="Y9">
            <v>42464</v>
          </cell>
          <cell r="Z9">
            <v>42464</v>
          </cell>
          <cell r="AA9">
            <v>42465</v>
          </cell>
          <cell r="AB9">
            <v>42527</v>
          </cell>
        </row>
        <row r="10">
          <cell r="A10" t="str">
            <v>16-014</v>
          </cell>
          <cell r="B10" t="str">
            <v>O'Neal</v>
          </cell>
          <cell r="C10" t="str">
            <v>2/15/2016</v>
          </cell>
          <cell r="D10">
            <v>4</v>
          </cell>
          <cell r="E10">
            <v>5</v>
          </cell>
          <cell r="F10">
            <v>20</v>
          </cell>
          <cell r="G10">
            <v>24</v>
          </cell>
          <cell r="H10">
            <v>42450</v>
          </cell>
          <cell r="I10">
            <v>42464</v>
          </cell>
          <cell r="J10">
            <v>42471</v>
          </cell>
          <cell r="K10">
            <v>42478</v>
          </cell>
          <cell r="L10">
            <v>42485</v>
          </cell>
          <cell r="M10">
            <v>42492</v>
          </cell>
          <cell r="N10">
            <v>42499</v>
          </cell>
          <cell r="O10">
            <v>42506</v>
          </cell>
          <cell r="P10">
            <v>42429</v>
          </cell>
          <cell r="Q10">
            <v>42429</v>
          </cell>
          <cell r="R10">
            <v>0</v>
          </cell>
          <cell r="S10">
            <v>42466</v>
          </cell>
          <cell r="T10">
            <v>42467</v>
          </cell>
          <cell r="U10">
            <v>42471</v>
          </cell>
          <cell r="V10">
            <v>42478</v>
          </cell>
          <cell r="W10">
            <v>42485</v>
          </cell>
          <cell r="X10">
            <v>42485</v>
          </cell>
          <cell r="Y10">
            <v>42485</v>
          </cell>
          <cell r="Z10">
            <v>42485</v>
          </cell>
          <cell r="AA10">
            <v>42486</v>
          </cell>
          <cell r="AB10">
            <v>42632</v>
          </cell>
        </row>
        <row r="11">
          <cell r="A11" t="str">
            <v>16-015</v>
          </cell>
          <cell r="B11" t="str">
            <v>O'Neal</v>
          </cell>
          <cell r="C11" t="str">
            <v>2/15/2016</v>
          </cell>
          <cell r="D11">
            <v>4</v>
          </cell>
          <cell r="E11">
            <v>5</v>
          </cell>
          <cell r="F11">
            <v>20</v>
          </cell>
          <cell r="G11">
            <v>24</v>
          </cell>
          <cell r="H11">
            <v>42450</v>
          </cell>
          <cell r="I11">
            <v>42464</v>
          </cell>
          <cell r="J11">
            <v>42471</v>
          </cell>
          <cell r="K11">
            <v>42478</v>
          </cell>
          <cell r="L11">
            <v>42485</v>
          </cell>
          <cell r="M11">
            <v>42492</v>
          </cell>
          <cell r="N11">
            <v>42499</v>
          </cell>
          <cell r="O11">
            <v>42506</v>
          </cell>
          <cell r="P11">
            <v>42429</v>
          </cell>
          <cell r="Q11">
            <v>42429</v>
          </cell>
          <cell r="R11">
            <v>0</v>
          </cell>
          <cell r="S11">
            <v>42466</v>
          </cell>
          <cell r="T11">
            <v>42467</v>
          </cell>
          <cell r="U11">
            <v>42471</v>
          </cell>
          <cell r="V11">
            <v>42478</v>
          </cell>
          <cell r="W11">
            <v>42485</v>
          </cell>
          <cell r="X11">
            <v>42485</v>
          </cell>
          <cell r="Y11">
            <v>42485</v>
          </cell>
          <cell r="Z11">
            <v>42485</v>
          </cell>
          <cell r="AA11">
            <v>42486</v>
          </cell>
          <cell r="AB11">
            <v>42632</v>
          </cell>
        </row>
        <row r="12">
          <cell r="A12" t="str">
            <v>16-016</v>
          </cell>
          <cell r="B12" t="str">
            <v>O'Neal</v>
          </cell>
          <cell r="C12" t="str">
            <v>2/15/2016</v>
          </cell>
          <cell r="D12">
            <v>4</v>
          </cell>
          <cell r="E12">
            <v>5</v>
          </cell>
          <cell r="F12">
            <v>20</v>
          </cell>
          <cell r="G12">
            <v>24</v>
          </cell>
          <cell r="H12">
            <v>42450</v>
          </cell>
          <cell r="I12">
            <v>42464</v>
          </cell>
          <cell r="J12">
            <v>42471</v>
          </cell>
          <cell r="K12">
            <v>42478</v>
          </cell>
          <cell r="L12">
            <v>42485</v>
          </cell>
          <cell r="M12">
            <v>42492</v>
          </cell>
          <cell r="N12">
            <v>42499</v>
          </cell>
          <cell r="O12">
            <v>42506</v>
          </cell>
          <cell r="P12">
            <v>42429</v>
          </cell>
          <cell r="Q12">
            <v>42429</v>
          </cell>
          <cell r="R12">
            <v>0</v>
          </cell>
          <cell r="S12">
            <v>42466</v>
          </cell>
          <cell r="T12">
            <v>42467</v>
          </cell>
          <cell r="U12">
            <v>42471</v>
          </cell>
          <cell r="V12">
            <v>42478</v>
          </cell>
          <cell r="W12">
            <v>42485</v>
          </cell>
          <cell r="X12">
            <v>42485</v>
          </cell>
          <cell r="Y12">
            <v>42485</v>
          </cell>
          <cell r="Z12">
            <v>42485</v>
          </cell>
          <cell r="AA12">
            <v>42486</v>
          </cell>
          <cell r="AB12">
            <v>42632</v>
          </cell>
        </row>
        <row r="13">
          <cell r="A13" t="str">
            <v>16-017</v>
          </cell>
          <cell r="B13" t="str">
            <v>O'Neal</v>
          </cell>
          <cell r="C13" t="str">
            <v>2/15/2016</v>
          </cell>
          <cell r="D13">
            <v>4</v>
          </cell>
          <cell r="E13">
            <v>5</v>
          </cell>
          <cell r="F13">
            <v>20</v>
          </cell>
          <cell r="G13">
            <v>24</v>
          </cell>
          <cell r="H13">
            <v>42450</v>
          </cell>
          <cell r="I13">
            <v>42464</v>
          </cell>
          <cell r="J13">
            <v>42471</v>
          </cell>
          <cell r="K13">
            <v>42478</v>
          </cell>
          <cell r="L13">
            <v>42485</v>
          </cell>
          <cell r="M13">
            <v>42492</v>
          </cell>
          <cell r="N13">
            <v>42499</v>
          </cell>
          <cell r="O13">
            <v>42506</v>
          </cell>
          <cell r="P13">
            <v>42429</v>
          </cell>
          <cell r="Q13">
            <v>42429</v>
          </cell>
          <cell r="R13">
            <v>0</v>
          </cell>
          <cell r="S13">
            <v>42466</v>
          </cell>
          <cell r="T13">
            <v>42467</v>
          </cell>
          <cell r="U13">
            <v>42471</v>
          </cell>
          <cell r="V13">
            <v>42478</v>
          </cell>
          <cell r="W13">
            <v>42485</v>
          </cell>
          <cell r="X13">
            <v>42485</v>
          </cell>
          <cell r="Y13">
            <v>42485</v>
          </cell>
          <cell r="Z13">
            <v>42485</v>
          </cell>
          <cell r="AA13">
            <v>42486</v>
          </cell>
          <cell r="AB13">
            <v>42632</v>
          </cell>
        </row>
        <row r="14">
          <cell r="A14" t="str">
            <v>16-018</v>
          </cell>
          <cell r="B14" t="str">
            <v>O'Neal</v>
          </cell>
          <cell r="C14" t="str">
            <v>2/15/2016</v>
          </cell>
          <cell r="D14">
            <v>4</v>
          </cell>
          <cell r="E14">
            <v>5</v>
          </cell>
          <cell r="F14">
            <v>20</v>
          </cell>
          <cell r="G14">
            <v>24</v>
          </cell>
          <cell r="H14">
            <v>42450</v>
          </cell>
          <cell r="I14">
            <v>42464</v>
          </cell>
          <cell r="J14">
            <v>42471</v>
          </cell>
          <cell r="K14">
            <v>42478</v>
          </cell>
          <cell r="L14">
            <v>42485</v>
          </cell>
          <cell r="M14">
            <v>42492</v>
          </cell>
          <cell r="N14">
            <v>42499</v>
          </cell>
          <cell r="O14">
            <v>42506</v>
          </cell>
          <cell r="P14">
            <v>42429</v>
          </cell>
          <cell r="Q14">
            <v>42429</v>
          </cell>
          <cell r="R14">
            <v>0</v>
          </cell>
          <cell r="S14">
            <v>42466</v>
          </cell>
          <cell r="T14">
            <v>42467</v>
          </cell>
          <cell r="U14">
            <v>42471</v>
          </cell>
          <cell r="V14">
            <v>42478</v>
          </cell>
          <cell r="W14">
            <v>42485</v>
          </cell>
          <cell r="X14">
            <v>42485</v>
          </cell>
          <cell r="Y14">
            <v>42485</v>
          </cell>
          <cell r="Z14">
            <v>42485</v>
          </cell>
          <cell r="AA14">
            <v>42486</v>
          </cell>
          <cell r="AB14">
            <v>42632</v>
          </cell>
        </row>
        <row r="15">
          <cell r="A15" t="str">
            <v>16-019</v>
          </cell>
          <cell r="B15" t="str">
            <v>O'Neal</v>
          </cell>
          <cell r="C15" t="str">
            <v>2/15/2016</v>
          </cell>
          <cell r="D15">
            <v>4</v>
          </cell>
          <cell r="E15">
            <v>5</v>
          </cell>
          <cell r="F15">
            <v>20</v>
          </cell>
          <cell r="G15">
            <v>24</v>
          </cell>
          <cell r="H15">
            <v>42450</v>
          </cell>
          <cell r="I15">
            <v>42464</v>
          </cell>
          <cell r="J15">
            <v>42471</v>
          </cell>
          <cell r="K15">
            <v>42478</v>
          </cell>
          <cell r="L15">
            <v>42485</v>
          </cell>
          <cell r="M15">
            <v>42492</v>
          </cell>
          <cell r="N15">
            <v>42499</v>
          </cell>
          <cell r="O15">
            <v>42506</v>
          </cell>
          <cell r="P15">
            <v>42429</v>
          </cell>
          <cell r="Q15">
            <v>42429</v>
          </cell>
          <cell r="R15">
            <v>0</v>
          </cell>
          <cell r="S15">
            <v>42466</v>
          </cell>
          <cell r="T15">
            <v>42467</v>
          </cell>
          <cell r="U15">
            <v>42471</v>
          </cell>
          <cell r="V15">
            <v>42478</v>
          </cell>
          <cell r="W15">
            <v>42485</v>
          </cell>
          <cell r="X15">
            <v>42485</v>
          </cell>
          <cell r="Y15">
            <v>42485</v>
          </cell>
          <cell r="Z15">
            <v>42485</v>
          </cell>
          <cell r="AA15">
            <v>42486</v>
          </cell>
          <cell r="AB15">
            <v>42632</v>
          </cell>
        </row>
        <row r="16">
          <cell r="A16" t="str">
            <v>16-020</v>
          </cell>
          <cell r="B16" t="str">
            <v>O'Neal</v>
          </cell>
          <cell r="C16" t="str">
            <v>2/15/2016</v>
          </cell>
          <cell r="D16">
            <v>4</v>
          </cell>
          <cell r="E16">
            <v>5</v>
          </cell>
          <cell r="F16">
            <v>20</v>
          </cell>
          <cell r="G16">
            <v>24</v>
          </cell>
          <cell r="H16">
            <v>42450</v>
          </cell>
          <cell r="I16">
            <v>42464</v>
          </cell>
          <cell r="J16">
            <v>42471</v>
          </cell>
          <cell r="K16">
            <v>42478</v>
          </cell>
          <cell r="L16">
            <v>42485</v>
          </cell>
          <cell r="M16">
            <v>42492</v>
          </cell>
          <cell r="N16">
            <v>42499</v>
          </cell>
          <cell r="O16">
            <v>42506</v>
          </cell>
          <cell r="P16">
            <v>42429</v>
          </cell>
          <cell r="Q16">
            <v>42429</v>
          </cell>
          <cell r="R16">
            <v>0</v>
          </cell>
          <cell r="S16">
            <v>42466</v>
          </cell>
          <cell r="T16">
            <v>42467</v>
          </cell>
          <cell r="U16">
            <v>42471</v>
          </cell>
          <cell r="V16">
            <v>42478</v>
          </cell>
          <cell r="W16">
            <v>42485</v>
          </cell>
          <cell r="X16">
            <v>42485</v>
          </cell>
          <cell r="Y16">
            <v>42485</v>
          </cell>
          <cell r="Z16">
            <v>42485</v>
          </cell>
          <cell r="AA16">
            <v>42486</v>
          </cell>
          <cell r="AB16">
            <v>42632</v>
          </cell>
        </row>
        <row r="17">
          <cell r="A17" t="str">
            <v>16-021</v>
          </cell>
          <cell r="B17" t="str">
            <v>O'Neal</v>
          </cell>
          <cell r="C17" t="str">
            <v>2/15/2016</v>
          </cell>
          <cell r="D17">
            <v>4</v>
          </cell>
          <cell r="E17">
            <v>5</v>
          </cell>
          <cell r="F17">
            <v>20</v>
          </cell>
          <cell r="G17">
            <v>24</v>
          </cell>
          <cell r="H17">
            <v>42450</v>
          </cell>
          <cell r="I17">
            <v>42464</v>
          </cell>
          <cell r="J17">
            <v>42471</v>
          </cell>
          <cell r="K17">
            <v>42478</v>
          </cell>
          <cell r="L17">
            <v>42485</v>
          </cell>
          <cell r="M17">
            <v>42492</v>
          </cell>
          <cell r="N17">
            <v>42499</v>
          </cell>
          <cell r="O17">
            <v>42506</v>
          </cell>
          <cell r="P17">
            <v>42429</v>
          </cell>
          <cell r="Q17">
            <v>42429</v>
          </cell>
          <cell r="R17">
            <v>0</v>
          </cell>
          <cell r="S17">
            <v>42466</v>
          </cell>
          <cell r="T17">
            <v>42467</v>
          </cell>
          <cell r="U17">
            <v>42471</v>
          </cell>
          <cell r="V17">
            <v>42478</v>
          </cell>
          <cell r="W17">
            <v>42485</v>
          </cell>
          <cell r="X17">
            <v>42485</v>
          </cell>
          <cell r="Y17">
            <v>42485</v>
          </cell>
          <cell r="Z17">
            <v>42485</v>
          </cell>
          <cell r="AA17">
            <v>42486</v>
          </cell>
          <cell r="AB17">
            <v>42632</v>
          </cell>
        </row>
        <row r="18">
          <cell r="A18" t="str">
            <v>16-022</v>
          </cell>
          <cell r="B18" t="str">
            <v>O'Neal</v>
          </cell>
          <cell r="C18" t="str">
            <v>2/15/2016</v>
          </cell>
          <cell r="D18">
            <v>4</v>
          </cell>
          <cell r="E18">
            <v>5</v>
          </cell>
          <cell r="F18">
            <v>20</v>
          </cell>
          <cell r="G18">
            <v>24</v>
          </cell>
          <cell r="H18">
            <v>42450</v>
          </cell>
          <cell r="I18">
            <v>42464</v>
          </cell>
          <cell r="J18">
            <v>42471</v>
          </cell>
          <cell r="K18">
            <v>42478</v>
          </cell>
          <cell r="L18">
            <v>42485</v>
          </cell>
          <cell r="M18">
            <v>42492</v>
          </cell>
          <cell r="N18">
            <v>42499</v>
          </cell>
          <cell r="O18">
            <v>42506</v>
          </cell>
          <cell r="P18">
            <v>42429</v>
          </cell>
          <cell r="Q18">
            <v>42429</v>
          </cell>
          <cell r="R18">
            <v>0</v>
          </cell>
          <cell r="S18">
            <v>42466</v>
          </cell>
          <cell r="T18">
            <v>42467</v>
          </cell>
          <cell r="U18">
            <v>42471</v>
          </cell>
          <cell r="V18">
            <v>42478</v>
          </cell>
          <cell r="W18">
            <v>42485</v>
          </cell>
          <cell r="X18">
            <v>42485</v>
          </cell>
          <cell r="Y18">
            <v>42485</v>
          </cell>
          <cell r="Z18">
            <v>42485</v>
          </cell>
          <cell r="AA18">
            <v>42486</v>
          </cell>
          <cell r="AB18">
            <v>42632</v>
          </cell>
        </row>
        <row r="19">
          <cell r="A19" t="str">
            <v>16-023</v>
          </cell>
          <cell r="B19" t="str">
            <v>O'Neal</v>
          </cell>
          <cell r="C19" t="str">
            <v>2/15/2016</v>
          </cell>
          <cell r="D19">
            <v>4</v>
          </cell>
          <cell r="E19">
            <v>5</v>
          </cell>
          <cell r="F19">
            <v>20</v>
          </cell>
          <cell r="G19">
            <v>24</v>
          </cell>
          <cell r="H19">
            <v>42450</v>
          </cell>
          <cell r="I19">
            <v>42464</v>
          </cell>
          <cell r="J19">
            <v>42471</v>
          </cell>
          <cell r="K19">
            <v>42478</v>
          </cell>
          <cell r="L19">
            <v>42485</v>
          </cell>
          <cell r="M19">
            <v>42492</v>
          </cell>
          <cell r="N19">
            <v>42499</v>
          </cell>
          <cell r="O19">
            <v>42506</v>
          </cell>
          <cell r="P19">
            <v>42429</v>
          </cell>
          <cell r="Q19">
            <v>42429</v>
          </cell>
          <cell r="R19">
            <v>0</v>
          </cell>
          <cell r="S19">
            <v>42466</v>
          </cell>
          <cell r="T19">
            <v>42467</v>
          </cell>
          <cell r="U19">
            <v>42471</v>
          </cell>
          <cell r="V19">
            <v>42478</v>
          </cell>
          <cell r="W19">
            <v>42485</v>
          </cell>
          <cell r="X19">
            <v>42485</v>
          </cell>
          <cell r="Y19">
            <v>42485</v>
          </cell>
          <cell r="Z19">
            <v>42485</v>
          </cell>
          <cell r="AA19">
            <v>42486</v>
          </cell>
          <cell r="AB19">
            <v>42632</v>
          </cell>
        </row>
        <row r="20">
          <cell r="A20" t="str">
            <v>16-024</v>
          </cell>
          <cell r="B20" t="str">
            <v>O'Neal</v>
          </cell>
          <cell r="C20" t="str">
            <v>2/15/2016</v>
          </cell>
          <cell r="D20">
            <v>4</v>
          </cell>
          <cell r="E20">
            <v>5</v>
          </cell>
          <cell r="F20">
            <v>20</v>
          </cell>
          <cell r="G20">
            <v>24</v>
          </cell>
          <cell r="H20">
            <v>42450</v>
          </cell>
          <cell r="I20">
            <v>42464</v>
          </cell>
          <cell r="J20">
            <v>42471</v>
          </cell>
          <cell r="K20">
            <v>42478</v>
          </cell>
          <cell r="L20">
            <v>42485</v>
          </cell>
          <cell r="M20">
            <v>42492</v>
          </cell>
          <cell r="N20">
            <v>42499</v>
          </cell>
          <cell r="O20">
            <v>42506</v>
          </cell>
          <cell r="P20">
            <v>42429</v>
          </cell>
          <cell r="Q20">
            <v>42429</v>
          </cell>
          <cell r="R20">
            <v>0</v>
          </cell>
          <cell r="S20">
            <v>42466</v>
          </cell>
          <cell r="T20">
            <v>42467</v>
          </cell>
          <cell r="U20">
            <v>42471</v>
          </cell>
          <cell r="V20">
            <v>42478</v>
          </cell>
          <cell r="W20">
            <v>42485</v>
          </cell>
          <cell r="X20">
            <v>42485</v>
          </cell>
          <cell r="Y20">
            <v>42485</v>
          </cell>
          <cell r="Z20">
            <v>42485</v>
          </cell>
          <cell r="AA20">
            <v>42486</v>
          </cell>
          <cell r="AB20">
            <v>42632</v>
          </cell>
        </row>
        <row r="21">
          <cell r="A21" t="str">
            <v>16-025</v>
          </cell>
          <cell r="B21" t="str">
            <v>O'Neal</v>
          </cell>
          <cell r="C21" t="str">
            <v>2/15/2016</v>
          </cell>
          <cell r="D21">
            <v>4</v>
          </cell>
          <cell r="E21">
            <v>5</v>
          </cell>
          <cell r="F21">
            <v>20</v>
          </cell>
          <cell r="G21">
            <v>24</v>
          </cell>
          <cell r="H21">
            <v>42450</v>
          </cell>
          <cell r="I21">
            <v>42464</v>
          </cell>
          <cell r="J21">
            <v>42471</v>
          </cell>
          <cell r="K21">
            <v>42478</v>
          </cell>
          <cell r="L21">
            <v>42485</v>
          </cell>
          <cell r="M21">
            <v>42492</v>
          </cell>
          <cell r="N21">
            <v>42499</v>
          </cell>
          <cell r="O21">
            <v>42506</v>
          </cell>
          <cell r="P21">
            <v>42429</v>
          </cell>
          <cell r="Q21">
            <v>42429</v>
          </cell>
          <cell r="R21">
            <v>0</v>
          </cell>
          <cell r="S21">
            <v>42466</v>
          </cell>
          <cell r="T21">
            <v>42467</v>
          </cell>
          <cell r="U21">
            <v>42471</v>
          </cell>
          <cell r="V21">
            <v>42478</v>
          </cell>
          <cell r="W21">
            <v>42485</v>
          </cell>
          <cell r="X21">
            <v>42485</v>
          </cell>
          <cell r="Y21">
            <v>42485</v>
          </cell>
          <cell r="Z21">
            <v>42485</v>
          </cell>
          <cell r="AA21">
            <v>42486</v>
          </cell>
          <cell r="AB21">
            <v>42632</v>
          </cell>
        </row>
        <row r="22">
          <cell r="A22" t="str">
            <v>16-026</v>
          </cell>
          <cell r="B22" t="str">
            <v>O'Neal</v>
          </cell>
          <cell r="C22" t="str">
            <v>2/15/2016</v>
          </cell>
          <cell r="D22">
            <v>4</v>
          </cell>
          <cell r="E22">
            <v>5</v>
          </cell>
          <cell r="F22">
            <v>20</v>
          </cell>
          <cell r="G22">
            <v>24</v>
          </cell>
          <cell r="H22">
            <v>42450</v>
          </cell>
          <cell r="I22">
            <v>42464</v>
          </cell>
          <cell r="J22">
            <v>42471</v>
          </cell>
          <cell r="K22">
            <v>42478</v>
          </cell>
          <cell r="L22">
            <v>42485</v>
          </cell>
          <cell r="M22">
            <v>42492</v>
          </cell>
          <cell r="N22">
            <v>42499</v>
          </cell>
          <cell r="O22">
            <v>42506</v>
          </cell>
          <cell r="P22">
            <v>42429</v>
          </cell>
          <cell r="Q22">
            <v>42429</v>
          </cell>
          <cell r="R22">
            <v>0</v>
          </cell>
          <cell r="S22">
            <v>42466</v>
          </cell>
          <cell r="T22">
            <v>42467</v>
          </cell>
          <cell r="U22">
            <v>42471</v>
          </cell>
          <cell r="V22">
            <v>42478</v>
          </cell>
          <cell r="W22">
            <v>42485</v>
          </cell>
          <cell r="X22">
            <v>42485</v>
          </cell>
          <cell r="Y22">
            <v>42485</v>
          </cell>
          <cell r="Z22">
            <v>42485</v>
          </cell>
          <cell r="AA22">
            <v>42486</v>
          </cell>
          <cell r="AB22">
            <v>42632</v>
          </cell>
        </row>
        <row r="23">
          <cell r="A23" t="str">
            <v>16-027</v>
          </cell>
          <cell r="B23" t="str">
            <v>O'Neal</v>
          </cell>
          <cell r="C23" t="str">
            <v>2/15/2016</v>
          </cell>
          <cell r="D23">
            <v>4</v>
          </cell>
          <cell r="E23">
            <v>5</v>
          </cell>
          <cell r="F23">
            <v>20</v>
          </cell>
          <cell r="G23">
            <v>24</v>
          </cell>
          <cell r="H23">
            <v>42450</v>
          </cell>
          <cell r="I23">
            <v>42464</v>
          </cell>
          <cell r="J23">
            <v>42471</v>
          </cell>
          <cell r="K23">
            <v>42478</v>
          </cell>
          <cell r="L23">
            <v>42485</v>
          </cell>
          <cell r="M23">
            <v>42492</v>
          </cell>
          <cell r="N23">
            <v>42499</v>
          </cell>
          <cell r="O23">
            <v>42506</v>
          </cell>
          <cell r="P23">
            <v>42429</v>
          </cell>
          <cell r="Q23">
            <v>42429</v>
          </cell>
          <cell r="R23">
            <v>0</v>
          </cell>
          <cell r="S23">
            <v>42466</v>
          </cell>
          <cell r="T23">
            <v>42467</v>
          </cell>
          <cell r="U23">
            <v>42471</v>
          </cell>
          <cell r="V23">
            <v>42478</v>
          </cell>
          <cell r="W23">
            <v>42485</v>
          </cell>
          <cell r="X23">
            <v>42485</v>
          </cell>
          <cell r="Y23">
            <v>42485</v>
          </cell>
          <cell r="Z23">
            <v>42485</v>
          </cell>
          <cell r="AA23">
            <v>42486</v>
          </cell>
          <cell r="AB23">
            <v>42632</v>
          </cell>
        </row>
        <row r="24">
          <cell r="A24" t="str">
            <v>16-028</v>
          </cell>
          <cell r="B24" t="str">
            <v>O'Neal</v>
          </cell>
          <cell r="C24" t="str">
            <v>2/15/2016</v>
          </cell>
          <cell r="D24">
            <v>4</v>
          </cell>
          <cell r="E24">
            <v>5</v>
          </cell>
          <cell r="F24">
            <v>20</v>
          </cell>
          <cell r="G24">
            <v>24</v>
          </cell>
          <cell r="H24">
            <v>42450</v>
          </cell>
          <cell r="I24">
            <v>42464</v>
          </cell>
          <cell r="J24">
            <v>42471</v>
          </cell>
          <cell r="K24">
            <v>42478</v>
          </cell>
          <cell r="L24">
            <v>42485</v>
          </cell>
          <cell r="M24">
            <v>42492</v>
          </cell>
          <cell r="N24">
            <v>42499</v>
          </cell>
          <cell r="O24">
            <v>42506</v>
          </cell>
          <cell r="P24">
            <v>42429</v>
          </cell>
          <cell r="Q24">
            <v>42429</v>
          </cell>
          <cell r="R24">
            <v>0</v>
          </cell>
          <cell r="S24">
            <v>42466</v>
          </cell>
          <cell r="T24">
            <v>42467</v>
          </cell>
          <cell r="U24">
            <v>42471</v>
          </cell>
          <cell r="V24">
            <v>42478</v>
          </cell>
          <cell r="W24">
            <v>42485</v>
          </cell>
          <cell r="X24">
            <v>42485</v>
          </cell>
          <cell r="Y24">
            <v>42485</v>
          </cell>
          <cell r="Z24">
            <v>42485</v>
          </cell>
          <cell r="AA24">
            <v>42486</v>
          </cell>
          <cell r="AB24">
            <v>42632</v>
          </cell>
        </row>
        <row r="25">
          <cell r="A25" t="str">
            <v>16-029</v>
          </cell>
          <cell r="B25" t="str">
            <v>O'Neal</v>
          </cell>
          <cell r="C25" t="str">
            <v>2/15/2016</v>
          </cell>
          <cell r="D25">
            <v>4</v>
          </cell>
          <cell r="E25">
            <v>5</v>
          </cell>
          <cell r="F25">
            <v>20</v>
          </cell>
          <cell r="G25">
            <v>24</v>
          </cell>
          <cell r="H25">
            <v>42450</v>
          </cell>
          <cell r="I25">
            <v>42464</v>
          </cell>
          <cell r="J25">
            <v>42471</v>
          </cell>
          <cell r="K25">
            <v>42478</v>
          </cell>
          <cell r="L25">
            <v>42485</v>
          </cell>
          <cell r="M25">
            <v>42492</v>
          </cell>
          <cell r="N25">
            <v>42499</v>
          </cell>
          <cell r="O25">
            <v>42506</v>
          </cell>
          <cell r="P25">
            <v>42429</v>
          </cell>
          <cell r="Q25">
            <v>42429</v>
          </cell>
          <cell r="R25">
            <v>0</v>
          </cell>
          <cell r="S25">
            <v>42466</v>
          </cell>
          <cell r="T25">
            <v>42467</v>
          </cell>
          <cell r="U25">
            <v>42471</v>
          </cell>
          <cell r="V25">
            <v>42478</v>
          </cell>
          <cell r="W25">
            <v>42485</v>
          </cell>
          <cell r="X25">
            <v>42485</v>
          </cell>
          <cell r="Y25">
            <v>42485</v>
          </cell>
          <cell r="Z25">
            <v>42485</v>
          </cell>
          <cell r="AA25">
            <v>42486</v>
          </cell>
          <cell r="AB25">
            <v>42632</v>
          </cell>
        </row>
        <row r="26">
          <cell r="A26" t="str">
            <v>16-030</v>
          </cell>
          <cell r="B26" t="str">
            <v>O'Neal</v>
          </cell>
          <cell r="C26" t="str">
            <v>2/15/2016</v>
          </cell>
          <cell r="D26">
            <v>4</v>
          </cell>
          <cell r="E26">
            <v>5</v>
          </cell>
          <cell r="F26">
            <v>20</v>
          </cell>
          <cell r="G26">
            <v>24</v>
          </cell>
          <cell r="H26">
            <v>42450</v>
          </cell>
          <cell r="I26">
            <v>42464</v>
          </cell>
          <cell r="J26">
            <v>42471</v>
          </cell>
          <cell r="K26">
            <v>42478</v>
          </cell>
          <cell r="L26">
            <v>42485</v>
          </cell>
          <cell r="M26">
            <v>42492</v>
          </cell>
          <cell r="N26">
            <v>42499</v>
          </cell>
          <cell r="O26">
            <v>42506</v>
          </cell>
          <cell r="P26">
            <v>42429</v>
          </cell>
          <cell r="Q26">
            <v>42429</v>
          </cell>
          <cell r="R26">
            <v>0</v>
          </cell>
          <cell r="S26">
            <v>42466</v>
          </cell>
          <cell r="T26">
            <v>42467</v>
          </cell>
          <cell r="U26">
            <v>42471</v>
          </cell>
          <cell r="V26">
            <v>42478</v>
          </cell>
          <cell r="W26">
            <v>42485</v>
          </cell>
          <cell r="X26">
            <v>42485</v>
          </cell>
          <cell r="Y26">
            <v>42485</v>
          </cell>
          <cell r="Z26">
            <v>42485</v>
          </cell>
          <cell r="AA26">
            <v>42486</v>
          </cell>
          <cell r="AB26">
            <v>42632</v>
          </cell>
        </row>
        <row r="27">
          <cell r="A27" t="str">
            <v>16-031</v>
          </cell>
          <cell r="B27" t="str">
            <v>O'Neal</v>
          </cell>
          <cell r="C27" t="str">
            <v>2/15/2016</v>
          </cell>
          <cell r="D27">
            <v>4</v>
          </cell>
          <cell r="E27">
            <v>5</v>
          </cell>
          <cell r="F27">
            <v>20</v>
          </cell>
          <cell r="G27">
            <v>24</v>
          </cell>
          <cell r="H27">
            <v>42450</v>
          </cell>
          <cell r="I27">
            <v>42464</v>
          </cell>
          <cell r="J27">
            <v>42471</v>
          </cell>
          <cell r="K27">
            <v>42478</v>
          </cell>
          <cell r="L27">
            <v>42485</v>
          </cell>
          <cell r="M27">
            <v>42492</v>
          </cell>
          <cell r="N27">
            <v>42499</v>
          </cell>
          <cell r="O27">
            <v>42506</v>
          </cell>
          <cell r="P27">
            <v>42429</v>
          </cell>
          <cell r="Q27">
            <v>42429</v>
          </cell>
          <cell r="R27">
            <v>0</v>
          </cell>
          <cell r="S27">
            <v>42466</v>
          </cell>
          <cell r="T27">
            <v>42467</v>
          </cell>
          <cell r="U27">
            <v>42471</v>
          </cell>
          <cell r="V27">
            <v>42478</v>
          </cell>
          <cell r="W27">
            <v>42485</v>
          </cell>
          <cell r="X27">
            <v>42485</v>
          </cell>
          <cell r="Y27">
            <v>42485</v>
          </cell>
          <cell r="Z27">
            <v>42485</v>
          </cell>
          <cell r="AA27">
            <v>42486</v>
          </cell>
          <cell r="AB27">
            <v>42632</v>
          </cell>
        </row>
        <row r="28">
          <cell r="A28" t="str">
            <v>16-032</v>
          </cell>
          <cell r="B28" t="str">
            <v>O'Neal</v>
          </cell>
          <cell r="C28" t="str">
            <v>2/15/2016</v>
          </cell>
          <cell r="D28">
            <v>4</v>
          </cell>
          <cell r="E28">
            <v>5</v>
          </cell>
          <cell r="F28">
            <v>20</v>
          </cell>
          <cell r="G28">
            <v>24</v>
          </cell>
          <cell r="H28">
            <v>42450</v>
          </cell>
          <cell r="I28">
            <v>42464</v>
          </cell>
          <cell r="J28">
            <v>42471</v>
          </cell>
          <cell r="K28">
            <v>42478</v>
          </cell>
          <cell r="L28">
            <v>42485</v>
          </cell>
          <cell r="M28">
            <v>42492</v>
          </cell>
          <cell r="N28">
            <v>42499</v>
          </cell>
          <cell r="O28">
            <v>42506</v>
          </cell>
          <cell r="P28">
            <v>42429</v>
          </cell>
          <cell r="Q28">
            <v>42429</v>
          </cell>
          <cell r="R28">
            <v>0</v>
          </cell>
          <cell r="S28">
            <v>42466</v>
          </cell>
          <cell r="T28">
            <v>42467</v>
          </cell>
          <cell r="U28">
            <v>42471</v>
          </cell>
          <cell r="V28">
            <v>42478</v>
          </cell>
          <cell r="W28">
            <v>42485</v>
          </cell>
          <cell r="X28">
            <v>42485</v>
          </cell>
          <cell r="Y28">
            <v>42485</v>
          </cell>
          <cell r="Z28">
            <v>42485</v>
          </cell>
          <cell r="AA28">
            <v>42486</v>
          </cell>
          <cell r="AB28">
            <v>42632</v>
          </cell>
        </row>
        <row r="29">
          <cell r="A29" t="str">
            <v>16-033</v>
          </cell>
          <cell r="B29" t="str">
            <v>O'Neal</v>
          </cell>
          <cell r="C29" t="str">
            <v>2/15/2016</v>
          </cell>
          <cell r="D29">
            <v>4</v>
          </cell>
          <cell r="E29">
            <v>5</v>
          </cell>
          <cell r="F29">
            <v>20</v>
          </cell>
          <cell r="G29">
            <v>24</v>
          </cell>
          <cell r="H29">
            <v>42450</v>
          </cell>
          <cell r="I29">
            <v>42464</v>
          </cell>
          <cell r="J29">
            <v>42471</v>
          </cell>
          <cell r="K29">
            <v>42478</v>
          </cell>
          <cell r="L29">
            <v>42485</v>
          </cell>
          <cell r="M29">
            <v>42492</v>
          </cell>
          <cell r="N29">
            <v>42499</v>
          </cell>
          <cell r="O29">
            <v>42506</v>
          </cell>
          <cell r="P29">
            <v>42429</v>
          </cell>
          <cell r="Q29">
            <v>42429</v>
          </cell>
          <cell r="R29">
            <v>0</v>
          </cell>
          <cell r="S29">
            <v>42466</v>
          </cell>
          <cell r="T29">
            <v>42467</v>
          </cell>
          <cell r="U29">
            <v>42471</v>
          </cell>
          <cell r="V29">
            <v>42478</v>
          </cell>
          <cell r="W29">
            <v>42485</v>
          </cell>
          <cell r="X29">
            <v>42485</v>
          </cell>
          <cell r="Y29">
            <v>42485</v>
          </cell>
          <cell r="Z29">
            <v>42485</v>
          </cell>
          <cell r="AA29">
            <v>42486</v>
          </cell>
          <cell r="AB29">
            <v>42632</v>
          </cell>
        </row>
        <row r="30">
          <cell r="A30" t="str">
            <v>16-034</v>
          </cell>
          <cell r="B30" t="str">
            <v>O'Neal</v>
          </cell>
          <cell r="C30" t="str">
            <v>2/15/2016</v>
          </cell>
          <cell r="D30">
            <v>4</v>
          </cell>
          <cell r="E30">
            <v>5</v>
          </cell>
          <cell r="F30">
            <v>20</v>
          </cell>
          <cell r="G30">
            <v>24</v>
          </cell>
          <cell r="H30">
            <v>42450</v>
          </cell>
          <cell r="I30">
            <v>42464</v>
          </cell>
          <cell r="J30">
            <v>42471</v>
          </cell>
          <cell r="K30">
            <v>42478</v>
          </cell>
          <cell r="L30">
            <v>42485</v>
          </cell>
          <cell r="M30">
            <v>42492</v>
          </cell>
          <cell r="N30">
            <v>42499</v>
          </cell>
          <cell r="O30">
            <v>42506</v>
          </cell>
          <cell r="P30">
            <v>42429</v>
          </cell>
          <cell r="Q30">
            <v>42429</v>
          </cell>
          <cell r="R30">
            <v>0</v>
          </cell>
          <cell r="S30">
            <v>42466</v>
          </cell>
          <cell r="T30">
            <v>42467</v>
          </cell>
          <cell r="U30">
            <v>42471</v>
          </cell>
          <cell r="V30">
            <v>42478</v>
          </cell>
          <cell r="W30">
            <v>42485</v>
          </cell>
          <cell r="X30">
            <v>42485</v>
          </cell>
          <cell r="Y30">
            <v>42485</v>
          </cell>
          <cell r="Z30">
            <v>42485</v>
          </cell>
          <cell r="AA30">
            <v>42486</v>
          </cell>
          <cell r="AB30">
            <v>42632</v>
          </cell>
        </row>
        <row r="31">
          <cell r="A31" t="str">
            <v>16-035</v>
          </cell>
          <cell r="B31" t="str">
            <v>O'Neal</v>
          </cell>
          <cell r="C31" t="str">
            <v>2/15/2016</v>
          </cell>
          <cell r="D31">
            <v>4</v>
          </cell>
          <cell r="E31">
            <v>5</v>
          </cell>
          <cell r="F31">
            <v>20</v>
          </cell>
          <cell r="G31">
            <v>24</v>
          </cell>
          <cell r="H31">
            <v>42450</v>
          </cell>
          <cell r="I31">
            <v>42464</v>
          </cell>
          <cell r="J31">
            <v>42471</v>
          </cell>
          <cell r="K31">
            <v>42478</v>
          </cell>
          <cell r="L31">
            <v>42485</v>
          </cell>
          <cell r="M31">
            <v>42492</v>
          </cell>
          <cell r="N31">
            <v>42499</v>
          </cell>
          <cell r="O31">
            <v>42506</v>
          </cell>
          <cell r="P31">
            <v>42429</v>
          </cell>
          <cell r="Q31">
            <v>42429</v>
          </cell>
          <cell r="R31">
            <v>0</v>
          </cell>
          <cell r="S31">
            <v>42466</v>
          </cell>
          <cell r="T31">
            <v>42467</v>
          </cell>
          <cell r="U31">
            <v>42471</v>
          </cell>
          <cell r="V31">
            <v>42478</v>
          </cell>
          <cell r="W31">
            <v>42485</v>
          </cell>
          <cell r="X31">
            <v>42485</v>
          </cell>
          <cell r="Y31">
            <v>42485</v>
          </cell>
          <cell r="Z31">
            <v>42485</v>
          </cell>
          <cell r="AA31">
            <v>42486</v>
          </cell>
          <cell r="AB31">
            <v>42632</v>
          </cell>
        </row>
        <row r="32">
          <cell r="A32" t="str">
            <v>16-042</v>
          </cell>
          <cell r="B32" t="str">
            <v>Airco</v>
          </cell>
          <cell r="C32" t="str">
            <v>3/16/2016</v>
          </cell>
          <cell r="D32">
            <v>2</v>
          </cell>
          <cell r="E32">
            <v>3</v>
          </cell>
          <cell r="F32">
            <v>16</v>
          </cell>
          <cell r="G32">
            <v>18</v>
          </cell>
          <cell r="H32">
            <v>42466</v>
          </cell>
          <cell r="I32">
            <v>42480</v>
          </cell>
          <cell r="J32">
            <v>42487</v>
          </cell>
          <cell r="K32">
            <v>42494</v>
          </cell>
          <cell r="L32">
            <v>42501</v>
          </cell>
          <cell r="M32">
            <v>42508</v>
          </cell>
          <cell r="N32">
            <v>42515</v>
          </cell>
          <cell r="O32">
            <v>42522</v>
          </cell>
          <cell r="P32">
            <v>42459</v>
          </cell>
          <cell r="Q32">
            <v>42459</v>
          </cell>
          <cell r="R32">
            <v>0</v>
          </cell>
          <cell r="S32">
            <v>42482</v>
          </cell>
          <cell r="T32">
            <v>42483</v>
          </cell>
          <cell r="U32">
            <v>42487</v>
          </cell>
          <cell r="V32">
            <v>42494</v>
          </cell>
          <cell r="W32">
            <v>42501</v>
          </cell>
          <cell r="X32">
            <v>42501</v>
          </cell>
          <cell r="Y32">
            <v>42501</v>
          </cell>
          <cell r="Z32">
            <v>42501</v>
          </cell>
          <cell r="AA32">
            <v>42502</v>
          </cell>
          <cell r="AB32">
            <v>42606</v>
          </cell>
        </row>
        <row r="33">
          <cell r="A33" t="str">
            <v>16-043</v>
          </cell>
          <cell r="B33" t="str">
            <v>Arboris</v>
          </cell>
          <cell r="C33" t="str">
            <v>3/25/2016</v>
          </cell>
          <cell r="D33">
            <v>1</v>
          </cell>
          <cell r="E33">
            <v>2</v>
          </cell>
          <cell r="F33">
            <v>12</v>
          </cell>
          <cell r="G33">
            <v>16</v>
          </cell>
          <cell r="H33">
            <v>42468</v>
          </cell>
          <cell r="I33">
            <v>42480</v>
          </cell>
          <cell r="J33">
            <v>42670</v>
          </cell>
          <cell r="K33">
            <v>42682</v>
          </cell>
          <cell r="L33">
            <v>42709</v>
          </cell>
          <cell r="M33">
            <v>42716</v>
          </cell>
          <cell r="N33">
            <v>42723</v>
          </cell>
          <cell r="O33">
            <v>42730</v>
          </cell>
          <cell r="P33">
            <v>42468</v>
          </cell>
          <cell r="Q33">
            <v>42468</v>
          </cell>
          <cell r="R33">
            <v>0</v>
          </cell>
          <cell r="S33">
            <v>42704</v>
          </cell>
          <cell r="T33">
            <v>42705</v>
          </cell>
          <cell r="U33">
            <v>42709</v>
          </cell>
          <cell r="V33">
            <v>42716</v>
          </cell>
          <cell r="W33">
            <v>42723</v>
          </cell>
          <cell r="X33">
            <v>42723</v>
          </cell>
          <cell r="Y33">
            <v>42723</v>
          </cell>
          <cell r="Z33">
            <v>42723</v>
          </cell>
          <cell r="AA33">
            <v>42724</v>
          </cell>
          <cell r="AB33">
            <v>42814</v>
          </cell>
        </row>
        <row r="34">
          <cell r="A34" t="str">
            <v>16-044</v>
          </cell>
          <cell r="B34" t="str">
            <v>Sys-Con</v>
          </cell>
          <cell r="C34" t="str">
            <v>4/19/2016</v>
          </cell>
          <cell r="D34">
            <v>1</v>
          </cell>
          <cell r="E34">
            <v>2</v>
          </cell>
          <cell r="F34">
            <v>7</v>
          </cell>
          <cell r="G34">
            <v>9</v>
          </cell>
          <cell r="H34">
            <v>42493</v>
          </cell>
          <cell r="I34">
            <v>42507</v>
          </cell>
          <cell r="J34">
            <v>42514</v>
          </cell>
          <cell r="K34">
            <v>42521</v>
          </cell>
          <cell r="L34">
            <v>42528</v>
          </cell>
          <cell r="M34">
            <v>42535</v>
          </cell>
          <cell r="N34">
            <v>42542</v>
          </cell>
          <cell r="O34">
            <v>42549</v>
          </cell>
          <cell r="P34">
            <v>42493</v>
          </cell>
          <cell r="Q34">
            <v>42493</v>
          </cell>
          <cell r="R34">
            <v>0</v>
          </cell>
          <cell r="S34">
            <v>42509</v>
          </cell>
          <cell r="T34">
            <v>42510</v>
          </cell>
          <cell r="U34">
            <v>42514</v>
          </cell>
          <cell r="V34">
            <v>42521</v>
          </cell>
          <cell r="W34">
            <v>42528</v>
          </cell>
          <cell r="X34">
            <v>42528</v>
          </cell>
          <cell r="Y34">
            <v>42528</v>
          </cell>
          <cell r="Z34">
            <v>42528</v>
          </cell>
          <cell r="AA34">
            <v>42529</v>
          </cell>
          <cell r="AB34">
            <v>42570</v>
          </cell>
        </row>
        <row r="35">
          <cell r="A35" t="str">
            <v>16-045</v>
          </cell>
          <cell r="B35" t="str">
            <v>Sys-Con</v>
          </cell>
          <cell r="C35" t="str">
            <v>5/5/2016</v>
          </cell>
          <cell r="D35">
            <v>2</v>
          </cell>
          <cell r="E35">
            <v>3</v>
          </cell>
          <cell r="F35">
            <v>8</v>
          </cell>
          <cell r="G35">
            <v>10</v>
          </cell>
          <cell r="H35">
            <v>42516</v>
          </cell>
          <cell r="I35">
            <v>42530</v>
          </cell>
          <cell r="J35">
            <v>42537</v>
          </cell>
          <cell r="K35">
            <v>42544</v>
          </cell>
          <cell r="L35">
            <v>42551</v>
          </cell>
          <cell r="M35">
            <v>42558</v>
          </cell>
          <cell r="N35">
            <v>42565</v>
          </cell>
          <cell r="O35">
            <v>42572</v>
          </cell>
          <cell r="P35">
            <v>42509</v>
          </cell>
          <cell r="Q35">
            <v>42509</v>
          </cell>
          <cell r="R35">
            <v>0</v>
          </cell>
          <cell r="S35">
            <v>42532</v>
          </cell>
          <cell r="T35">
            <v>42533</v>
          </cell>
          <cell r="U35">
            <v>42537</v>
          </cell>
          <cell r="V35">
            <v>42544</v>
          </cell>
          <cell r="W35">
            <v>42551</v>
          </cell>
          <cell r="X35">
            <v>42551</v>
          </cell>
          <cell r="Y35">
            <v>42551</v>
          </cell>
          <cell r="Z35">
            <v>42551</v>
          </cell>
          <cell r="AA35">
            <v>42552</v>
          </cell>
          <cell r="AB35">
            <v>42600</v>
          </cell>
        </row>
        <row r="36">
          <cell r="A36" t="str">
            <v>16-046</v>
          </cell>
          <cell r="B36" t="str">
            <v>Sys-Con</v>
          </cell>
          <cell r="C36" t="str">
            <v>5/5/2016</v>
          </cell>
          <cell r="D36">
            <v>2</v>
          </cell>
          <cell r="E36">
            <v>3</v>
          </cell>
          <cell r="F36">
            <v>8</v>
          </cell>
          <cell r="G36">
            <v>10</v>
          </cell>
          <cell r="H36">
            <v>42516</v>
          </cell>
          <cell r="I36">
            <v>42530</v>
          </cell>
          <cell r="J36">
            <v>42537</v>
          </cell>
          <cell r="K36">
            <v>42544</v>
          </cell>
          <cell r="L36">
            <v>42551</v>
          </cell>
          <cell r="M36">
            <v>42558</v>
          </cell>
          <cell r="N36">
            <v>42565</v>
          </cell>
          <cell r="O36">
            <v>42572</v>
          </cell>
          <cell r="P36">
            <v>42509</v>
          </cell>
          <cell r="Q36">
            <v>42509</v>
          </cell>
          <cell r="R36">
            <v>0</v>
          </cell>
          <cell r="S36">
            <v>42532</v>
          </cell>
          <cell r="T36">
            <v>42533</v>
          </cell>
          <cell r="U36">
            <v>42537</v>
          </cell>
          <cell r="V36">
            <v>42544</v>
          </cell>
          <cell r="W36">
            <v>42551</v>
          </cell>
          <cell r="X36">
            <v>42551</v>
          </cell>
          <cell r="Y36">
            <v>42551</v>
          </cell>
          <cell r="Z36">
            <v>42551</v>
          </cell>
          <cell r="AA36">
            <v>42552</v>
          </cell>
          <cell r="AB36">
            <v>42600</v>
          </cell>
        </row>
        <row r="37">
          <cell r="A37" t="str">
            <v>16-047</v>
          </cell>
          <cell r="B37" t="str">
            <v>Sys-Con</v>
          </cell>
          <cell r="C37" t="str">
            <v>5/5/2016</v>
          </cell>
          <cell r="D37">
            <v>2</v>
          </cell>
          <cell r="E37">
            <v>3</v>
          </cell>
          <cell r="F37">
            <v>8</v>
          </cell>
          <cell r="G37">
            <v>10</v>
          </cell>
          <cell r="H37">
            <v>42516</v>
          </cell>
          <cell r="I37">
            <v>42530</v>
          </cell>
          <cell r="J37">
            <v>42537</v>
          </cell>
          <cell r="K37">
            <v>42544</v>
          </cell>
          <cell r="L37">
            <v>42551</v>
          </cell>
          <cell r="M37">
            <v>42558</v>
          </cell>
          <cell r="N37">
            <v>42565</v>
          </cell>
          <cell r="O37">
            <v>42572</v>
          </cell>
          <cell r="P37">
            <v>42509</v>
          </cell>
          <cell r="Q37">
            <v>42509</v>
          </cell>
          <cell r="R37">
            <v>0</v>
          </cell>
          <cell r="S37">
            <v>42532</v>
          </cell>
          <cell r="T37">
            <v>42533</v>
          </cell>
          <cell r="U37">
            <v>42537</v>
          </cell>
          <cell r="V37">
            <v>42544</v>
          </cell>
          <cell r="W37">
            <v>42551</v>
          </cell>
          <cell r="X37">
            <v>42551</v>
          </cell>
          <cell r="Y37">
            <v>42551</v>
          </cell>
          <cell r="Z37">
            <v>42551</v>
          </cell>
          <cell r="AA37">
            <v>42552</v>
          </cell>
          <cell r="AB37">
            <v>42600</v>
          </cell>
        </row>
        <row r="38">
          <cell r="A38" t="str">
            <v>16-049</v>
          </cell>
          <cell r="B38" t="str">
            <v>M3 Construction</v>
          </cell>
          <cell r="C38" t="str">
            <v>5/12/2016</v>
          </cell>
          <cell r="D38">
            <v>1</v>
          </cell>
          <cell r="E38">
            <v>2</v>
          </cell>
          <cell r="F38">
            <v>12</v>
          </cell>
          <cell r="G38">
            <v>15</v>
          </cell>
          <cell r="H38">
            <v>42516</v>
          </cell>
          <cell r="I38">
            <v>42530</v>
          </cell>
          <cell r="J38">
            <v>42537</v>
          </cell>
          <cell r="K38">
            <v>42544</v>
          </cell>
          <cell r="L38">
            <v>42551</v>
          </cell>
          <cell r="M38">
            <v>42558</v>
          </cell>
          <cell r="N38">
            <v>42565</v>
          </cell>
          <cell r="O38">
            <v>42572</v>
          </cell>
          <cell r="P38">
            <v>42516</v>
          </cell>
          <cell r="Q38">
            <v>42516</v>
          </cell>
          <cell r="R38">
            <v>0</v>
          </cell>
          <cell r="S38">
            <v>42532</v>
          </cell>
          <cell r="T38">
            <v>42533</v>
          </cell>
          <cell r="U38">
            <v>42537</v>
          </cell>
          <cell r="V38">
            <v>42544</v>
          </cell>
          <cell r="W38">
            <v>42551</v>
          </cell>
          <cell r="X38">
            <v>42551</v>
          </cell>
          <cell r="Y38">
            <v>42551</v>
          </cell>
          <cell r="Z38">
            <v>42551</v>
          </cell>
          <cell r="AA38">
            <v>42552</v>
          </cell>
          <cell r="AB38">
            <v>42635</v>
          </cell>
        </row>
        <row r="39">
          <cell r="A39" t="str">
            <v>16-050</v>
          </cell>
          <cell r="B39" t="str">
            <v>M3 Construction</v>
          </cell>
          <cell r="C39" t="str">
            <v>5/12/2016</v>
          </cell>
          <cell r="D39">
            <v>1</v>
          </cell>
          <cell r="E39">
            <v>2</v>
          </cell>
          <cell r="F39">
            <v>12</v>
          </cell>
          <cell r="G39">
            <v>15</v>
          </cell>
          <cell r="H39">
            <v>42516</v>
          </cell>
          <cell r="I39">
            <v>42530</v>
          </cell>
          <cell r="J39">
            <v>42537</v>
          </cell>
          <cell r="K39">
            <v>42544</v>
          </cell>
          <cell r="L39">
            <v>42551</v>
          </cell>
          <cell r="M39">
            <v>42558</v>
          </cell>
          <cell r="N39">
            <v>42565</v>
          </cell>
          <cell r="O39">
            <v>42572</v>
          </cell>
          <cell r="P39">
            <v>42516</v>
          </cell>
          <cell r="Q39">
            <v>42516</v>
          </cell>
          <cell r="R39">
            <v>0</v>
          </cell>
          <cell r="S39">
            <v>42532</v>
          </cell>
          <cell r="T39">
            <v>42533</v>
          </cell>
          <cell r="U39">
            <v>42537</v>
          </cell>
          <cell r="V39">
            <v>42544</v>
          </cell>
          <cell r="W39">
            <v>42551</v>
          </cell>
          <cell r="X39">
            <v>42551</v>
          </cell>
          <cell r="Y39">
            <v>42551</v>
          </cell>
          <cell r="Z39">
            <v>42551</v>
          </cell>
          <cell r="AA39">
            <v>42552</v>
          </cell>
          <cell r="AB39">
            <v>42635</v>
          </cell>
        </row>
        <row r="40">
          <cell r="A40" t="str">
            <v>16-052</v>
          </cell>
          <cell r="B40" t="str">
            <v>O'Neal</v>
          </cell>
          <cell r="C40" t="str">
            <v>5/17/2016</v>
          </cell>
          <cell r="D40">
            <v>2</v>
          </cell>
          <cell r="E40">
            <v>3</v>
          </cell>
          <cell r="F40">
            <v>8</v>
          </cell>
          <cell r="G40">
            <v>10</v>
          </cell>
          <cell r="H40">
            <v>42528</v>
          </cell>
          <cell r="I40">
            <v>42542</v>
          </cell>
          <cell r="J40">
            <v>42549</v>
          </cell>
          <cell r="K40">
            <v>42556</v>
          </cell>
          <cell r="L40">
            <v>42563</v>
          </cell>
          <cell r="M40">
            <v>42570</v>
          </cell>
          <cell r="N40">
            <v>42577</v>
          </cell>
          <cell r="O40">
            <v>42584</v>
          </cell>
          <cell r="P40">
            <v>42521</v>
          </cell>
          <cell r="Q40">
            <v>42521</v>
          </cell>
          <cell r="R40">
            <v>0</v>
          </cell>
          <cell r="S40">
            <v>42544</v>
          </cell>
          <cell r="T40">
            <v>42545</v>
          </cell>
          <cell r="U40">
            <v>42549</v>
          </cell>
          <cell r="V40">
            <v>42556</v>
          </cell>
          <cell r="W40">
            <v>42563</v>
          </cell>
          <cell r="X40">
            <v>42563</v>
          </cell>
          <cell r="Y40">
            <v>42563</v>
          </cell>
          <cell r="Z40">
            <v>42563</v>
          </cell>
          <cell r="AA40">
            <v>42564</v>
          </cell>
          <cell r="AB40">
            <v>42612</v>
          </cell>
        </row>
        <row r="41">
          <cell r="A41" t="str">
            <v>16-053</v>
          </cell>
          <cell r="B41" t="str">
            <v>O'Neal</v>
          </cell>
          <cell r="C41" t="str">
            <v>5/17/2016</v>
          </cell>
          <cell r="D41">
            <v>2</v>
          </cell>
          <cell r="E41">
            <v>3</v>
          </cell>
          <cell r="F41">
            <v>8</v>
          </cell>
          <cell r="G41">
            <v>10</v>
          </cell>
          <cell r="H41">
            <v>42528</v>
          </cell>
          <cell r="I41">
            <v>42542</v>
          </cell>
          <cell r="J41">
            <v>42549</v>
          </cell>
          <cell r="K41">
            <v>42556</v>
          </cell>
          <cell r="L41">
            <v>42563</v>
          </cell>
          <cell r="M41">
            <v>42570</v>
          </cell>
          <cell r="N41">
            <v>42577</v>
          </cell>
          <cell r="O41">
            <v>42584</v>
          </cell>
          <cell r="P41">
            <v>42521</v>
          </cell>
          <cell r="Q41">
            <v>42521</v>
          </cell>
          <cell r="R41">
            <v>0</v>
          </cell>
          <cell r="S41">
            <v>42544</v>
          </cell>
          <cell r="T41">
            <v>42545</v>
          </cell>
          <cell r="U41">
            <v>42549</v>
          </cell>
          <cell r="V41">
            <v>42556</v>
          </cell>
          <cell r="W41">
            <v>42563</v>
          </cell>
          <cell r="X41">
            <v>42563</v>
          </cell>
          <cell r="Y41">
            <v>42563</v>
          </cell>
          <cell r="Z41">
            <v>42563</v>
          </cell>
          <cell r="AA41">
            <v>42564</v>
          </cell>
          <cell r="AB41">
            <v>42612</v>
          </cell>
        </row>
        <row r="42">
          <cell r="A42" t="str">
            <v>16-057</v>
          </cell>
          <cell r="B42" t="str">
            <v>Dustex</v>
          </cell>
          <cell r="C42" t="str">
            <v>5/25/2016</v>
          </cell>
          <cell r="D42">
            <v>2</v>
          </cell>
          <cell r="E42">
            <v>3</v>
          </cell>
          <cell r="F42">
            <v>10</v>
          </cell>
          <cell r="G42">
            <v>12</v>
          </cell>
          <cell r="H42">
            <v>42536</v>
          </cell>
          <cell r="I42">
            <v>42550</v>
          </cell>
          <cell r="J42">
            <v>42557</v>
          </cell>
          <cell r="K42">
            <v>42564</v>
          </cell>
          <cell r="L42">
            <v>42571</v>
          </cell>
          <cell r="M42">
            <v>42578</v>
          </cell>
          <cell r="N42">
            <v>42585</v>
          </cell>
          <cell r="O42">
            <v>42592</v>
          </cell>
          <cell r="P42">
            <v>42529</v>
          </cell>
          <cell r="Q42">
            <v>42529</v>
          </cell>
          <cell r="R42">
            <v>0</v>
          </cell>
          <cell r="S42">
            <v>42552</v>
          </cell>
          <cell r="T42">
            <v>42553</v>
          </cell>
          <cell r="U42">
            <v>42557</v>
          </cell>
          <cell r="V42">
            <v>42564</v>
          </cell>
          <cell r="W42">
            <v>42571</v>
          </cell>
          <cell r="X42">
            <v>42571</v>
          </cell>
          <cell r="Y42">
            <v>42571</v>
          </cell>
          <cell r="Z42">
            <v>42571</v>
          </cell>
          <cell r="AA42">
            <v>42572</v>
          </cell>
          <cell r="AB42">
            <v>42634</v>
          </cell>
        </row>
        <row r="43">
          <cell r="A43" t="str">
            <v>16-058</v>
          </cell>
          <cell r="B43" t="str">
            <v>Dustex</v>
          </cell>
          <cell r="C43" t="str">
            <v>5/26/2016</v>
          </cell>
          <cell r="D43">
            <v>2</v>
          </cell>
          <cell r="E43">
            <v>3</v>
          </cell>
          <cell r="F43">
            <v>10</v>
          </cell>
          <cell r="G43">
            <v>12</v>
          </cell>
          <cell r="H43">
            <v>42537</v>
          </cell>
          <cell r="I43">
            <v>42545</v>
          </cell>
          <cell r="J43">
            <v>42556</v>
          </cell>
          <cell r="K43">
            <v>42566</v>
          </cell>
          <cell r="L43">
            <v>42600</v>
          </cell>
          <cell r="M43">
            <v>42608</v>
          </cell>
          <cell r="N43">
            <v>42615</v>
          </cell>
          <cell r="O43">
            <v>42622</v>
          </cell>
          <cell r="P43">
            <v>42530</v>
          </cell>
          <cell r="Q43">
            <v>42530</v>
          </cell>
          <cell r="R43">
            <v>0</v>
          </cell>
          <cell r="S43">
            <v>42610</v>
          </cell>
          <cell r="T43">
            <v>42611</v>
          </cell>
          <cell r="U43">
            <v>42615</v>
          </cell>
          <cell r="V43">
            <v>42622</v>
          </cell>
          <cell r="W43">
            <v>42629</v>
          </cell>
          <cell r="X43">
            <v>42629</v>
          </cell>
          <cell r="Y43">
            <v>42629</v>
          </cell>
          <cell r="Z43">
            <v>42629</v>
          </cell>
          <cell r="AA43">
            <v>42630</v>
          </cell>
          <cell r="AB43">
            <v>42692</v>
          </cell>
        </row>
        <row r="44">
          <cell r="A44" t="str">
            <v>16-059</v>
          </cell>
          <cell r="B44" t="str">
            <v>Floquip</v>
          </cell>
          <cell r="C44" t="str">
            <v>6/6/2016</v>
          </cell>
          <cell r="D44">
            <v>1</v>
          </cell>
          <cell r="E44">
            <v>2</v>
          </cell>
          <cell r="F44">
            <v>12</v>
          </cell>
          <cell r="G44">
            <v>16</v>
          </cell>
          <cell r="H44">
            <v>42541</v>
          </cell>
          <cell r="I44">
            <v>42559</v>
          </cell>
          <cell r="J44">
            <v>42572</v>
          </cell>
          <cell r="K44">
            <v>42586</v>
          </cell>
          <cell r="L44">
            <v>42587</v>
          </cell>
          <cell r="M44">
            <v>42594</v>
          </cell>
          <cell r="N44">
            <v>42601</v>
          </cell>
          <cell r="O44">
            <v>42608</v>
          </cell>
          <cell r="P44">
            <v>42541</v>
          </cell>
          <cell r="Q44">
            <v>42541</v>
          </cell>
          <cell r="R44">
            <v>0</v>
          </cell>
          <cell r="S44">
            <v>42582</v>
          </cell>
          <cell r="T44">
            <v>42583</v>
          </cell>
          <cell r="U44">
            <v>42587</v>
          </cell>
          <cell r="V44">
            <v>42594</v>
          </cell>
          <cell r="W44">
            <v>42601</v>
          </cell>
          <cell r="X44">
            <v>42601</v>
          </cell>
          <cell r="Y44">
            <v>42601</v>
          </cell>
          <cell r="Z44">
            <v>42601</v>
          </cell>
          <cell r="AA44">
            <v>42602</v>
          </cell>
          <cell r="AB44">
            <v>42692</v>
          </cell>
        </row>
        <row r="45">
          <cell r="A45" t="str">
            <v>16-060</v>
          </cell>
          <cell r="B45" t="str">
            <v>Floquip</v>
          </cell>
          <cell r="C45" t="str">
            <v>6/6/2016</v>
          </cell>
          <cell r="D45">
            <v>1</v>
          </cell>
          <cell r="E45">
            <v>2</v>
          </cell>
          <cell r="F45">
            <v>12</v>
          </cell>
          <cell r="G45">
            <v>16</v>
          </cell>
          <cell r="H45">
            <v>42541</v>
          </cell>
          <cell r="I45">
            <v>42559</v>
          </cell>
          <cell r="J45">
            <v>42572</v>
          </cell>
          <cell r="K45">
            <v>42586</v>
          </cell>
          <cell r="L45">
            <v>42587</v>
          </cell>
          <cell r="M45">
            <v>42594</v>
          </cell>
          <cell r="N45">
            <v>42601</v>
          </cell>
          <cell r="O45">
            <v>42608</v>
          </cell>
          <cell r="P45">
            <v>42541</v>
          </cell>
          <cell r="Q45">
            <v>42541</v>
          </cell>
          <cell r="R45">
            <v>0</v>
          </cell>
          <cell r="S45">
            <v>42582</v>
          </cell>
          <cell r="T45">
            <v>42583</v>
          </cell>
          <cell r="U45">
            <v>42587</v>
          </cell>
          <cell r="V45">
            <v>42594</v>
          </cell>
          <cell r="W45">
            <v>42601</v>
          </cell>
          <cell r="X45">
            <v>42601</v>
          </cell>
          <cell r="Y45">
            <v>42601</v>
          </cell>
          <cell r="Z45">
            <v>42601</v>
          </cell>
          <cell r="AA45">
            <v>42602</v>
          </cell>
          <cell r="AB45">
            <v>42692</v>
          </cell>
        </row>
        <row r="46">
          <cell r="A46" t="str">
            <v>16-061</v>
          </cell>
          <cell r="B46" t="str">
            <v>Clay County</v>
          </cell>
          <cell r="C46" t="str">
            <v>6/13/2016</v>
          </cell>
          <cell r="D46">
            <v>1</v>
          </cell>
          <cell r="E46">
            <v>2</v>
          </cell>
          <cell r="F46">
            <v>10</v>
          </cell>
          <cell r="G46">
            <v>12</v>
          </cell>
          <cell r="H46">
            <v>42548</v>
          </cell>
          <cell r="I46">
            <v>42565</v>
          </cell>
          <cell r="J46">
            <v>42570</v>
          </cell>
          <cell r="K46">
            <v>42571</v>
          </cell>
          <cell r="L46">
            <v>42578</v>
          </cell>
          <cell r="M46">
            <v>42584</v>
          </cell>
          <cell r="N46">
            <v>42585</v>
          </cell>
          <cell r="O46">
            <v>42592</v>
          </cell>
          <cell r="P46">
            <v>42548</v>
          </cell>
          <cell r="Q46">
            <v>42548</v>
          </cell>
          <cell r="R46">
            <v>0</v>
          </cell>
          <cell r="S46">
            <v>42580</v>
          </cell>
          <cell r="T46">
            <v>42581</v>
          </cell>
          <cell r="U46">
            <v>42585</v>
          </cell>
          <cell r="V46">
            <v>42592</v>
          </cell>
          <cell r="W46">
            <v>42599</v>
          </cell>
          <cell r="X46">
            <v>42599</v>
          </cell>
          <cell r="Y46">
            <v>42599</v>
          </cell>
          <cell r="Z46">
            <v>42599</v>
          </cell>
          <cell r="AA46">
            <v>42600</v>
          </cell>
          <cell r="AB46">
            <v>42662</v>
          </cell>
        </row>
        <row r="47">
          <cell r="A47" t="str">
            <v>16-063</v>
          </cell>
          <cell r="B47" t="str">
            <v>GP</v>
          </cell>
          <cell r="C47" t="str">
            <v>6/24/2016</v>
          </cell>
          <cell r="D47">
            <v>1</v>
          </cell>
          <cell r="E47">
            <v>2</v>
          </cell>
          <cell r="F47">
            <v>10</v>
          </cell>
          <cell r="G47">
            <v>12</v>
          </cell>
          <cell r="H47">
            <v>42559</v>
          </cell>
          <cell r="I47">
            <v>42566</v>
          </cell>
          <cell r="J47">
            <v>42569</v>
          </cell>
          <cell r="K47">
            <v>42576</v>
          </cell>
          <cell r="L47">
            <v>42583</v>
          </cell>
          <cell r="M47">
            <v>42590</v>
          </cell>
          <cell r="N47">
            <v>42597</v>
          </cell>
          <cell r="O47">
            <v>42604</v>
          </cell>
          <cell r="P47">
            <v>42559</v>
          </cell>
          <cell r="Q47">
            <v>42559</v>
          </cell>
          <cell r="R47">
            <v>0</v>
          </cell>
          <cell r="S47">
            <v>42564</v>
          </cell>
          <cell r="T47">
            <v>42565</v>
          </cell>
          <cell r="U47">
            <v>42569</v>
          </cell>
          <cell r="V47">
            <v>42576</v>
          </cell>
          <cell r="W47">
            <v>42583</v>
          </cell>
          <cell r="X47">
            <v>42583</v>
          </cell>
          <cell r="Y47">
            <v>42583</v>
          </cell>
          <cell r="Z47">
            <v>42583</v>
          </cell>
          <cell r="AA47">
            <v>42584</v>
          </cell>
          <cell r="AB47">
            <v>42646</v>
          </cell>
        </row>
        <row r="48">
          <cell r="A48" t="str">
            <v>16-064</v>
          </cell>
          <cell r="B48" t="str">
            <v>Dustex</v>
          </cell>
          <cell r="C48">
            <v>42594</v>
          </cell>
          <cell r="D48">
            <v>0</v>
          </cell>
          <cell r="E48">
            <v>0</v>
          </cell>
          <cell r="F48">
            <v>10</v>
          </cell>
          <cell r="G48">
            <v>12</v>
          </cell>
          <cell r="H48">
            <v>42594</v>
          </cell>
          <cell r="I48">
            <v>42615</v>
          </cell>
          <cell r="J48">
            <v>42615</v>
          </cell>
          <cell r="K48">
            <v>42622</v>
          </cell>
          <cell r="L48">
            <v>42629</v>
          </cell>
          <cell r="M48">
            <v>42636</v>
          </cell>
          <cell r="N48">
            <v>42643</v>
          </cell>
          <cell r="O48">
            <v>42650</v>
          </cell>
          <cell r="P48">
            <v>42608</v>
          </cell>
          <cell r="Q48">
            <v>42608</v>
          </cell>
          <cell r="R48">
            <v>0</v>
          </cell>
          <cell r="S48">
            <v>42610</v>
          </cell>
          <cell r="T48">
            <v>42611</v>
          </cell>
          <cell r="U48">
            <v>42615</v>
          </cell>
          <cell r="V48">
            <v>42622</v>
          </cell>
          <cell r="W48">
            <v>42629</v>
          </cell>
          <cell r="X48">
            <v>42629</v>
          </cell>
          <cell r="Y48">
            <v>42629</v>
          </cell>
          <cell r="Z48">
            <v>42629</v>
          </cell>
          <cell r="AA48">
            <v>42630</v>
          </cell>
          <cell r="AB48">
            <v>42692</v>
          </cell>
        </row>
        <row r="49">
          <cell r="A49" t="str">
            <v>16-065</v>
          </cell>
          <cell r="B49" t="str">
            <v>Dustex</v>
          </cell>
          <cell r="C49">
            <v>42594</v>
          </cell>
          <cell r="D49">
            <v>0</v>
          </cell>
          <cell r="E49">
            <v>0</v>
          </cell>
          <cell r="F49">
            <v>10</v>
          </cell>
          <cell r="G49">
            <v>12</v>
          </cell>
          <cell r="H49">
            <v>42594</v>
          </cell>
          <cell r="I49">
            <v>42615</v>
          </cell>
          <cell r="J49">
            <v>42615</v>
          </cell>
          <cell r="K49">
            <v>42622</v>
          </cell>
          <cell r="L49">
            <v>42629</v>
          </cell>
          <cell r="M49">
            <v>42636</v>
          </cell>
          <cell r="N49">
            <v>42643</v>
          </cell>
          <cell r="O49">
            <v>42650</v>
          </cell>
          <cell r="P49">
            <v>42608</v>
          </cell>
          <cell r="Q49">
            <v>42608</v>
          </cell>
          <cell r="R49">
            <v>0</v>
          </cell>
          <cell r="S49">
            <v>42610</v>
          </cell>
          <cell r="T49">
            <v>42611</v>
          </cell>
          <cell r="U49">
            <v>42615</v>
          </cell>
          <cell r="V49">
            <v>42622</v>
          </cell>
          <cell r="W49">
            <v>42629</v>
          </cell>
          <cell r="X49">
            <v>42629</v>
          </cell>
          <cell r="Y49">
            <v>42629</v>
          </cell>
          <cell r="Z49">
            <v>42629</v>
          </cell>
          <cell r="AA49">
            <v>42630</v>
          </cell>
          <cell r="AB49">
            <v>42692</v>
          </cell>
        </row>
        <row r="50">
          <cell r="A50" t="str">
            <v>16-066</v>
          </cell>
          <cell r="B50" t="str">
            <v>HaloCarbon</v>
          </cell>
          <cell r="C50">
            <v>42564</v>
          </cell>
          <cell r="D50">
            <v>0</v>
          </cell>
          <cell r="E50">
            <v>0</v>
          </cell>
          <cell r="F50">
            <v>8</v>
          </cell>
          <cell r="G50">
            <v>10</v>
          </cell>
          <cell r="H50">
            <v>42564</v>
          </cell>
          <cell r="I50" t="e">
            <v>#VALUE!</v>
          </cell>
          <cell r="J50" t="e">
            <v>#VALUE!</v>
          </cell>
          <cell r="K50" t="e">
            <v>#VALUE!</v>
          </cell>
          <cell r="L50" t="e">
            <v>#VALUE!</v>
          </cell>
          <cell r="M50" t="e">
            <v>#VALUE!</v>
          </cell>
          <cell r="N50" t="e">
            <v>#VALUE!</v>
          </cell>
          <cell r="O50" t="e">
            <v>#VALUE!</v>
          </cell>
          <cell r="P50">
            <v>42578</v>
          </cell>
          <cell r="Q50">
            <v>42578</v>
          </cell>
          <cell r="R50">
            <v>0</v>
          </cell>
          <cell r="S50" t="e">
            <v>#VALUE!</v>
          </cell>
          <cell r="T50" t="e">
            <v>#VALUE!</v>
          </cell>
          <cell r="U50" t="e">
            <v>#VALUE!</v>
          </cell>
          <cell r="V50" t="e">
            <v>#VALUE!</v>
          </cell>
          <cell r="W50" t="e">
            <v>#VALUE!</v>
          </cell>
          <cell r="X50" t="e">
            <v>#VALUE!</v>
          </cell>
          <cell r="Y50" t="e">
            <v>#VALUE!</v>
          </cell>
          <cell r="Z50" t="e">
            <v>#VALUE!</v>
          </cell>
          <cell r="AA50" t="e">
            <v>#VALUE!</v>
          </cell>
          <cell r="AB50" t="e">
            <v>#VALUE!</v>
          </cell>
        </row>
        <row r="51">
          <cell r="A51" t="str">
            <v>16-067</v>
          </cell>
          <cell r="B51" t="str">
            <v>Allnex</v>
          </cell>
          <cell r="C51">
            <v>42580</v>
          </cell>
          <cell r="D51">
            <v>0</v>
          </cell>
          <cell r="E51">
            <v>0</v>
          </cell>
          <cell r="F51">
            <v>8</v>
          </cell>
          <cell r="G51">
            <v>10</v>
          </cell>
          <cell r="H51">
            <v>42580</v>
          </cell>
          <cell r="I51">
            <v>42601</v>
          </cell>
          <cell r="J51">
            <v>42604</v>
          </cell>
          <cell r="K51">
            <v>42611</v>
          </cell>
          <cell r="L51">
            <v>42618</v>
          </cell>
          <cell r="M51">
            <v>42625</v>
          </cell>
          <cell r="N51">
            <v>42632</v>
          </cell>
          <cell r="O51">
            <v>42639</v>
          </cell>
          <cell r="P51">
            <v>42594</v>
          </cell>
          <cell r="Q51">
            <v>42594</v>
          </cell>
          <cell r="R51">
            <v>0</v>
          </cell>
          <cell r="S51">
            <v>42599</v>
          </cell>
          <cell r="T51">
            <v>42600</v>
          </cell>
          <cell r="U51">
            <v>42604</v>
          </cell>
          <cell r="V51">
            <v>42611</v>
          </cell>
          <cell r="W51">
            <v>42618</v>
          </cell>
          <cell r="X51">
            <v>42618</v>
          </cell>
          <cell r="Y51">
            <v>42618</v>
          </cell>
          <cell r="Z51">
            <v>42618</v>
          </cell>
          <cell r="AA51">
            <v>42619</v>
          </cell>
          <cell r="AB51">
            <v>42667</v>
          </cell>
        </row>
        <row r="52">
          <cell r="A52" t="str">
            <v>16-068</v>
          </cell>
          <cell r="B52" t="str">
            <v>Gilbert Industries</v>
          </cell>
          <cell r="C52">
            <v>42583</v>
          </cell>
          <cell r="D52">
            <v>0</v>
          </cell>
          <cell r="E52">
            <v>0</v>
          </cell>
          <cell r="F52">
            <v>8</v>
          </cell>
          <cell r="G52">
            <v>10</v>
          </cell>
          <cell r="H52">
            <v>42583</v>
          </cell>
          <cell r="I52">
            <v>42597</v>
          </cell>
          <cell r="J52">
            <v>42604</v>
          </cell>
          <cell r="K52">
            <v>42611</v>
          </cell>
          <cell r="L52">
            <v>42618</v>
          </cell>
          <cell r="M52">
            <v>42625</v>
          </cell>
          <cell r="N52">
            <v>42632</v>
          </cell>
          <cell r="O52">
            <v>42639</v>
          </cell>
          <cell r="P52">
            <v>42597</v>
          </cell>
          <cell r="Q52">
            <v>42597</v>
          </cell>
          <cell r="R52">
            <v>0</v>
          </cell>
          <cell r="S52">
            <v>42599</v>
          </cell>
          <cell r="T52">
            <v>42600</v>
          </cell>
          <cell r="U52">
            <v>42604</v>
          </cell>
          <cell r="V52">
            <v>42611</v>
          </cell>
          <cell r="W52">
            <v>42618</v>
          </cell>
          <cell r="X52">
            <v>42618</v>
          </cell>
          <cell r="Y52">
            <v>42618</v>
          </cell>
          <cell r="Z52">
            <v>42618</v>
          </cell>
          <cell r="AA52">
            <v>42619</v>
          </cell>
          <cell r="AB52">
            <v>42667</v>
          </cell>
        </row>
        <row r="53">
          <cell r="A53" t="str">
            <v>16-069</v>
          </cell>
          <cell r="B53" t="str">
            <v>IFF</v>
          </cell>
          <cell r="C53">
            <v>42592</v>
          </cell>
          <cell r="D53">
            <v>1</v>
          </cell>
          <cell r="E53">
            <v>2</v>
          </cell>
          <cell r="F53">
            <v>10</v>
          </cell>
          <cell r="G53">
            <v>12</v>
          </cell>
          <cell r="H53">
            <v>42606</v>
          </cell>
          <cell r="I53">
            <v>42622</v>
          </cell>
          <cell r="J53">
            <v>42621</v>
          </cell>
          <cell r="K53">
            <v>42628</v>
          </cell>
          <cell r="L53">
            <v>42635</v>
          </cell>
          <cell r="M53">
            <v>42642</v>
          </cell>
          <cell r="N53">
            <v>42649</v>
          </cell>
          <cell r="O53">
            <v>42656</v>
          </cell>
          <cell r="P53">
            <v>42606</v>
          </cell>
          <cell r="Q53">
            <v>42606</v>
          </cell>
          <cell r="R53">
            <v>0</v>
          </cell>
          <cell r="S53">
            <v>42616</v>
          </cell>
          <cell r="T53">
            <v>42617</v>
          </cell>
          <cell r="U53">
            <v>42621</v>
          </cell>
          <cell r="V53">
            <v>42628</v>
          </cell>
          <cell r="W53">
            <v>42635</v>
          </cell>
          <cell r="X53">
            <v>42635</v>
          </cell>
          <cell r="Y53">
            <v>42635</v>
          </cell>
          <cell r="Z53">
            <v>42635</v>
          </cell>
          <cell r="AA53">
            <v>42636</v>
          </cell>
          <cell r="AB53">
            <v>42698</v>
          </cell>
        </row>
        <row r="54">
          <cell r="A54" t="str">
            <v>16-070</v>
          </cell>
          <cell r="B54" t="str">
            <v>Allnex</v>
          </cell>
          <cell r="C54">
            <v>42593</v>
          </cell>
          <cell r="D54">
            <v>1</v>
          </cell>
          <cell r="E54">
            <v>2</v>
          </cell>
          <cell r="F54">
            <v>10</v>
          </cell>
          <cell r="G54">
            <v>12</v>
          </cell>
          <cell r="H54">
            <v>42607</v>
          </cell>
          <cell r="I54">
            <v>42615</v>
          </cell>
          <cell r="J54">
            <v>42618</v>
          </cell>
          <cell r="K54">
            <v>42625</v>
          </cell>
          <cell r="L54">
            <v>42632</v>
          </cell>
          <cell r="M54">
            <v>42639</v>
          </cell>
          <cell r="N54">
            <v>42646</v>
          </cell>
          <cell r="O54">
            <v>42653</v>
          </cell>
          <cell r="P54">
            <v>42607</v>
          </cell>
          <cell r="Q54">
            <v>42607</v>
          </cell>
          <cell r="R54">
            <v>0</v>
          </cell>
          <cell r="S54">
            <v>42613</v>
          </cell>
          <cell r="T54">
            <v>42614</v>
          </cell>
          <cell r="U54">
            <v>42618</v>
          </cell>
          <cell r="V54">
            <v>42625</v>
          </cell>
          <cell r="W54">
            <v>42632</v>
          </cell>
          <cell r="X54">
            <v>42632</v>
          </cell>
          <cell r="Y54">
            <v>42632</v>
          </cell>
          <cell r="Z54">
            <v>42632</v>
          </cell>
          <cell r="AA54">
            <v>42633</v>
          </cell>
          <cell r="AB54">
            <v>42695</v>
          </cell>
        </row>
        <row r="55">
          <cell r="A55" t="str">
            <v>16-071</v>
          </cell>
          <cell r="B55" t="str">
            <v>SMS</v>
          </cell>
          <cell r="C55">
            <v>42600</v>
          </cell>
          <cell r="D55">
            <v>1</v>
          </cell>
          <cell r="E55">
            <v>2</v>
          </cell>
          <cell r="F55">
            <v>7</v>
          </cell>
          <cell r="G55">
            <v>9</v>
          </cell>
          <cell r="H55">
            <v>42614</v>
          </cell>
          <cell r="I55">
            <v>42629</v>
          </cell>
          <cell r="J55">
            <v>42636</v>
          </cell>
          <cell r="K55">
            <v>42643</v>
          </cell>
          <cell r="L55">
            <v>42650</v>
          </cell>
          <cell r="M55">
            <v>42657</v>
          </cell>
          <cell r="N55">
            <v>42664</v>
          </cell>
          <cell r="O55">
            <v>42671</v>
          </cell>
          <cell r="P55">
            <v>42614</v>
          </cell>
          <cell r="Q55">
            <v>42614</v>
          </cell>
          <cell r="R55">
            <v>0</v>
          </cell>
          <cell r="S55">
            <v>42631</v>
          </cell>
          <cell r="T55">
            <v>42632</v>
          </cell>
          <cell r="U55">
            <v>42636</v>
          </cell>
          <cell r="V55">
            <v>42643</v>
          </cell>
          <cell r="W55">
            <v>42650</v>
          </cell>
          <cell r="X55">
            <v>42650</v>
          </cell>
          <cell r="Y55">
            <v>42650</v>
          </cell>
          <cell r="Z55">
            <v>42650</v>
          </cell>
          <cell r="AA55">
            <v>42651</v>
          </cell>
          <cell r="AB55">
            <v>42692</v>
          </cell>
        </row>
        <row r="56">
          <cell r="A56" t="str">
            <v>16-072</v>
          </cell>
          <cell r="B56" t="str">
            <v>Georgia Pacific</v>
          </cell>
          <cell r="C56">
            <v>42622</v>
          </cell>
          <cell r="D56">
            <v>1</v>
          </cell>
          <cell r="E56">
            <v>2</v>
          </cell>
          <cell r="F56">
            <v>7</v>
          </cell>
          <cell r="G56">
            <v>9</v>
          </cell>
          <cell r="H56">
            <v>42636</v>
          </cell>
          <cell r="I56">
            <v>42639</v>
          </cell>
          <cell r="J56">
            <v>42646</v>
          </cell>
          <cell r="K56">
            <v>42653</v>
          </cell>
          <cell r="L56">
            <v>42660</v>
          </cell>
          <cell r="M56">
            <v>42667</v>
          </cell>
          <cell r="N56">
            <v>42674</v>
          </cell>
          <cell r="O56">
            <v>42681</v>
          </cell>
          <cell r="P56">
            <v>42636</v>
          </cell>
          <cell r="Q56">
            <v>42636</v>
          </cell>
          <cell r="R56">
            <v>0</v>
          </cell>
          <cell r="S56">
            <v>42641</v>
          </cell>
          <cell r="T56">
            <v>42642</v>
          </cell>
          <cell r="U56">
            <v>42646</v>
          </cell>
          <cell r="V56">
            <v>42653</v>
          </cell>
          <cell r="W56">
            <v>42660</v>
          </cell>
          <cell r="X56">
            <v>42660</v>
          </cell>
          <cell r="Y56">
            <v>42660</v>
          </cell>
          <cell r="Z56">
            <v>42660</v>
          </cell>
          <cell r="AA56">
            <v>42661</v>
          </cell>
          <cell r="AB56">
            <v>42702</v>
          </cell>
        </row>
        <row r="57">
          <cell r="A57" t="str">
            <v>16-073</v>
          </cell>
          <cell r="B57" t="str">
            <v>Arizona Chemical</v>
          </cell>
          <cell r="C57">
            <v>42626</v>
          </cell>
          <cell r="D57">
            <v>1</v>
          </cell>
          <cell r="E57">
            <v>2</v>
          </cell>
          <cell r="F57">
            <v>12</v>
          </cell>
          <cell r="G57">
            <v>14</v>
          </cell>
          <cell r="H57">
            <v>42640</v>
          </cell>
          <cell r="I57">
            <v>42649</v>
          </cell>
          <cell r="J57">
            <v>42663</v>
          </cell>
          <cell r="K57">
            <v>42685</v>
          </cell>
          <cell r="L57">
            <v>42689</v>
          </cell>
          <cell r="M57">
            <v>42696</v>
          </cell>
          <cell r="N57">
            <v>42711</v>
          </cell>
          <cell r="O57">
            <v>42718</v>
          </cell>
          <cell r="P57">
            <v>42640</v>
          </cell>
          <cell r="Q57">
            <v>42640</v>
          </cell>
          <cell r="R57">
            <v>0</v>
          </cell>
          <cell r="S57">
            <v>42706</v>
          </cell>
          <cell r="T57">
            <v>42707</v>
          </cell>
          <cell r="U57">
            <v>42711</v>
          </cell>
          <cell r="V57">
            <v>42718</v>
          </cell>
          <cell r="W57">
            <v>42725</v>
          </cell>
          <cell r="X57">
            <v>42725</v>
          </cell>
          <cell r="Y57">
            <v>42725</v>
          </cell>
          <cell r="Z57">
            <v>42725</v>
          </cell>
          <cell r="AA57">
            <v>42726</v>
          </cell>
          <cell r="AB57">
            <v>42802</v>
          </cell>
        </row>
        <row r="58">
          <cell r="A58" t="str">
            <v>16-074</v>
          </cell>
          <cell r="B58" t="str">
            <v>Arizona Chemical</v>
          </cell>
          <cell r="C58">
            <v>42626</v>
          </cell>
          <cell r="D58">
            <v>1</v>
          </cell>
          <cell r="E58">
            <v>2</v>
          </cell>
          <cell r="F58">
            <v>12</v>
          </cell>
          <cell r="G58">
            <v>14</v>
          </cell>
          <cell r="H58">
            <v>42640</v>
          </cell>
          <cell r="I58">
            <v>42649</v>
          </cell>
          <cell r="J58">
            <v>42663</v>
          </cell>
          <cell r="K58">
            <v>42685</v>
          </cell>
          <cell r="L58">
            <v>42689</v>
          </cell>
          <cell r="M58">
            <v>42696</v>
          </cell>
          <cell r="N58">
            <v>42711</v>
          </cell>
          <cell r="O58">
            <v>42718</v>
          </cell>
          <cell r="P58">
            <v>42640</v>
          </cell>
          <cell r="Q58">
            <v>42640</v>
          </cell>
          <cell r="R58">
            <v>0</v>
          </cell>
          <cell r="S58">
            <v>42706</v>
          </cell>
          <cell r="T58">
            <v>42707</v>
          </cell>
          <cell r="U58">
            <v>42711</v>
          </cell>
          <cell r="V58">
            <v>42718</v>
          </cell>
          <cell r="W58">
            <v>42725</v>
          </cell>
          <cell r="X58">
            <v>42725</v>
          </cell>
          <cell r="Y58">
            <v>42725</v>
          </cell>
          <cell r="Z58">
            <v>42725</v>
          </cell>
          <cell r="AA58">
            <v>42726</v>
          </cell>
          <cell r="AB58">
            <v>42802</v>
          </cell>
        </row>
        <row r="59">
          <cell r="A59" t="str">
            <v>16-075</v>
          </cell>
          <cell r="B59" t="str">
            <v>Arizona Chemical</v>
          </cell>
          <cell r="C59">
            <v>42626</v>
          </cell>
          <cell r="D59">
            <v>1</v>
          </cell>
          <cell r="E59">
            <v>2</v>
          </cell>
          <cell r="F59">
            <v>12</v>
          </cell>
          <cell r="G59">
            <v>14</v>
          </cell>
          <cell r="H59">
            <v>42640</v>
          </cell>
          <cell r="I59">
            <v>42649</v>
          </cell>
          <cell r="J59">
            <v>42663</v>
          </cell>
          <cell r="K59">
            <v>42685</v>
          </cell>
          <cell r="L59">
            <v>42689</v>
          </cell>
          <cell r="M59">
            <v>42696</v>
          </cell>
          <cell r="N59">
            <v>42711</v>
          </cell>
          <cell r="O59">
            <v>42718</v>
          </cell>
          <cell r="P59">
            <v>42640</v>
          </cell>
          <cell r="Q59">
            <v>42640</v>
          </cell>
          <cell r="R59">
            <v>0</v>
          </cell>
          <cell r="S59">
            <v>42706</v>
          </cell>
          <cell r="T59">
            <v>42707</v>
          </cell>
          <cell r="U59">
            <v>42711</v>
          </cell>
          <cell r="V59">
            <v>42718</v>
          </cell>
          <cell r="W59">
            <v>42725</v>
          </cell>
          <cell r="X59">
            <v>42725</v>
          </cell>
          <cell r="Y59">
            <v>42725</v>
          </cell>
          <cell r="Z59">
            <v>42725</v>
          </cell>
          <cell r="AA59">
            <v>42726</v>
          </cell>
          <cell r="AB59">
            <v>42802</v>
          </cell>
        </row>
        <row r="60">
          <cell r="A60" t="str">
            <v>16-076</v>
          </cell>
          <cell r="B60" t="str">
            <v>Arizona Chemical</v>
          </cell>
          <cell r="C60">
            <v>42626</v>
          </cell>
          <cell r="D60">
            <v>1</v>
          </cell>
          <cell r="E60">
            <v>2</v>
          </cell>
          <cell r="F60">
            <v>12</v>
          </cell>
          <cell r="G60">
            <v>14</v>
          </cell>
          <cell r="H60">
            <v>42640</v>
          </cell>
          <cell r="I60">
            <v>42649</v>
          </cell>
          <cell r="J60">
            <v>42663</v>
          </cell>
          <cell r="K60">
            <v>42685</v>
          </cell>
          <cell r="L60">
            <v>42689</v>
          </cell>
          <cell r="M60">
            <v>42696</v>
          </cell>
          <cell r="N60">
            <v>42711</v>
          </cell>
          <cell r="O60">
            <v>42718</v>
          </cell>
          <cell r="P60">
            <v>42640</v>
          </cell>
          <cell r="Q60">
            <v>42640</v>
          </cell>
          <cell r="R60">
            <v>0</v>
          </cell>
          <cell r="S60">
            <v>42706</v>
          </cell>
          <cell r="T60">
            <v>42707</v>
          </cell>
          <cell r="U60">
            <v>42711</v>
          </cell>
          <cell r="V60">
            <v>42718</v>
          </cell>
          <cell r="W60">
            <v>42725</v>
          </cell>
          <cell r="X60">
            <v>42725</v>
          </cell>
          <cell r="Y60">
            <v>42725</v>
          </cell>
          <cell r="Z60">
            <v>42725</v>
          </cell>
          <cell r="AA60">
            <v>42726</v>
          </cell>
          <cell r="AB60">
            <v>42802</v>
          </cell>
        </row>
        <row r="61">
          <cell r="A61" t="str">
            <v>16-077</v>
          </cell>
          <cell r="B61" t="str">
            <v>Allied Universal</v>
          </cell>
          <cell r="C61">
            <v>42634</v>
          </cell>
          <cell r="D61">
            <v>1</v>
          </cell>
          <cell r="E61">
            <v>1</v>
          </cell>
          <cell r="F61">
            <v>0</v>
          </cell>
          <cell r="G61">
            <v>11</v>
          </cell>
          <cell r="H61">
            <v>42641</v>
          </cell>
          <cell r="I61">
            <v>42656</v>
          </cell>
          <cell r="J61">
            <v>42663</v>
          </cell>
          <cell r="K61">
            <v>42670</v>
          </cell>
          <cell r="L61">
            <v>42677</v>
          </cell>
          <cell r="M61">
            <v>42684</v>
          </cell>
          <cell r="N61">
            <v>42691</v>
          </cell>
          <cell r="O61">
            <v>42698</v>
          </cell>
          <cell r="P61">
            <v>42648</v>
          </cell>
          <cell r="Q61">
            <v>42648</v>
          </cell>
          <cell r="R61">
            <v>0</v>
          </cell>
          <cell r="S61">
            <v>42658</v>
          </cell>
          <cell r="T61">
            <v>42659</v>
          </cell>
          <cell r="U61">
            <v>42663</v>
          </cell>
          <cell r="V61">
            <v>42670</v>
          </cell>
          <cell r="W61">
            <v>42677</v>
          </cell>
          <cell r="X61">
            <v>42677</v>
          </cell>
          <cell r="Y61">
            <v>42677</v>
          </cell>
          <cell r="Z61">
            <v>42677</v>
          </cell>
          <cell r="AA61">
            <v>42678</v>
          </cell>
          <cell r="AB61">
            <v>42733</v>
          </cell>
        </row>
        <row r="62">
          <cell r="A62" t="str">
            <v>16-078</v>
          </cell>
          <cell r="B62" t="str">
            <v>Allied Universal</v>
          </cell>
          <cell r="C62">
            <v>42634</v>
          </cell>
          <cell r="D62">
            <v>1</v>
          </cell>
          <cell r="E62">
            <v>1</v>
          </cell>
          <cell r="F62">
            <v>0</v>
          </cell>
          <cell r="G62">
            <v>11</v>
          </cell>
          <cell r="H62">
            <v>42641</v>
          </cell>
          <cell r="I62">
            <v>42656</v>
          </cell>
          <cell r="J62">
            <v>42663</v>
          </cell>
          <cell r="K62">
            <v>42670</v>
          </cell>
          <cell r="L62">
            <v>42677</v>
          </cell>
          <cell r="M62">
            <v>42684</v>
          </cell>
          <cell r="N62">
            <v>42691</v>
          </cell>
          <cell r="O62">
            <v>42698</v>
          </cell>
          <cell r="P62">
            <v>42648</v>
          </cell>
          <cell r="Q62">
            <v>42648</v>
          </cell>
          <cell r="R62">
            <v>0</v>
          </cell>
          <cell r="S62">
            <v>42658</v>
          </cell>
          <cell r="T62">
            <v>42659</v>
          </cell>
          <cell r="U62">
            <v>42663</v>
          </cell>
          <cell r="V62">
            <v>42670</v>
          </cell>
          <cell r="W62">
            <v>42677</v>
          </cell>
          <cell r="X62">
            <v>42677</v>
          </cell>
          <cell r="Y62">
            <v>42677</v>
          </cell>
          <cell r="Z62">
            <v>42677</v>
          </cell>
          <cell r="AA62">
            <v>42678</v>
          </cell>
          <cell r="AB62">
            <v>42733</v>
          </cell>
        </row>
        <row r="63">
          <cell r="A63" t="str">
            <v>16-079</v>
          </cell>
          <cell r="B63" t="str">
            <v>Allied Universal</v>
          </cell>
          <cell r="C63">
            <v>42634</v>
          </cell>
          <cell r="D63">
            <v>1</v>
          </cell>
          <cell r="E63">
            <v>1</v>
          </cell>
          <cell r="F63">
            <v>0</v>
          </cell>
          <cell r="G63">
            <v>11</v>
          </cell>
          <cell r="H63">
            <v>42641</v>
          </cell>
          <cell r="I63">
            <v>42656</v>
          </cell>
          <cell r="J63">
            <v>42663</v>
          </cell>
          <cell r="K63">
            <v>42670</v>
          </cell>
          <cell r="L63">
            <v>42677</v>
          </cell>
          <cell r="M63">
            <v>42684</v>
          </cell>
          <cell r="N63">
            <v>42691</v>
          </cell>
          <cell r="O63">
            <v>42698</v>
          </cell>
          <cell r="P63">
            <v>42648</v>
          </cell>
          <cell r="Q63">
            <v>42648</v>
          </cell>
          <cell r="R63">
            <v>0</v>
          </cell>
          <cell r="S63">
            <v>42658</v>
          </cell>
          <cell r="T63">
            <v>42659</v>
          </cell>
          <cell r="U63">
            <v>42663</v>
          </cell>
          <cell r="V63">
            <v>42670</v>
          </cell>
          <cell r="W63">
            <v>42677</v>
          </cell>
          <cell r="X63">
            <v>42677</v>
          </cell>
          <cell r="Y63">
            <v>42677</v>
          </cell>
          <cell r="Z63">
            <v>42677</v>
          </cell>
          <cell r="AA63">
            <v>42678</v>
          </cell>
          <cell r="AB63">
            <v>42733</v>
          </cell>
        </row>
        <row r="64">
          <cell r="A64" t="str">
            <v>16-080</v>
          </cell>
          <cell r="B64" t="str">
            <v>Allied Universal</v>
          </cell>
          <cell r="C64">
            <v>42634</v>
          </cell>
          <cell r="D64">
            <v>1</v>
          </cell>
          <cell r="E64">
            <v>1</v>
          </cell>
          <cell r="F64">
            <v>0</v>
          </cell>
          <cell r="G64">
            <v>11</v>
          </cell>
          <cell r="H64">
            <v>42641</v>
          </cell>
          <cell r="I64">
            <v>42656</v>
          </cell>
          <cell r="J64">
            <v>42663</v>
          </cell>
          <cell r="K64">
            <v>42670</v>
          </cell>
          <cell r="L64">
            <v>42677</v>
          </cell>
          <cell r="M64">
            <v>42684</v>
          </cell>
          <cell r="N64">
            <v>42691</v>
          </cell>
          <cell r="O64">
            <v>42698</v>
          </cell>
          <cell r="P64">
            <v>42648</v>
          </cell>
          <cell r="Q64">
            <v>42648</v>
          </cell>
          <cell r="R64">
            <v>0</v>
          </cell>
          <cell r="S64">
            <v>42658</v>
          </cell>
          <cell r="T64">
            <v>42659</v>
          </cell>
          <cell r="U64">
            <v>42663</v>
          </cell>
          <cell r="V64">
            <v>42670</v>
          </cell>
          <cell r="W64">
            <v>42677</v>
          </cell>
          <cell r="X64">
            <v>42677</v>
          </cell>
          <cell r="Y64">
            <v>42677</v>
          </cell>
          <cell r="Z64">
            <v>42677</v>
          </cell>
          <cell r="AA64">
            <v>42678</v>
          </cell>
          <cell r="AB64">
            <v>42733</v>
          </cell>
        </row>
        <row r="65">
          <cell r="A65" t="str">
            <v>16-082</v>
          </cell>
          <cell r="B65" t="str">
            <v>Arizona Chemical</v>
          </cell>
          <cell r="C65">
            <v>42635</v>
          </cell>
          <cell r="D65">
            <v>1</v>
          </cell>
          <cell r="E65">
            <v>1</v>
          </cell>
          <cell r="F65">
            <v>0</v>
          </cell>
          <cell r="G65">
            <v>11</v>
          </cell>
          <cell r="H65">
            <v>42642</v>
          </cell>
          <cell r="I65">
            <v>42671</v>
          </cell>
          <cell r="J65">
            <v>42674</v>
          </cell>
          <cell r="K65">
            <v>42678</v>
          </cell>
          <cell r="L65">
            <v>42689</v>
          </cell>
          <cell r="M65">
            <v>42696</v>
          </cell>
          <cell r="N65">
            <v>42703</v>
          </cell>
          <cell r="O65">
            <v>42710</v>
          </cell>
          <cell r="P65">
            <v>42649</v>
          </cell>
          <cell r="Q65">
            <v>42649</v>
          </cell>
          <cell r="R65">
            <v>0</v>
          </cell>
          <cell r="S65">
            <v>42684</v>
          </cell>
          <cell r="T65">
            <v>42685</v>
          </cell>
          <cell r="U65">
            <v>42689</v>
          </cell>
          <cell r="V65">
            <v>42696</v>
          </cell>
          <cell r="W65">
            <v>42703</v>
          </cell>
          <cell r="X65">
            <v>42703</v>
          </cell>
          <cell r="Y65">
            <v>42703</v>
          </cell>
          <cell r="Z65">
            <v>42703</v>
          </cell>
          <cell r="AA65">
            <v>42704</v>
          </cell>
          <cell r="AB65">
            <v>42759</v>
          </cell>
        </row>
        <row r="66">
          <cell r="A66" t="str">
            <v>16-083</v>
          </cell>
          <cell r="B66" t="str">
            <v>Ashland</v>
          </cell>
          <cell r="C66">
            <v>42635</v>
          </cell>
          <cell r="D66">
            <v>1</v>
          </cell>
          <cell r="E66">
            <v>1</v>
          </cell>
          <cell r="F66">
            <v>9</v>
          </cell>
          <cell r="G66">
            <v>6.9</v>
          </cell>
          <cell r="H66">
            <v>42642</v>
          </cell>
          <cell r="I66">
            <v>42661</v>
          </cell>
          <cell r="J66">
            <v>42671</v>
          </cell>
          <cell r="K66">
            <v>42685</v>
          </cell>
          <cell r="L66">
            <v>42702</v>
          </cell>
          <cell r="M66">
            <v>42713</v>
          </cell>
          <cell r="N66">
            <v>42751</v>
          </cell>
          <cell r="O66">
            <v>42758</v>
          </cell>
          <cell r="P66">
            <v>42649</v>
          </cell>
          <cell r="Q66">
            <v>42649</v>
          </cell>
          <cell r="R66">
            <v>0</v>
          </cell>
          <cell r="S66">
            <v>42746</v>
          </cell>
          <cell r="T66">
            <v>42747</v>
          </cell>
          <cell r="U66">
            <v>42751</v>
          </cell>
          <cell r="V66">
            <v>42758</v>
          </cell>
          <cell r="W66">
            <v>42765</v>
          </cell>
          <cell r="X66">
            <v>42765</v>
          </cell>
          <cell r="Y66">
            <v>42765</v>
          </cell>
          <cell r="Z66">
            <v>42765</v>
          </cell>
          <cell r="AA66">
            <v>42766</v>
          </cell>
          <cell r="AB66">
            <v>42792.3</v>
          </cell>
        </row>
        <row r="67">
          <cell r="A67" t="str">
            <v>16-084</v>
          </cell>
          <cell r="B67" t="str">
            <v>SNF Floquip</v>
          </cell>
          <cell r="C67">
            <v>42639</v>
          </cell>
          <cell r="D67">
            <v>0</v>
          </cell>
          <cell r="E67">
            <v>1</v>
          </cell>
          <cell r="F67">
            <v>0</v>
          </cell>
          <cell r="G67">
            <v>1</v>
          </cell>
          <cell r="H67">
            <v>42646</v>
          </cell>
          <cell r="I67">
            <v>42670</v>
          </cell>
          <cell r="J67">
            <v>42671</v>
          </cell>
          <cell r="K67">
            <v>42675</v>
          </cell>
          <cell r="L67">
            <v>42677</v>
          </cell>
          <cell r="M67">
            <v>42684</v>
          </cell>
          <cell r="N67">
            <v>42691</v>
          </cell>
          <cell r="O67">
            <v>42698</v>
          </cell>
          <cell r="P67">
            <v>42653</v>
          </cell>
          <cell r="Q67">
            <v>42653</v>
          </cell>
          <cell r="R67">
            <v>0</v>
          </cell>
          <cell r="S67">
            <v>42672</v>
          </cell>
          <cell r="T67">
            <v>42673</v>
          </cell>
          <cell r="U67">
            <v>42677</v>
          </cell>
          <cell r="V67">
            <v>42684</v>
          </cell>
          <cell r="W67">
            <v>42691</v>
          </cell>
          <cell r="X67">
            <v>42691</v>
          </cell>
          <cell r="Y67">
            <v>42691</v>
          </cell>
          <cell r="Z67">
            <v>42691</v>
          </cell>
          <cell r="AA67">
            <v>42692</v>
          </cell>
          <cell r="AB67">
            <v>42677</v>
          </cell>
        </row>
        <row r="68">
          <cell r="A68" t="str">
            <v>16-085</v>
          </cell>
          <cell r="B68" t="str">
            <v>Tellus</v>
          </cell>
          <cell r="C68">
            <v>42648</v>
          </cell>
          <cell r="D68">
            <v>1</v>
          </cell>
          <cell r="E68">
            <v>2</v>
          </cell>
          <cell r="F68">
            <v>0</v>
          </cell>
          <cell r="G68">
            <v>9</v>
          </cell>
          <cell r="H68">
            <v>42662</v>
          </cell>
          <cell r="I68">
            <v>42677</v>
          </cell>
          <cell r="J68">
            <v>42713</v>
          </cell>
          <cell r="K68">
            <v>42732</v>
          </cell>
          <cell r="L68">
            <v>42760</v>
          </cell>
          <cell r="M68">
            <v>42767</v>
          </cell>
          <cell r="N68">
            <v>42779</v>
          </cell>
          <cell r="O68">
            <v>42786</v>
          </cell>
          <cell r="P68">
            <v>42662</v>
          </cell>
          <cell r="Q68">
            <v>42662</v>
          </cell>
          <cell r="R68">
            <v>0</v>
          </cell>
          <cell r="S68">
            <v>42774</v>
          </cell>
          <cell r="T68">
            <v>42775</v>
          </cell>
          <cell r="U68">
            <v>42779</v>
          </cell>
          <cell r="V68">
            <v>42786</v>
          </cell>
          <cell r="W68">
            <v>42793</v>
          </cell>
          <cell r="X68">
            <v>42793</v>
          </cell>
          <cell r="Y68">
            <v>42793</v>
          </cell>
          <cell r="Z68">
            <v>42793</v>
          </cell>
          <cell r="AA68">
            <v>42794</v>
          </cell>
          <cell r="AB68">
            <v>42835</v>
          </cell>
        </row>
        <row r="69">
          <cell r="A69" t="str">
            <v>16-086</v>
          </cell>
          <cell r="B69" t="str">
            <v>Tellus</v>
          </cell>
          <cell r="C69">
            <v>42648</v>
          </cell>
          <cell r="D69">
            <v>1</v>
          </cell>
          <cell r="E69">
            <v>2</v>
          </cell>
          <cell r="F69">
            <v>0</v>
          </cell>
          <cell r="G69">
            <v>9</v>
          </cell>
          <cell r="H69">
            <v>42662</v>
          </cell>
          <cell r="I69">
            <v>42677</v>
          </cell>
          <cell r="J69">
            <v>42713</v>
          </cell>
          <cell r="K69">
            <v>42732</v>
          </cell>
          <cell r="L69">
            <v>42760</v>
          </cell>
          <cell r="M69">
            <v>42767</v>
          </cell>
          <cell r="N69">
            <v>42779</v>
          </cell>
          <cell r="O69">
            <v>42786</v>
          </cell>
          <cell r="P69">
            <v>42662</v>
          </cell>
          <cell r="Q69">
            <v>42662</v>
          </cell>
          <cell r="R69">
            <v>0</v>
          </cell>
          <cell r="S69">
            <v>42774</v>
          </cell>
          <cell r="T69">
            <v>42775</v>
          </cell>
          <cell r="U69">
            <v>42779</v>
          </cell>
          <cell r="V69">
            <v>42786</v>
          </cell>
          <cell r="W69">
            <v>42793</v>
          </cell>
          <cell r="X69">
            <v>42793</v>
          </cell>
          <cell r="Y69">
            <v>42793</v>
          </cell>
          <cell r="Z69">
            <v>42793</v>
          </cell>
          <cell r="AA69">
            <v>42794</v>
          </cell>
          <cell r="AB69">
            <v>42835</v>
          </cell>
        </row>
        <row r="70">
          <cell r="A70" t="str">
            <v>16-087</v>
          </cell>
          <cell r="B70" t="str">
            <v>Tellus</v>
          </cell>
          <cell r="C70">
            <v>42648</v>
          </cell>
          <cell r="D70">
            <v>1</v>
          </cell>
          <cell r="E70">
            <v>2</v>
          </cell>
          <cell r="F70">
            <v>0</v>
          </cell>
          <cell r="G70">
            <v>9</v>
          </cell>
          <cell r="H70">
            <v>42662</v>
          </cell>
          <cell r="I70">
            <v>42677</v>
          </cell>
          <cell r="J70">
            <v>42713</v>
          </cell>
          <cell r="K70">
            <v>42732</v>
          </cell>
          <cell r="L70">
            <v>42760</v>
          </cell>
          <cell r="M70">
            <v>42767</v>
          </cell>
          <cell r="N70">
            <v>42779</v>
          </cell>
          <cell r="O70">
            <v>42786</v>
          </cell>
          <cell r="P70">
            <v>42662</v>
          </cell>
          <cell r="Q70">
            <v>42662</v>
          </cell>
          <cell r="R70">
            <v>0</v>
          </cell>
          <cell r="S70">
            <v>42774</v>
          </cell>
          <cell r="T70">
            <v>42775</v>
          </cell>
          <cell r="U70">
            <v>42779</v>
          </cell>
          <cell r="V70">
            <v>42786</v>
          </cell>
          <cell r="W70">
            <v>42793</v>
          </cell>
          <cell r="X70">
            <v>42793</v>
          </cell>
          <cell r="Y70">
            <v>42793</v>
          </cell>
          <cell r="Z70">
            <v>42793</v>
          </cell>
          <cell r="AA70">
            <v>42794</v>
          </cell>
          <cell r="AB70">
            <v>42835</v>
          </cell>
        </row>
        <row r="71">
          <cell r="A71" t="str">
            <v>16-088</v>
          </cell>
          <cell r="B71" t="str">
            <v>St Marks Powder</v>
          </cell>
          <cell r="C71">
            <v>42636</v>
          </cell>
          <cell r="D71">
            <v>1</v>
          </cell>
          <cell r="E71">
            <v>1</v>
          </cell>
          <cell r="F71">
            <v>7.5</v>
          </cell>
          <cell r="G71">
            <v>7.5</v>
          </cell>
          <cell r="H71">
            <v>42643</v>
          </cell>
          <cell r="I71">
            <v>42682</v>
          </cell>
          <cell r="J71">
            <v>42676</v>
          </cell>
          <cell r="K71">
            <v>42683</v>
          </cell>
          <cell r="L71">
            <v>42690</v>
          </cell>
          <cell r="M71">
            <v>42697</v>
          </cell>
          <cell r="N71">
            <v>42704</v>
          </cell>
          <cell r="O71">
            <v>42711</v>
          </cell>
          <cell r="P71">
            <v>42650</v>
          </cell>
          <cell r="Q71">
            <v>42650</v>
          </cell>
          <cell r="R71">
            <v>0</v>
          </cell>
          <cell r="S71">
            <v>42671</v>
          </cell>
          <cell r="T71">
            <v>42672</v>
          </cell>
          <cell r="U71">
            <v>42676</v>
          </cell>
          <cell r="V71">
            <v>42683</v>
          </cell>
          <cell r="W71">
            <v>42690</v>
          </cell>
          <cell r="X71">
            <v>42690</v>
          </cell>
          <cell r="Y71">
            <v>42690</v>
          </cell>
          <cell r="Z71">
            <v>42690</v>
          </cell>
          <cell r="AA71">
            <v>42691</v>
          </cell>
          <cell r="AB71">
            <v>42721.5</v>
          </cell>
        </row>
        <row r="72">
          <cell r="A72" t="str">
            <v>16-089</v>
          </cell>
          <cell r="B72" t="str">
            <v>PCS Phosphate</v>
          </cell>
          <cell r="C72">
            <v>42655</v>
          </cell>
          <cell r="D72">
            <v>1</v>
          </cell>
          <cell r="E72">
            <v>1</v>
          </cell>
          <cell r="F72">
            <v>8</v>
          </cell>
          <cell r="G72">
            <v>8.5</v>
          </cell>
          <cell r="H72">
            <v>42662</v>
          </cell>
          <cell r="I72">
            <v>42691</v>
          </cell>
          <cell r="J72">
            <v>42689</v>
          </cell>
          <cell r="K72">
            <v>42696</v>
          </cell>
          <cell r="L72">
            <v>42703</v>
          </cell>
          <cell r="M72">
            <v>42710</v>
          </cell>
          <cell r="N72">
            <v>42717</v>
          </cell>
          <cell r="O72">
            <v>42724</v>
          </cell>
          <cell r="P72">
            <v>42669</v>
          </cell>
          <cell r="Q72">
            <v>42669</v>
          </cell>
          <cell r="R72">
            <v>0</v>
          </cell>
          <cell r="S72">
            <v>42684</v>
          </cell>
          <cell r="T72">
            <v>42685</v>
          </cell>
          <cell r="U72">
            <v>42689</v>
          </cell>
          <cell r="V72">
            <v>42696</v>
          </cell>
          <cell r="W72">
            <v>42703</v>
          </cell>
          <cell r="X72">
            <v>42703</v>
          </cell>
          <cell r="Y72">
            <v>42703</v>
          </cell>
          <cell r="Z72">
            <v>42703</v>
          </cell>
          <cell r="AA72">
            <v>42704</v>
          </cell>
          <cell r="AB72">
            <v>42741.5</v>
          </cell>
        </row>
        <row r="73">
          <cell r="A73" t="str">
            <v>16-090</v>
          </cell>
          <cell r="B73" t="str">
            <v>S&amp;S Technical</v>
          </cell>
          <cell r="C73">
            <v>42655</v>
          </cell>
          <cell r="D73">
            <v>0</v>
          </cell>
          <cell r="E73">
            <v>0</v>
          </cell>
          <cell r="F73">
            <v>8.5</v>
          </cell>
          <cell r="G73">
            <v>8.5</v>
          </cell>
          <cell r="H73">
            <v>42655</v>
          </cell>
          <cell r="I73">
            <v>42669</v>
          </cell>
          <cell r="J73">
            <v>42676</v>
          </cell>
          <cell r="K73">
            <v>42683</v>
          </cell>
          <cell r="L73">
            <v>42690</v>
          </cell>
          <cell r="M73">
            <v>42697</v>
          </cell>
          <cell r="N73">
            <v>42704</v>
          </cell>
          <cell r="O73">
            <v>42711</v>
          </cell>
          <cell r="P73">
            <v>42669</v>
          </cell>
          <cell r="Q73">
            <v>42669</v>
          </cell>
          <cell r="R73">
            <v>0</v>
          </cell>
          <cell r="S73">
            <v>42671</v>
          </cell>
          <cell r="T73">
            <v>42672</v>
          </cell>
          <cell r="U73">
            <v>42676</v>
          </cell>
          <cell r="V73">
            <v>42683</v>
          </cell>
          <cell r="W73">
            <v>42690</v>
          </cell>
          <cell r="X73">
            <v>42690</v>
          </cell>
          <cell r="Y73">
            <v>42690</v>
          </cell>
          <cell r="Z73">
            <v>42690</v>
          </cell>
          <cell r="AA73">
            <v>42691</v>
          </cell>
          <cell r="AB73">
            <v>42728.5</v>
          </cell>
        </row>
        <row r="74">
          <cell r="A74" t="str">
            <v>16-091</v>
          </cell>
          <cell r="B74" t="str">
            <v>MP Equipment</v>
          </cell>
          <cell r="C74">
            <v>42654</v>
          </cell>
          <cell r="D74">
            <v>1</v>
          </cell>
          <cell r="E74">
            <v>1</v>
          </cell>
          <cell r="F74">
            <v>5</v>
          </cell>
          <cell r="G74">
            <v>5</v>
          </cell>
          <cell r="H74">
            <v>42661</v>
          </cell>
          <cell r="I74">
            <v>42676</v>
          </cell>
          <cell r="J74">
            <v>42669</v>
          </cell>
          <cell r="K74">
            <v>42676</v>
          </cell>
          <cell r="L74">
            <v>42683</v>
          </cell>
          <cell r="M74">
            <v>42690</v>
          </cell>
          <cell r="N74">
            <v>42697</v>
          </cell>
          <cell r="O74">
            <v>42704</v>
          </cell>
          <cell r="P74">
            <v>42668</v>
          </cell>
          <cell r="Q74">
            <v>42668</v>
          </cell>
          <cell r="R74">
            <v>0</v>
          </cell>
          <cell r="S74">
            <v>42664</v>
          </cell>
          <cell r="T74">
            <v>42665</v>
          </cell>
          <cell r="U74">
            <v>42669</v>
          </cell>
          <cell r="V74">
            <v>42676</v>
          </cell>
          <cell r="W74">
            <v>42683</v>
          </cell>
          <cell r="X74">
            <v>42683</v>
          </cell>
          <cell r="Y74">
            <v>42683</v>
          </cell>
          <cell r="Z74">
            <v>42683</v>
          </cell>
          <cell r="AA74">
            <v>42684</v>
          </cell>
          <cell r="AB74">
            <v>42697</v>
          </cell>
        </row>
        <row r="75">
          <cell r="A75" t="str">
            <v>16-092</v>
          </cell>
          <cell r="B75" t="str">
            <v>Tellus</v>
          </cell>
          <cell r="C75">
            <v>42676</v>
          </cell>
          <cell r="D75">
            <v>1</v>
          </cell>
          <cell r="E75">
            <v>2</v>
          </cell>
          <cell r="F75">
            <v>8</v>
          </cell>
          <cell r="G75">
            <v>9.3000000000000007</v>
          </cell>
          <cell r="H75">
            <v>42690</v>
          </cell>
          <cell r="I75">
            <v>42692</v>
          </cell>
          <cell r="J75">
            <v>42713</v>
          </cell>
          <cell r="K75">
            <v>42740</v>
          </cell>
          <cell r="L75">
            <v>42766</v>
          </cell>
          <cell r="M75">
            <v>42774</v>
          </cell>
          <cell r="N75">
            <v>42801</v>
          </cell>
          <cell r="O75">
            <v>42808</v>
          </cell>
          <cell r="P75">
            <v>42690</v>
          </cell>
          <cell r="Q75">
            <v>42690</v>
          </cell>
          <cell r="R75">
            <v>0</v>
          </cell>
          <cell r="S75">
            <v>42796</v>
          </cell>
          <cell r="T75">
            <v>42797</v>
          </cell>
          <cell r="U75">
            <v>42801</v>
          </cell>
          <cell r="V75">
            <v>42808</v>
          </cell>
          <cell r="W75">
            <v>42815</v>
          </cell>
          <cell r="X75">
            <v>42815</v>
          </cell>
          <cell r="Y75">
            <v>42815</v>
          </cell>
          <cell r="Z75">
            <v>42815</v>
          </cell>
          <cell r="AA75">
            <v>42816</v>
          </cell>
          <cell r="AB75">
            <v>42859.1</v>
          </cell>
        </row>
        <row r="76">
          <cell r="A76" t="str">
            <v>16-093</v>
          </cell>
          <cell r="B76" t="str">
            <v>Tellus</v>
          </cell>
          <cell r="C76">
            <v>42676</v>
          </cell>
          <cell r="D76">
            <v>1</v>
          </cell>
          <cell r="E76">
            <v>2</v>
          </cell>
          <cell r="F76">
            <v>8</v>
          </cell>
          <cell r="G76">
            <v>9.3000000000000007</v>
          </cell>
          <cell r="H76">
            <v>42690</v>
          </cell>
          <cell r="I76">
            <v>42692</v>
          </cell>
          <cell r="J76">
            <v>42713</v>
          </cell>
          <cell r="K76">
            <v>42740</v>
          </cell>
          <cell r="L76">
            <v>42766</v>
          </cell>
          <cell r="M76">
            <v>42774</v>
          </cell>
          <cell r="N76">
            <v>42801</v>
          </cell>
          <cell r="O76">
            <v>42808</v>
          </cell>
          <cell r="P76">
            <v>42690</v>
          </cell>
          <cell r="Q76">
            <v>42690</v>
          </cell>
          <cell r="R76">
            <v>0</v>
          </cell>
          <cell r="S76">
            <v>42796</v>
          </cell>
          <cell r="T76">
            <v>42797</v>
          </cell>
          <cell r="U76">
            <v>42801</v>
          </cell>
          <cell r="V76">
            <v>42808</v>
          </cell>
          <cell r="W76">
            <v>42815</v>
          </cell>
          <cell r="X76">
            <v>42815</v>
          </cell>
          <cell r="Y76">
            <v>42815</v>
          </cell>
          <cell r="Z76">
            <v>42815</v>
          </cell>
          <cell r="AA76">
            <v>42816</v>
          </cell>
          <cell r="AB76">
            <v>42859.1</v>
          </cell>
        </row>
        <row r="77">
          <cell r="A77" t="str">
            <v>16-094</v>
          </cell>
          <cell r="B77" t="str">
            <v>Tellus</v>
          </cell>
          <cell r="C77">
            <v>42676</v>
          </cell>
          <cell r="D77">
            <v>1</v>
          </cell>
          <cell r="E77">
            <v>2</v>
          </cell>
          <cell r="F77">
            <v>8</v>
          </cell>
          <cell r="G77">
            <v>9.3000000000000007</v>
          </cell>
          <cell r="H77">
            <v>42690</v>
          </cell>
          <cell r="I77">
            <v>42692</v>
          </cell>
          <cell r="J77">
            <v>42713</v>
          </cell>
          <cell r="K77">
            <v>42740</v>
          </cell>
          <cell r="L77">
            <v>42766</v>
          </cell>
          <cell r="M77">
            <v>42774</v>
          </cell>
          <cell r="N77">
            <v>42801</v>
          </cell>
          <cell r="O77">
            <v>42808</v>
          </cell>
          <cell r="P77">
            <v>42690</v>
          </cell>
          <cell r="Q77">
            <v>42690</v>
          </cell>
          <cell r="R77">
            <v>0</v>
          </cell>
          <cell r="S77">
            <v>42796</v>
          </cell>
          <cell r="T77">
            <v>42797</v>
          </cell>
          <cell r="U77">
            <v>42801</v>
          </cell>
          <cell r="V77">
            <v>42808</v>
          </cell>
          <cell r="W77">
            <v>42815</v>
          </cell>
          <cell r="X77">
            <v>42815</v>
          </cell>
          <cell r="Y77">
            <v>42815</v>
          </cell>
          <cell r="Z77">
            <v>42815</v>
          </cell>
          <cell r="AA77">
            <v>42816</v>
          </cell>
          <cell r="AB77">
            <v>42859.1</v>
          </cell>
        </row>
        <row r="78">
          <cell r="A78" t="str">
            <v>16-095</v>
          </cell>
          <cell r="B78" t="str">
            <v>SI Group</v>
          </cell>
          <cell r="C78">
            <v>42663</v>
          </cell>
          <cell r="D78">
            <v>1</v>
          </cell>
          <cell r="E78">
            <v>1</v>
          </cell>
          <cell r="F78">
            <v>10</v>
          </cell>
          <cell r="G78">
            <v>9.6</v>
          </cell>
          <cell r="H78">
            <v>42670</v>
          </cell>
          <cell r="I78">
            <v>42695</v>
          </cell>
          <cell r="J78">
            <v>42702</v>
          </cell>
          <cell r="K78">
            <v>42709</v>
          </cell>
          <cell r="L78">
            <v>42716</v>
          </cell>
          <cell r="M78">
            <v>42723</v>
          </cell>
          <cell r="N78">
            <v>42730</v>
          </cell>
          <cell r="O78">
            <v>42737</v>
          </cell>
          <cell r="P78">
            <v>42677</v>
          </cell>
          <cell r="Q78">
            <v>42677</v>
          </cell>
          <cell r="R78">
            <v>0</v>
          </cell>
          <cell r="S78">
            <v>42697</v>
          </cell>
          <cell r="T78">
            <v>42698</v>
          </cell>
          <cell r="U78">
            <v>42702</v>
          </cell>
          <cell r="V78">
            <v>42709</v>
          </cell>
          <cell r="W78">
            <v>42716</v>
          </cell>
          <cell r="X78">
            <v>42716</v>
          </cell>
          <cell r="Y78">
            <v>42716</v>
          </cell>
          <cell r="Z78">
            <v>42716</v>
          </cell>
          <cell r="AA78">
            <v>42717</v>
          </cell>
          <cell r="AB78">
            <v>42762.2</v>
          </cell>
        </row>
        <row r="79">
          <cell r="A79" t="str">
            <v>16-096</v>
          </cell>
          <cell r="B79" t="str">
            <v>Polynt Composites</v>
          </cell>
          <cell r="C79">
            <v>42664</v>
          </cell>
          <cell r="D79">
            <v>3</v>
          </cell>
          <cell r="E79">
            <v>4</v>
          </cell>
          <cell r="F79">
            <v>14</v>
          </cell>
          <cell r="G79">
            <v>16</v>
          </cell>
          <cell r="H79">
            <v>42692</v>
          </cell>
          <cell r="I79">
            <v>42710</v>
          </cell>
          <cell r="J79">
            <v>42753</v>
          </cell>
          <cell r="K79">
            <v>42776</v>
          </cell>
          <cell r="L79">
            <v>42782</v>
          </cell>
          <cell r="M79">
            <v>42789</v>
          </cell>
          <cell r="N79">
            <v>42796</v>
          </cell>
          <cell r="O79">
            <v>42803</v>
          </cell>
          <cell r="P79">
            <v>42678</v>
          </cell>
          <cell r="Q79">
            <v>42678</v>
          </cell>
          <cell r="R79">
            <v>0</v>
          </cell>
          <cell r="S79">
            <v>42777</v>
          </cell>
          <cell r="T79">
            <v>42778</v>
          </cell>
          <cell r="U79">
            <v>42782</v>
          </cell>
          <cell r="V79">
            <v>42789</v>
          </cell>
          <cell r="W79">
            <v>42796</v>
          </cell>
          <cell r="X79">
            <v>42796</v>
          </cell>
          <cell r="Y79">
            <v>42796</v>
          </cell>
          <cell r="Z79">
            <v>42796</v>
          </cell>
          <cell r="AA79">
            <v>42797</v>
          </cell>
          <cell r="AB79">
            <v>42887</v>
          </cell>
        </row>
        <row r="80">
          <cell r="A80" t="str">
            <v>16-097</v>
          </cell>
          <cell r="B80" t="str">
            <v>Polynt Composites</v>
          </cell>
          <cell r="C80">
            <v>42664</v>
          </cell>
          <cell r="D80">
            <v>3</v>
          </cell>
          <cell r="E80">
            <v>4</v>
          </cell>
          <cell r="F80">
            <v>14</v>
          </cell>
          <cell r="G80">
            <v>16</v>
          </cell>
          <cell r="H80">
            <v>42692</v>
          </cell>
          <cell r="I80">
            <v>42710</v>
          </cell>
          <cell r="J80">
            <v>42753</v>
          </cell>
          <cell r="K80">
            <v>42776</v>
          </cell>
          <cell r="L80">
            <v>42783</v>
          </cell>
          <cell r="M80">
            <v>42790</v>
          </cell>
          <cell r="N80">
            <v>42816</v>
          </cell>
          <cell r="O80">
            <v>42823</v>
          </cell>
          <cell r="P80">
            <v>42678</v>
          </cell>
          <cell r="Q80">
            <v>42678</v>
          </cell>
          <cell r="R80">
            <v>0</v>
          </cell>
          <cell r="S80">
            <v>42833</v>
          </cell>
          <cell r="T80">
            <v>42834</v>
          </cell>
          <cell r="U80">
            <v>42838</v>
          </cell>
          <cell r="V80">
            <v>42845</v>
          </cell>
          <cell r="W80">
            <v>42852</v>
          </cell>
          <cell r="X80">
            <v>42852</v>
          </cell>
          <cell r="Y80">
            <v>42852</v>
          </cell>
          <cell r="Z80">
            <v>42852</v>
          </cell>
          <cell r="AA80">
            <v>42853</v>
          </cell>
          <cell r="AB80">
            <v>42943</v>
          </cell>
        </row>
        <row r="81">
          <cell r="A81" t="str">
            <v>16-098</v>
          </cell>
          <cell r="B81" t="str">
            <v>PCS Phosphate</v>
          </cell>
          <cell r="C81">
            <v>42669</v>
          </cell>
          <cell r="D81">
            <v>2</v>
          </cell>
          <cell r="E81">
            <v>3</v>
          </cell>
          <cell r="F81">
            <v>13</v>
          </cell>
          <cell r="G81">
            <v>14</v>
          </cell>
          <cell r="H81">
            <v>42690</v>
          </cell>
          <cell r="I81">
            <v>42765</v>
          </cell>
          <cell r="J81">
            <v>42759</v>
          </cell>
          <cell r="K81">
            <v>42760</v>
          </cell>
          <cell r="L81">
            <v>42767</v>
          </cell>
          <cell r="M81">
            <v>42774</v>
          </cell>
          <cell r="N81">
            <v>42781</v>
          </cell>
          <cell r="O81">
            <v>42788</v>
          </cell>
          <cell r="P81">
            <v>42683</v>
          </cell>
          <cell r="Q81">
            <v>42683</v>
          </cell>
          <cell r="R81">
            <v>0</v>
          </cell>
          <cell r="S81">
            <v>42754</v>
          </cell>
          <cell r="T81">
            <v>42755</v>
          </cell>
          <cell r="U81">
            <v>42759</v>
          </cell>
          <cell r="V81">
            <v>42766</v>
          </cell>
          <cell r="W81">
            <v>42773</v>
          </cell>
          <cell r="X81">
            <v>42773</v>
          </cell>
          <cell r="Y81">
            <v>42773</v>
          </cell>
          <cell r="Z81">
            <v>42773</v>
          </cell>
          <cell r="AA81">
            <v>42774</v>
          </cell>
          <cell r="AB81">
            <v>42850</v>
          </cell>
        </row>
        <row r="82">
          <cell r="A82" t="str">
            <v>16-099</v>
          </cell>
          <cell r="B82" t="str">
            <v>S&amp;S Technical</v>
          </cell>
          <cell r="C82">
            <v>42674</v>
          </cell>
          <cell r="D82">
            <v>1</v>
          </cell>
          <cell r="E82">
            <v>2</v>
          </cell>
          <cell r="F82">
            <v>12</v>
          </cell>
          <cell r="G82">
            <v>10</v>
          </cell>
          <cell r="H82">
            <v>42688</v>
          </cell>
          <cell r="I82">
            <v>42693</v>
          </cell>
          <cell r="J82">
            <v>42745</v>
          </cell>
          <cell r="K82">
            <v>42746</v>
          </cell>
          <cell r="L82">
            <v>42753</v>
          </cell>
          <cell r="M82">
            <v>42760</v>
          </cell>
          <cell r="N82">
            <v>42767</v>
          </cell>
          <cell r="O82">
            <v>42774</v>
          </cell>
          <cell r="P82">
            <v>42688</v>
          </cell>
          <cell r="Q82">
            <v>42688</v>
          </cell>
          <cell r="R82">
            <v>0</v>
          </cell>
          <cell r="S82">
            <v>42740</v>
          </cell>
          <cell r="T82">
            <v>42741</v>
          </cell>
          <cell r="U82">
            <v>42745</v>
          </cell>
          <cell r="V82">
            <v>42752</v>
          </cell>
          <cell r="W82">
            <v>42759</v>
          </cell>
          <cell r="X82">
            <v>42759</v>
          </cell>
          <cell r="Y82">
            <v>42759</v>
          </cell>
          <cell r="Z82">
            <v>42759</v>
          </cell>
          <cell r="AA82">
            <v>42760</v>
          </cell>
          <cell r="AB82">
            <v>42808</v>
          </cell>
        </row>
        <row r="83">
          <cell r="A83" t="str">
            <v>16-100</v>
          </cell>
          <cell r="B83" t="str">
            <v>S&amp;S Technical</v>
          </cell>
          <cell r="C83">
            <v>42674</v>
          </cell>
          <cell r="D83">
            <v>1</v>
          </cell>
          <cell r="E83">
            <v>2</v>
          </cell>
          <cell r="F83">
            <v>12</v>
          </cell>
          <cell r="G83">
            <v>10</v>
          </cell>
          <cell r="H83">
            <v>42688</v>
          </cell>
          <cell r="I83">
            <v>42693</v>
          </cell>
          <cell r="J83">
            <v>42745</v>
          </cell>
          <cell r="K83">
            <v>42746</v>
          </cell>
          <cell r="L83">
            <v>42753</v>
          </cell>
          <cell r="M83">
            <v>42760</v>
          </cell>
          <cell r="N83">
            <v>42767</v>
          </cell>
          <cell r="O83">
            <v>42774</v>
          </cell>
          <cell r="P83">
            <v>42688</v>
          </cell>
          <cell r="Q83">
            <v>42688</v>
          </cell>
          <cell r="R83">
            <v>0</v>
          </cell>
          <cell r="S83">
            <v>42740</v>
          </cell>
          <cell r="T83">
            <v>42741</v>
          </cell>
          <cell r="U83">
            <v>42745</v>
          </cell>
          <cell r="V83">
            <v>42752</v>
          </cell>
          <cell r="W83">
            <v>42759</v>
          </cell>
          <cell r="X83">
            <v>42759</v>
          </cell>
          <cell r="Y83">
            <v>42759</v>
          </cell>
          <cell r="Z83">
            <v>42759</v>
          </cell>
          <cell r="AA83">
            <v>42760</v>
          </cell>
          <cell r="AB83">
            <v>42808</v>
          </cell>
        </row>
        <row r="84">
          <cell r="A84" t="str">
            <v>16-101</v>
          </cell>
          <cell r="B84" t="str">
            <v>Gerdau</v>
          </cell>
          <cell r="C84">
            <v>42675</v>
          </cell>
          <cell r="D84">
            <v>1</v>
          </cell>
          <cell r="E84">
            <v>2</v>
          </cell>
          <cell r="F84">
            <v>8</v>
          </cell>
          <cell r="G84">
            <v>6.9</v>
          </cell>
          <cell r="H84">
            <v>42689</v>
          </cell>
          <cell r="I84">
            <v>42697</v>
          </cell>
          <cell r="J84">
            <v>42775</v>
          </cell>
          <cell r="K84">
            <v>42782</v>
          </cell>
          <cell r="L84">
            <v>42789</v>
          </cell>
          <cell r="M84">
            <v>42796</v>
          </cell>
          <cell r="N84">
            <v>42803</v>
          </cell>
          <cell r="O84">
            <v>42810</v>
          </cell>
          <cell r="P84">
            <v>42689</v>
          </cell>
          <cell r="Q84">
            <v>42689</v>
          </cell>
          <cell r="R84">
            <v>0</v>
          </cell>
          <cell r="S84">
            <v>42770</v>
          </cell>
          <cell r="T84">
            <v>42771</v>
          </cell>
          <cell r="U84">
            <v>42775</v>
          </cell>
          <cell r="V84">
            <v>42782</v>
          </cell>
          <cell r="W84">
            <v>42789</v>
          </cell>
          <cell r="X84">
            <v>42789</v>
          </cell>
          <cell r="Y84">
            <v>42789</v>
          </cell>
          <cell r="Z84">
            <v>42789</v>
          </cell>
          <cell r="AA84">
            <v>42790</v>
          </cell>
          <cell r="AB84">
            <v>42816.3</v>
          </cell>
        </row>
        <row r="85">
          <cell r="A85" t="str">
            <v>16-102</v>
          </cell>
          <cell r="B85" t="str">
            <v>Gerdau</v>
          </cell>
          <cell r="C85">
            <v>42675</v>
          </cell>
          <cell r="D85">
            <v>1</v>
          </cell>
          <cell r="E85">
            <v>2</v>
          </cell>
          <cell r="F85">
            <v>8</v>
          </cell>
          <cell r="G85">
            <v>11.2</v>
          </cell>
          <cell r="H85">
            <v>42689</v>
          </cell>
          <cell r="I85">
            <v>42697</v>
          </cell>
          <cell r="J85">
            <v>42775</v>
          </cell>
          <cell r="K85">
            <v>42782</v>
          </cell>
          <cell r="L85">
            <v>42789</v>
          </cell>
          <cell r="M85">
            <v>42796</v>
          </cell>
          <cell r="N85">
            <v>42803</v>
          </cell>
          <cell r="O85">
            <v>42810</v>
          </cell>
          <cell r="P85">
            <v>42689</v>
          </cell>
          <cell r="Q85">
            <v>42689</v>
          </cell>
          <cell r="R85">
            <v>0</v>
          </cell>
          <cell r="S85">
            <v>42770</v>
          </cell>
          <cell r="T85">
            <v>42771</v>
          </cell>
          <cell r="U85">
            <v>42775</v>
          </cell>
          <cell r="V85">
            <v>42782</v>
          </cell>
          <cell r="W85">
            <v>42789</v>
          </cell>
          <cell r="X85">
            <v>42789</v>
          </cell>
          <cell r="Y85">
            <v>42789</v>
          </cell>
          <cell r="Z85">
            <v>42789</v>
          </cell>
          <cell r="AA85">
            <v>42790</v>
          </cell>
          <cell r="AB85">
            <v>42846.400000000001</v>
          </cell>
        </row>
        <row r="86">
          <cell r="A86" t="str">
            <v>16-103</v>
          </cell>
          <cell r="B86" t="str">
            <v>SI Group</v>
          </cell>
          <cell r="C86">
            <v>42691</v>
          </cell>
          <cell r="D86">
            <v>1</v>
          </cell>
          <cell r="E86">
            <v>2</v>
          </cell>
          <cell r="F86">
            <v>10</v>
          </cell>
          <cell r="G86">
            <v>12</v>
          </cell>
          <cell r="H86">
            <v>42705</v>
          </cell>
          <cell r="I86">
            <v>42719</v>
          </cell>
          <cell r="J86">
            <v>42713</v>
          </cell>
          <cell r="K86">
            <v>42720</v>
          </cell>
          <cell r="L86">
            <v>42745</v>
          </cell>
          <cell r="M86">
            <v>42752</v>
          </cell>
          <cell r="N86">
            <v>42759</v>
          </cell>
          <cell r="O86">
            <v>42766</v>
          </cell>
          <cell r="P86">
            <v>42705</v>
          </cell>
          <cell r="Q86">
            <v>42705</v>
          </cell>
          <cell r="R86">
            <v>0</v>
          </cell>
          <cell r="S86">
            <v>42740</v>
          </cell>
          <cell r="T86">
            <v>42741</v>
          </cell>
          <cell r="U86">
            <v>42745</v>
          </cell>
          <cell r="V86">
            <v>42752</v>
          </cell>
          <cell r="W86">
            <v>42759</v>
          </cell>
          <cell r="X86">
            <v>42759</v>
          </cell>
          <cell r="Y86">
            <v>42759</v>
          </cell>
          <cell r="Z86">
            <v>42759</v>
          </cell>
          <cell r="AA86">
            <v>42760</v>
          </cell>
          <cell r="AB86">
            <v>42822</v>
          </cell>
        </row>
        <row r="87">
          <cell r="A87" t="str">
            <v>16-104</v>
          </cell>
          <cell r="B87" t="str">
            <v>Solenis LLC</v>
          </cell>
          <cell r="C87">
            <v>42691</v>
          </cell>
          <cell r="D87">
            <v>2</v>
          </cell>
          <cell r="E87">
            <v>3</v>
          </cell>
          <cell r="F87">
            <v>13</v>
          </cell>
          <cell r="G87">
            <v>13.2</v>
          </cell>
          <cell r="H87">
            <v>42712</v>
          </cell>
          <cell r="I87">
            <v>42731</v>
          </cell>
          <cell r="J87">
            <v>42738</v>
          </cell>
          <cell r="K87">
            <v>42732</v>
          </cell>
          <cell r="L87">
            <v>42733</v>
          </cell>
          <cell r="M87">
            <v>42740</v>
          </cell>
          <cell r="N87">
            <v>42747</v>
          </cell>
          <cell r="O87">
            <v>42754</v>
          </cell>
          <cell r="P87">
            <v>42705</v>
          </cell>
          <cell r="Q87">
            <v>42705</v>
          </cell>
          <cell r="R87">
            <v>0</v>
          </cell>
          <cell r="S87">
            <v>42728</v>
          </cell>
          <cell r="T87">
            <v>42729</v>
          </cell>
          <cell r="U87">
            <v>42733</v>
          </cell>
          <cell r="V87">
            <v>42740</v>
          </cell>
          <cell r="W87">
            <v>42747</v>
          </cell>
          <cell r="X87">
            <v>42747</v>
          </cell>
          <cell r="Y87">
            <v>42747</v>
          </cell>
          <cell r="Z87">
            <v>42747</v>
          </cell>
          <cell r="AA87">
            <v>42748</v>
          </cell>
          <cell r="AB87">
            <v>42818.400000000001</v>
          </cell>
        </row>
        <row r="88">
          <cell r="A88" t="str">
            <v>16-105</v>
          </cell>
          <cell r="B88" t="str">
            <v>Airgas</v>
          </cell>
          <cell r="C88">
            <v>42691</v>
          </cell>
          <cell r="D88">
            <v>2</v>
          </cell>
          <cell r="E88">
            <v>2</v>
          </cell>
          <cell r="F88">
            <v>5</v>
          </cell>
          <cell r="G88">
            <v>5</v>
          </cell>
          <cell r="H88">
            <v>42709</v>
          </cell>
          <cell r="I88">
            <v>42713</v>
          </cell>
          <cell r="J88">
            <v>42724</v>
          </cell>
          <cell r="K88">
            <v>42731</v>
          </cell>
          <cell r="L88">
            <v>42738</v>
          </cell>
          <cell r="M88">
            <v>42745</v>
          </cell>
          <cell r="N88">
            <v>42752</v>
          </cell>
          <cell r="O88">
            <v>42759</v>
          </cell>
          <cell r="P88">
            <v>42705</v>
          </cell>
          <cell r="Q88">
            <v>42705</v>
          </cell>
          <cell r="R88">
            <v>0</v>
          </cell>
          <cell r="S88">
            <v>42719</v>
          </cell>
          <cell r="T88">
            <v>42720</v>
          </cell>
          <cell r="U88">
            <v>42719</v>
          </cell>
          <cell r="V88">
            <v>42719</v>
          </cell>
          <cell r="W88">
            <v>42721</v>
          </cell>
          <cell r="X88">
            <v>42721</v>
          </cell>
          <cell r="Y88">
            <v>42721</v>
          </cell>
          <cell r="Z88">
            <v>42721</v>
          </cell>
          <cell r="AA88">
            <v>42722</v>
          </cell>
          <cell r="AB88">
            <v>42752</v>
          </cell>
        </row>
        <row r="89">
          <cell r="A89" t="str">
            <v>16-106</v>
          </cell>
          <cell r="B89" t="str">
            <v>Archroma</v>
          </cell>
          <cell r="C89">
            <v>42702</v>
          </cell>
          <cell r="D89">
            <v>1</v>
          </cell>
          <cell r="E89">
            <v>2</v>
          </cell>
          <cell r="F89">
            <v>3</v>
          </cell>
          <cell r="G89">
            <v>4</v>
          </cell>
          <cell r="H89">
            <v>42716</v>
          </cell>
          <cell r="I89">
            <v>42731</v>
          </cell>
          <cell r="J89">
            <v>42731</v>
          </cell>
          <cell r="K89">
            <v>42732</v>
          </cell>
          <cell r="L89">
            <v>42732</v>
          </cell>
          <cell r="M89">
            <v>42739</v>
          </cell>
          <cell r="N89">
            <v>42746</v>
          </cell>
          <cell r="O89">
            <v>42753</v>
          </cell>
          <cell r="P89">
            <v>42716</v>
          </cell>
          <cell r="Q89">
            <v>42716</v>
          </cell>
          <cell r="R89">
            <v>0</v>
          </cell>
          <cell r="S89">
            <v>42727</v>
          </cell>
          <cell r="T89">
            <v>42728</v>
          </cell>
          <cell r="U89">
            <v>42732</v>
          </cell>
          <cell r="V89">
            <v>42739</v>
          </cell>
          <cell r="W89">
            <v>42746</v>
          </cell>
          <cell r="X89">
            <v>42746</v>
          </cell>
          <cell r="Y89">
            <v>42746</v>
          </cell>
          <cell r="Z89">
            <v>42746</v>
          </cell>
          <cell r="AA89">
            <v>42747</v>
          </cell>
          <cell r="AB89">
            <v>42753</v>
          </cell>
        </row>
        <row r="90">
          <cell r="A90" t="str">
            <v>16-107</v>
          </cell>
          <cell r="B90" t="str">
            <v>SNF Floquip</v>
          </cell>
          <cell r="C90">
            <v>42702</v>
          </cell>
          <cell r="D90">
            <v>1</v>
          </cell>
          <cell r="E90">
            <v>1</v>
          </cell>
          <cell r="F90">
            <v>12.4</v>
          </cell>
          <cell r="G90">
            <v>12.4</v>
          </cell>
          <cell r="H90">
            <v>42709</v>
          </cell>
          <cell r="I90">
            <v>42726</v>
          </cell>
          <cell r="J90">
            <v>42733</v>
          </cell>
          <cell r="K90">
            <v>42740</v>
          </cell>
          <cell r="L90">
            <v>42747</v>
          </cell>
          <cell r="M90">
            <v>42754</v>
          </cell>
          <cell r="N90">
            <v>42761</v>
          </cell>
          <cell r="O90">
            <v>42768</v>
          </cell>
          <cell r="P90">
            <v>42716</v>
          </cell>
          <cell r="Q90">
            <v>42716</v>
          </cell>
          <cell r="R90">
            <v>0</v>
          </cell>
          <cell r="S90">
            <v>42728</v>
          </cell>
          <cell r="T90">
            <v>42729</v>
          </cell>
          <cell r="U90">
            <v>42733</v>
          </cell>
          <cell r="V90">
            <v>42740</v>
          </cell>
          <cell r="W90">
            <v>42747</v>
          </cell>
          <cell r="X90">
            <v>42747</v>
          </cell>
          <cell r="Y90">
            <v>42747</v>
          </cell>
          <cell r="Z90">
            <v>42747</v>
          </cell>
          <cell r="AA90">
            <v>42748</v>
          </cell>
          <cell r="AB90">
            <v>42812.800000000003</v>
          </cell>
        </row>
        <row r="91">
          <cell r="A91" t="str">
            <v>16-108</v>
          </cell>
          <cell r="B91" t="str">
            <v>Fitesa</v>
          </cell>
          <cell r="C91">
            <v>42704</v>
          </cell>
          <cell r="D91">
            <v>2</v>
          </cell>
          <cell r="E91">
            <v>2</v>
          </cell>
          <cell r="F91">
            <v>11</v>
          </cell>
          <cell r="G91">
            <v>11</v>
          </cell>
          <cell r="H91">
            <v>42718</v>
          </cell>
          <cell r="I91">
            <v>42733</v>
          </cell>
          <cell r="J91">
            <v>42740</v>
          </cell>
          <cell r="K91">
            <v>42732</v>
          </cell>
          <cell r="L91">
            <v>42739</v>
          </cell>
          <cell r="M91">
            <v>42746</v>
          </cell>
          <cell r="N91">
            <v>42753</v>
          </cell>
          <cell r="O91">
            <v>42760</v>
          </cell>
          <cell r="P91">
            <v>42718</v>
          </cell>
          <cell r="Q91">
            <v>42718</v>
          </cell>
          <cell r="R91">
            <v>0</v>
          </cell>
          <cell r="S91">
            <v>42735</v>
          </cell>
          <cell r="T91">
            <v>42736</v>
          </cell>
          <cell r="U91">
            <v>42740</v>
          </cell>
          <cell r="V91">
            <v>42747</v>
          </cell>
          <cell r="W91">
            <v>42754</v>
          </cell>
          <cell r="X91">
            <v>42754</v>
          </cell>
          <cell r="Y91">
            <v>42754</v>
          </cell>
          <cell r="Z91">
            <v>42754</v>
          </cell>
          <cell r="AA91">
            <v>42755</v>
          </cell>
          <cell r="AB91">
            <v>42810</v>
          </cell>
        </row>
        <row r="92">
          <cell r="A92" t="str">
            <v>16-109</v>
          </cell>
          <cell r="B92" t="str">
            <v>Fitesa</v>
          </cell>
          <cell r="C92">
            <v>42704</v>
          </cell>
          <cell r="D92">
            <v>2</v>
          </cell>
          <cell r="E92">
            <v>2</v>
          </cell>
          <cell r="F92">
            <v>11</v>
          </cell>
          <cell r="G92">
            <v>11</v>
          </cell>
          <cell r="H92">
            <v>42718</v>
          </cell>
          <cell r="I92">
            <v>42733</v>
          </cell>
          <cell r="J92">
            <v>42740</v>
          </cell>
          <cell r="K92">
            <v>42732</v>
          </cell>
          <cell r="L92">
            <v>42739</v>
          </cell>
          <cell r="M92">
            <v>42746</v>
          </cell>
          <cell r="N92">
            <v>42753</v>
          </cell>
          <cell r="O92">
            <v>42760</v>
          </cell>
          <cell r="P92">
            <v>42718</v>
          </cell>
          <cell r="Q92">
            <v>42718</v>
          </cell>
          <cell r="R92">
            <v>0</v>
          </cell>
          <cell r="S92">
            <v>42735</v>
          </cell>
          <cell r="T92">
            <v>42736</v>
          </cell>
          <cell r="U92">
            <v>42740</v>
          </cell>
          <cell r="V92">
            <v>42747</v>
          </cell>
          <cell r="W92">
            <v>42754</v>
          </cell>
          <cell r="X92">
            <v>42754</v>
          </cell>
          <cell r="Y92">
            <v>42754</v>
          </cell>
          <cell r="Z92">
            <v>42754</v>
          </cell>
          <cell r="AA92">
            <v>42755</v>
          </cell>
          <cell r="AB92">
            <v>42810</v>
          </cell>
        </row>
        <row r="93">
          <cell r="A93" t="str">
            <v>16-110</v>
          </cell>
          <cell r="B93" t="str">
            <v>Fitesa</v>
          </cell>
          <cell r="C93">
            <v>42704</v>
          </cell>
          <cell r="D93">
            <v>2</v>
          </cell>
          <cell r="E93">
            <v>2</v>
          </cell>
          <cell r="F93">
            <v>11</v>
          </cell>
          <cell r="G93">
            <v>11</v>
          </cell>
          <cell r="H93">
            <v>42718</v>
          </cell>
          <cell r="I93">
            <v>42733</v>
          </cell>
          <cell r="J93">
            <v>42740</v>
          </cell>
          <cell r="K93">
            <v>42732</v>
          </cell>
          <cell r="L93">
            <v>42739</v>
          </cell>
          <cell r="M93">
            <v>42746</v>
          </cell>
          <cell r="N93">
            <v>42753</v>
          </cell>
          <cell r="O93">
            <v>42760</v>
          </cell>
          <cell r="P93">
            <v>42718</v>
          </cell>
          <cell r="Q93">
            <v>42718</v>
          </cell>
          <cell r="R93">
            <v>0</v>
          </cell>
          <cell r="S93">
            <v>42735</v>
          </cell>
          <cell r="T93">
            <v>42736</v>
          </cell>
          <cell r="U93">
            <v>42740</v>
          </cell>
          <cell r="V93">
            <v>42747</v>
          </cell>
          <cell r="W93">
            <v>42754</v>
          </cell>
          <cell r="X93">
            <v>42754</v>
          </cell>
          <cell r="Y93">
            <v>42754</v>
          </cell>
          <cell r="Z93">
            <v>42754</v>
          </cell>
          <cell r="AA93">
            <v>42755</v>
          </cell>
          <cell r="AB93">
            <v>42810</v>
          </cell>
        </row>
        <row r="94">
          <cell r="A94" t="str">
            <v>16-111</v>
          </cell>
          <cell r="B94" t="str">
            <v>Fitesa</v>
          </cell>
          <cell r="C94">
            <v>42704</v>
          </cell>
          <cell r="D94">
            <v>2</v>
          </cell>
          <cell r="E94">
            <v>2</v>
          </cell>
          <cell r="F94">
            <v>11</v>
          </cell>
          <cell r="G94">
            <v>11</v>
          </cell>
          <cell r="H94">
            <v>42718</v>
          </cell>
          <cell r="I94">
            <v>42733</v>
          </cell>
          <cell r="J94">
            <v>42740</v>
          </cell>
          <cell r="K94">
            <v>42732</v>
          </cell>
          <cell r="L94">
            <v>42739</v>
          </cell>
          <cell r="M94">
            <v>42746</v>
          </cell>
          <cell r="N94">
            <v>42753</v>
          </cell>
          <cell r="O94">
            <v>42760</v>
          </cell>
          <cell r="P94">
            <v>42718</v>
          </cell>
          <cell r="Q94">
            <v>42718</v>
          </cell>
          <cell r="R94">
            <v>0</v>
          </cell>
          <cell r="S94">
            <v>42735</v>
          </cell>
          <cell r="T94">
            <v>42736</v>
          </cell>
          <cell r="U94">
            <v>42740</v>
          </cell>
          <cell r="V94">
            <v>42747</v>
          </cell>
          <cell r="W94">
            <v>42754</v>
          </cell>
          <cell r="X94">
            <v>42754</v>
          </cell>
          <cell r="Y94">
            <v>42754</v>
          </cell>
          <cell r="Z94">
            <v>42754</v>
          </cell>
          <cell r="AA94">
            <v>42755</v>
          </cell>
          <cell r="AB94">
            <v>42810</v>
          </cell>
        </row>
        <row r="95">
          <cell r="A95" t="str">
            <v>16-112</v>
          </cell>
          <cell r="B95" t="str">
            <v>Fitesa</v>
          </cell>
          <cell r="C95">
            <v>42704</v>
          </cell>
          <cell r="D95">
            <v>2</v>
          </cell>
          <cell r="E95">
            <v>2</v>
          </cell>
          <cell r="F95">
            <v>11</v>
          </cell>
          <cell r="G95">
            <v>11</v>
          </cell>
          <cell r="H95">
            <v>42718</v>
          </cell>
          <cell r="I95">
            <v>42733</v>
          </cell>
          <cell r="J95">
            <v>42740</v>
          </cell>
          <cell r="K95">
            <v>42732</v>
          </cell>
          <cell r="L95">
            <v>42739</v>
          </cell>
          <cell r="M95">
            <v>42746</v>
          </cell>
          <cell r="N95">
            <v>42753</v>
          </cell>
          <cell r="O95">
            <v>42760</v>
          </cell>
          <cell r="P95">
            <v>42718</v>
          </cell>
          <cell r="Q95">
            <v>42718</v>
          </cell>
          <cell r="R95">
            <v>0</v>
          </cell>
          <cell r="S95">
            <v>42735</v>
          </cell>
          <cell r="T95">
            <v>42736</v>
          </cell>
          <cell r="U95">
            <v>42740</v>
          </cell>
          <cell r="V95">
            <v>42747</v>
          </cell>
          <cell r="W95">
            <v>42754</v>
          </cell>
          <cell r="X95">
            <v>42754</v>
          </cell>
          <cell r="Y95">
            <v>42754</v>
          </cell>
          <cell r="Z95">
            <v>42754</v>
          </cell>
          <cell r="AA95">
            <v>42755</v>
          </cell>
          <cell r="AB95">
            <v>42810</v>
          </cell>
        </row>
        <row r="96">
          <cell r="A96" t="str">
            <v>16-113</v>
          </cell>
          <cell r="B96" t="str">
            <v>Fitesa</v>
          </cell>
          <cell r="C96">
            <v>42704</v>
          </cell>
          <cell r="D96">
            <v>2</v>
          </cell>
          <cell r="E96">
            <v>2</v>
          </cell>
          <cell r="F96">
            <v>11</v>
          </cell>
          <cell r="G96">
            <v>11</v>
          </cell>
          <cell r="H96">
            <v>42718</v>
          </cell>
          <cell r="I96">
            <v>42733</v>
          </cell>
          <cell r="J96">
            <v>42740</v>
          </cell>
          <cell r="K96">
            <v>42732</v>
          </cell>
          <cell r="L96">
            <v>42739</v>
          </cell>
          <cell r="M96">
            <v>42746</v>
          </cell>
          <cell r="N96">
            <v>42753</v>
          </cell>
          <cell r="O96">
            <v>42760</v>
          </cell>
          <cell r="P96">
            <v>42718</v>
          </cell>
          <cell r="Q96">
            <v>42718</v>
          </cell>
          <cell r="R96">
            <v>0</v>
          </cell>
          <cell r="S96">
            <v>42735</v>
          </cell>
          <cell r="T96">
            <v>42736</v>
          </cell>
          <cell r="U96">
            <v>42740</v>
          </cell>
          <cell r="V96">
            <v>42747</v>
          </cell>
          <cell r="W96">
            <v>42754</v>
          </cell>
          <cell r="X96">
            <v>42754</v>
          </cell>
          <cell r="Y96">
            <v>42754</v>
          </cell>
          <cell r="Z96">
            <v>42754</v>
          </cell>
          <cell r="AA96">
            <v>42755</v>
          </cell>
          <cell r="AB96">
            <v>42810</v>
          </cell>
        </row>
        <row r="97">
          <cell r="A97" t="str">
            <v>16-114</v>
          </cell>
          <cell r="B97" t="str">
            <v>Wako Chemicals</v>
          </cell>
          <cell r="C97">
            <v>42716</v>
          </cell>
          <cell r="D97">
            <v>2</v>
          </cell>
          <cell r="E97">
            <v>2.6</v>
          </cell>
          <cell r="F97">
            <v>14</v>
          </cell>
          <cell r="G97">
            <v>15.6</v>
          </cell>
          <cell r="H97">
            <v>42734.2</v>
          </cell>
          <cell r="I97">
            <v>42755</v>
          </cell>
          <cell r="J97">
            <v>42795</v>
          </cell>
          <cell r="K97">
            <v>42802</v>
          </cell>
          <cell r="L97">
            <v>42809</v>
          </cell>
          <cell r="M97">
            <v>42816</v>
          </cell>
          <cell r="N97">
            <v>42823</v>
          </cell>
          <cell r="O97">
            <v>42830</v>
          </cell>
          <cell r="P97">
            <v>42730</v>
          </cell>
          <cell r="Q97">
            <v>42730</v>
          </cell>
          <cell r="R97">
            <v>0</v>
          </cell>
          <cell r="S97">
            <v>42790</v>
          </cell>
          <cell r="T97">
            <v>42791</v>
          </cell>
          <cell r="U97">
            <v>42795</v>
          </cell>
          <cell r="V97">
            <v>42802</v>
          </cell>
          <cell r="W97">
            <v>42809</v>
          </cell>
          <cell r="X97">
            <v>42809</v>
          </cell>
          <cell r="Y97">
            <v>42809</v>
          </cell>
          <cell r="Z97">
            <v>42809</v>
          </cell>
          <cell r="AA97">
            <v>42810</v>
          </cell>
          <cell r="AB97">
            <v>42897.2</v>
          </cell>
        </row>
        <row r="98">
          <cell r="A98" t="str">
            <v>16-115</v>
          </cell>
          <cell r="B98" t="str">
            <v>Wako Chemicals</v>
          </cell>
          <cell r="C98">
            <v>42716</v>
          </cell>
          <cell r="D98">
            <v>2</v>
          </cell>
          <cell r="E98">
            <v>2.6</v>
          </cell>
          <cell r="F98">
            <v>14</v>
          </cell>
          <cell r="G98">
            <v>15.6</v>
          </cell>
          <cell r="H98">
            <v>42734.2</v>
          </cell>
          <cell r="I98">
            <v>42753</v>
          </cell>
          <cell r="J98">
            <v>42795</v>
          </cell>
          <cell r="K98">
            <v>42802</v>
          </cell>
          <cell r="L98">
            <v>42809</v>
          </cell>
          <cell r="M98">
            <v>42816</v>
          </cell>
          <cell r="N98">
            <v>42823</v>
          </cell>
          <cell r="O98">
            <v>42830</v>
          </cell>
          <cell r="P98">
            <v>42730</v>
          </cell>
          <cell r="Q98">
            <v>42730</v>
          </cell>
          <cell r="R98">
            <v>0</v>
          </cell>
          <cell r="S98">
            <v>42790</v>
          </cell>
          <cell r="T98">
            <v>42791</v>
          </cell>
          <cell r="U98">
            <v>42795</v>
          </cell>
          <cell r="V98">
            <v>42802</v>
          </cell>
          <cell r="W98">
            <v>42809</v>
          </cell>
          <cell r="X98">
            <v>42809</v>
          </cell>
          <cell r="Y98">
            <v>42809</v>
          </cell>
          <cell r="Z98">
            <v>42809</v>
          </cell>
          <cell r="AA98">
            <v>42810</v>
          </cell>
          <cell r="AB98">
            <v>42897.2</v>
          </cell>
        </row>
        <row r="99">
          <cell r="A99" t="str">
            <v>16-116</v>
          </cell>
          <cell r="B99" t="str">
            <v>Wako Chemicals</v>
          </cell>
          <cell r="C99">
            <v>42716</v>
          </cell>
          <cell r="D99">
            <v>2</v>
          </cell>
          <cell r="E99">
            <v>3.5</v>
          </cell>
          <cell r="F99">
            <v>14</v>
          </cell>
          <cell r="G99">
            <v>14.7</v>
          </cell>
          <cell r="H99">
            <v>42740.5</v>
          </cell>
          <cell r="I99">
            <v>42762</v>
          </cell>
          <cell r="J99">
            <v>42786</v>
          </cell>
          <cell r="K99">
            <v>42793</v>
          </cell>
          <cell r="L99">
            <v>42800</v>
          </cell>
          <cell r="M99">
            <v>42807</v>
          </cell>
          <cell r="N99">
            <v>42814</v>
          </cell>
          <cell r="O99">
            <v>42821</v>
          </cell>
          <cell r="P99">
            <v>42730</v>
          </cell>
          <cell r="Q99">
            <v>42730</v>
          </cell>
          <cell r="R99">
            <v>0</v>
          </cell>
          <cell r="S99">
            <v>42781</v>
          </cell>
          <cell r="T99">
            <v>42782</v>
          </cell>
          <cell r="U99">
            <v>42786</v>
          </cell>
          <cell r="V99">
            <v>42793</v>
          </cell>
          <cell r="W99">
            <v>42800</v>
          </cell>
          <cell r="X99">
            <v>42800</v>
          </cell>
          <cell r="Y99">
            <v>42800</v>
          </cell>
          <cell r="Z99">
            <v>42800</v>
          </cell>
          <cell r="AA99">
            <v>42801</v>
          </cell>
          <cell r="AB99">
            <v>42881.9</v>
          </cell>
        </row>
        <row r="100">
          <cell r="A100" t="str">
            <v>16-117</v>
          </cell>
          <cell r="B100" t="str">
            <v>Wako Chemicals</v>
          </cell>
          <cell r="C100">
            <v>42716</v>
          </cell>
          <cell r="D100">
            <v>2</v>
          </cell>
          <cell r="E100">
            <v>3.5</v>
          </cell>
          <cell r="F100">
            <v>14</v>
          </cell>
          <cell r="G100">
            <v>14.7</v>
          </cell>
          <cell r="H100">
            <v>42740.5</v>
          </cell>
          <cell r="I100">
            <v>42762</v>
          </cell>
          <cell r="J100">
            <v>42786</v>
          </cell>
          <cell r="K100">
            <v>42823</v>
          </cell>
          <cell r="L100">
            <v>42830</v>
          </cell>
          <cell r="M100">
            <v>42837</v>
          </cell>
          <cell r="N100">
            <v>42844</v>
          </cell>
          <cell r="O100">
            <v>42851</v>
          </cell>
          <cell r="P100">
            <v>42730</v>
          </cell>
          <cell r="Q100">
            <v>42730</v>
          </cell>
          <cell r="R100">
            <v>0</v>
          </cell>
          <cell r="S100">
            <v>42781</v>
          </cell>
          <cell r="T100">
            <v>42782</v>
          </cell>
          <cell r="U100">
            <v>42786</v>
          </cell>
          <cell r="V100">
            <v>42793</v>
          </cell>
          <cell r="W100">
            <v>42800</v>
          </cell>
          <cell r="X100">
            <v>42800</v>
          </cell>
          <cell r="Y100">
            <v>42800</v>
          </cell>
          <cell r="Z100">
            <v>42800</v>
          </cell>
          <cell r="AA100">
            <v>42801</v>
          </cell>
          <cell r="AB100">
            <v>42881.9</v>
          </cell>
        </row>
        <row r="101">
          <cell r="A101" t="str">
            <v>16-118</v>
          </cell>
          <cell r="B101" t="str">
            <v>Wako Chemicals</v>
          </cell>
          <cell r="C101">
            <v>42716</v>
          </cell>
          <cell r="D101">
            <v>2</v>
          </cell>
          <cell r="E101">
            <v>4.5999999999999996</v>
          </cell>
          <cell r="F101">
            <v>14</v>
          </cell>
          <cell r="G101">
            <v>13.6</v>
          </cell>
          <cell r="H101">
            <v>42748.2</v>
          </cell>
          <cell r="I101">
            <v>42769</v>
          </cell>
          <cell r="J101">
            <v>42786</v>
          </cell>
          <cell r="K101">
            <v>42793</v>
          </cell>
          <cell r="L101">
            <v>42852</v>
          </cell>
          <cell r="M101">
            <v>42859</v>
          </cell>
          <cell r="N101">
            <v>42866</v>
          </cell>
          <cell r="O101">
            <v>42873</v>
          </cell>
          <cell r="P101">
            <v>42730</v>
          </cell>
          <cell r="Q101">
            <v>42730</v>
          </cell>
          <cell r="R101">
            <v>0</v>
          </cell>
          <cell r="S101">
            <v>42847</v>
          </cell>
          <cell r="T101">
            <v>42848</v>
          </cell>
          <cell r="U101">
            <v>42852</v>
          </cell>
          <cell r="V101">
            <v>42859</v>
          </cell>
          <cell r="W101">
            <v>42866</v>
          </cell>
          <cell r="X101">
            <v>42866</v>
          </cell>
          <cell r="Y101">
            <v>42866</v>
          </cell>
          <cell r="Z101">
            <v>42866</v>
          </cell>
          <cell r="AA101">
            <v>42867</v>
          </cell>
          <cell r="AB101">
            <v>42940.2</v>
          </cell>
        </row>
        <row r="102">
          <cell r="A102" t="str">
            <v>16-119</v>
          </cell>
          <cell r="B102" t="str">
            <v>Wako Chemicals</v>
          </cell>
          <cell r="C102">
            <v>42716</v>
          </cell>
          <cell r="D102">
            <v>2</v>
          </cell>
          <cell r="E102">
            <v>4.2</v>
          </cell>
          <cell r="F102">
            <v>14</v>
          </cell>
          <cell r="G102">
            <v>14</v>
          </cell>
          <cell r="H102">
            <v>42745.4</v>
          </cell>
          <cell r="I102">
            <v>42767</v>
          </cell>
          <cell r="J102">
            <v>42786</v>
          </cell>
          <cell r="K102">
            <v>42793</v>
          </cell>
          <cell r="L102">
            <v>42800</v>
          </cell>
          <cell r="M102">
            <v>42807</v>
          </cell>
          <cell r="N102">
            <v>42814</v>
          </cell>
          <cell r="O102">
            <v>42821</v>
          </cell>
          <cell r="P102">
            <v>42730</v>
          </cell>
          <cell r="Q102">
            <v>42730</v>
          </cell>
          <cell r="R102">
            <v>0</v>
          </cell>
          <cell r="S102">
            <v>42781</v>
          </cell>
          <cell r="T102">
            <v>42782</v>
          </cell>
          <cell r="U102">
            <v>42786</v>
          </cell>
          <cell r="V102">
            <v>42793</v>
          </cell>
          <cell r="W102">
            <v>42800</v>
          </cell>
          <cell r="X102">
            <v>42800</v>
          </cell>
          <cell r="Y102">
            <v>42800</v>
          </cell>
          <cell r="Z102">
            <v>42800</v>
          </cell>
          <cell r="AA102">
            <v>42801</v>
          </cell>
          <cell r="AB102">
            <v>42877</v>
          </cell>
        </row>
        <row r="103">
          <cell r="A103" t="str">
            <v>16-120</v>
          </cell>
          <cell r="B103" t="str">
            <v>Wako Chemicals</v>
          </cell>
          <cell r="C103">
            <v>42716</v>
          </cell>
          <cell r="D103">
            <v>2</v>
          </cell>
          <cell r="E103">
            <v>4.2</v>
          </cell>
          <cell r="F103">
            <v>14</v>
          </cell>
          <cell r="G103">
            <v>14</v>
          </cell>
          <cell r="H103">
            <v>42745.4</v>
          </cell>
          <cell r="I103">
            <v>42767</v>
          </cell>
          <cell r="J103">
            <v>42786</v>
          </cell>
          <cell r="K103">
            <v>42824</v>
          </cell>
          <cell r="L103">
            <v>42831</v>
          </cell>
          <cell r="M103">
            <v>42838</v>
          </cell>
          <cell r="N103">
            <v>42845</v>
          </cell>
          <cell r="O103">
            <v>42852</v>
          </cell>
          <cell r="P103">
            <v>42730</v>
          </cell>
          <cell r="Q103">
            <v>42730</v>
          </cell>
          <cell r="R103">
            <v>0</v>
          </cell>
          <cell r="S103">
            <v>42781</v>
          </cell>
          <cell r="T103">
            <v>42782</v>
          </cell>
          <cell r="U103">
            <v>42786</v>
          </cell>
          <cell r="V103">
            <v>42793</v>
          </cell>
          <cell r="W103">
            <v>42800</v>
          </cell>
          <cell r="X103">
            <v>42800</v>
          </cell>
          <cell r="Y103">
            <v>42800</v>
          </cell>
          <cell r="Z103">
            <v>42800</v>
          </cell>
          <cell r="AA103">
            <v>42801</v>
          </cell>
          <cell r="AB103">
            <v>42877</v>
          </cell>
        </row>
        <row r="104">
          <cell r="A104" t="str">
            <v>16-121</v>
          </cell>
          <cell r="B104" t="str">
            <v>Wako Chemicals</v>
          </cell>
          <cell r="C104">
            <v>42716</v>
          </cell>
          <cell r="D104">
            <v>2</v>
          </cell>
          <cell r="E104">
            <v>4.2</v>
          </cell>
          <cell r="F104">
            <v>14</v>
          </cell>
          <cell r="G104">
            <v>14</v>
          </cell>
          <cell r="H104">
            <v>42745.4</v>
          </cell>
          <cell r="I104">
            <v>42768</v>
          </cell>
          <cell r="J104">
            <v>42786</v>
          </cell>
          <cell r="K104">
            <v>42793</v>
          </cell>
          <cell r="L104">
            <v>42852</v>
          </cell>
          <cell r="M104">
            <v>42859</v>
          </cell>
          <cell r="N104">
            <v>42866</v>
          </cell>
          <cell r="O104">
            <v>42873</v>
          </cell>
          <cell r="P104">
            <v>42730</v>
          </cell>
          <cell r="Q104">
            <v>42730</v>
          </cell>
          <cell r="R104">
            <v>0</v>
          </cell>
          <cell r="S104">
            <v>42847</v>
          </cell>
          <cell r="T104">
            <v>42848</v>
          </cell>
          <cell r="U104">
            <v>42852</v>
          </cell>
          <cell r="V104">
            <v>42859</v>
          </cell>
          <cell r="W104">
            <v>42866</v>
          </cell>
          <cell r="X104">
            <v>42866</v>
          </cell>
          <cell r="Y104">
            <v>42866</v>
          </cell>
          <cell r="Z104">
            <v>42866</v>
          </cell>
          <cell r="AA104">
            <v>42867</v>
          </cell>
          <cell r="AB104">
            <v>42943</v>
          </cell>
        </row>
        <row r="105">
          <cell r="A105" t="str">
            <v>16-122</v>
          </cell>
          <cell r="B105" t="str">
            <v>Wako Chemicals</v>
          </cell>
          <cell r="C105">
            <v>42716</v>
          </cell>
          <cell r="D105">
            <v>2</v>
          </cell>
          <cell r="E105">
            <v>4.2</v>
          </cell>
          <cell r="F105">
            <v>14</v>
          </cell>
          <cell r="G105">
            <v>14</v>
          </cell>
          <cell r="H105">
            <v>42745.4</v>
          </cell>
          <cell r="I105">
            <v>42768</v>
          </cell>
          <cell r="J105">
            <v>42786</v>
          </cell>
          <cell r="K105">
            <v>42793</v>
          </cell>
          <cell r="L105">
            <v>42852</v>
          </cell>
          <cell r="M105">
            <v>42859</v>
          </cell>
          <cell r="N105">
            <v>42866</v>
          </cell>
          <cell r="O105">
            <v>42873</v>
          </cell>
          <cell r="P105">
            <v>42730</v>
          </cell>
          <cell r="Q105">
            <v>42730</v>
          </cell>
          <cell r="R105">
            <v>0</v>
          </cell>
          <cell r="S105">
            <v>42847</v>
          </cell>
          <cell r="T105">
            <v>42848</v>
          </cell>
          <cell r="U105">
            <v>42852</v>
          </cell>
          <cell r="V105">
            <v>42859</v>
          </cell>
          <cell r="W105">
            <v>42866</v>
          </cell>
          <cell r="X105">
            <v>42866</v>
          </cell>
          <cell r="Y105">
            <v>42866</v>
          </cell>
          <cell r="Z105">
            <v>42866</v>
          </cell>
          <cell r="AA105">
            <v>42867</v>
          </cell>
          <cell r="AB105">
            <v>42943</v>
          </cell>
        </row>
        <row r="106">
          <cell r="A106" t="str">
            <v>16-123</v>
          </cell>
          <cell r="B106" t="str">
            <v>Wako Chemicals</v>
          </cell>
          <cell r="C106">
            <v>42716</v>
          </cell>
          <cell r="D106">
            <v>2</v>
          </cell>
          <cell r="E106">
            <v>5.5</v>
          </cell>
          <cell r="F106">
            <v>14</v>
          </cell>
          <cell r="G106">
            <v>12.7</v>
          </cell>
          <cell r="H106">
            <v>42754.5</v>
          </cell>
          <cell r="I106">
            <v>42775</v>
          </cell>
          <cell r="J106">
            <v>42786</v>
          </cell>
          <cell r="K106">
            <v>42793</v>
          </cell>
          <cell r="L106">
            <v>42800</v>
          </cell>
          <cell r="M106">
            <v>42807</v>
          </cell>
          <cell r="N106">
            <v>42814</v>
          </cell>
          <cell r="O106">
            <v>42821</v>
          </cell>
          <cell r="P106">
            <v>42730</v>
          </cell>
          <cell r="Q106">
            <v>42730</v>
          </cell>
          <cell r="R106">
            <v>0</v>
          </cell>
          <cell r="S106">
            <v>42781</v>
          </cell>
          <cell r="T106">
            <v>42782</v>
          </cell>
          <cell r="U106">
            <v>42786</v>
          </cell>
          <cell r="V106">
            <v>42793</v>
          </cell>
          <cell r="W106">
            <v>42800</v>
          </cell>
          <cell r="X106">
            <v>42800</v>
          </cell>
          <cell r="Y106">
            <v>42800</v>
          </cell>
          <cell r="Z106">
            <v>42800</v>
          </cell>
          <cell r="AA106">
            <v>42801</v>
          </cell>
          <cell r="AB106">
            <v>42867.9</v>
          </cell>
        </row>
        <row r="107">
          <cell r="A107" t="str">
            <v>16-124</v>
          </cell>
          <cell r="B107" t="str">
            <v>Wako Chemicals</v>
          </cell>
          <cell r="C107">
            <v>42716</v>
          </cell>
          <cell r="D107">
            <v>2</v>
          </cell>
          <cell r="E107">
            <v>5.5</v>
          </cell>
          <cell r="F107">
            <v>14</v>
          </cell>
          <cell r="G107">
            <v>12.7</v>
          </cell>
          <cell r="H107">
            <v>42754.5</v>
          </cell>
          <cell r="I107">
            <v>42775</v>
          </cell>
          <cell r="J107">
            <v>42786</v>
          </cell>
          <cell r="K107">
            <v>42793</v>
          </cell>
          <cell r="L107">
            <v>42800</v>
          </cell>
          <cell r="M107">
            <v>42807</v>
          </cell>
          <cell r="N107">
            <v>42814</v>
          </cell>
          <cell r="O107">
            <v>42821</v>
          </cell>
          <cell r="P107">
            <v>42730</v>
          </cell>
          <cell r="Q107">
            <v>42730</v>
          </cell>
          <cell r="R107">
            <v>0</v>
          </cell>
          <cell r="S107">
            <v>42781</v>
          </cell>
          <cell r="T107">
            <v>42782</v>
          </cell>
          <cell r="U107">
            <v>42786</v>
          </cell>
          <cell r="V107">
            <v>42793</v>
          </cell>
          <cell r="W107">
            <v>42800</v>
          </cell>
          <cell r="X107">
            <v>42800</v>
          </cell>
          <cell r="Y107">
            <v>42800</v>
          </cell>
          <cell r="Z107">
            <v>42800</v>
          </cell>
          <cell r="AA107">
            <v>42801</v>
          </cell>
          <cell r="AB107">
            <v>42867.9</v>
          </cell>
        </row>
        <row r="108">
          <cell r="A108" t="str">
            <v>16-125</v>
          </cell>
          <cell r="B108" t="str">
            <v>Wako Chemicals</v>
          </cell>
          <cell r="C108">
            <v>42716</v>
          </cell>
          <cell r="D108">
            <v>2</v>
          </cell>
          <cell r="E108">
            <v>5.5</v>
          </cell>
          <cell r="F108">
            <v>14</v>
          </cell>
          <cell r="G108">
            <v>12.7</v>
          </cell>
          <cell r="H108">
            <v>42754.5</v>
          </cell>
          <cell r="I108">
            <v>42776</v>
          </cell>
          <cell r="J108">
            <v>42786</v>
          </cell>
          <cell r="K108">
            <v>42824</v>
          </cell>
          <cell r="L108">
            <v>42831</v>
          </cell>
          <cell r="M108">
            <v>42838</v>
          </cell>
          <cell r="N108">
            <v>42845</v>
          </cell>
          <cell r="O108">
            <v>42852</v>
          </cell>
          <cell r="P108">
            <v>42730</v>
          </cell>
          <cell r="Q108">
            <v>42730</v>
          </cell>
          <cell r="R108">
            <v>0</v>
          </cell>
          <cell r="S108">
            <v>42781</v>
          </cell>
          <cell r="T108">
            <v>42782</v>
          </cell>
          <cell r="U108">
            <v>42786</v>
          </cell>
          <cell r="V108">
            <v>42793</v>
          </cell>
          <cell r="W108">
            <v>42800</v>
          </cell>
          <cell r="X108">
            <v>42800</v>
          </cell>
          <cell r="Y108">
            <v>42800</v>
          </cell>
          <cell r="Z108">
            <v>42800</v>
          </cell>
          <cell r="AA108">
            <v>42801</v>
          </cell>
          <cell r="AB108">
            <v>42867.9</v>
          </cell>
        </row>
        <row r="109">
          <cell r="A109" t="str">
            <v>16-126</v>
          </cell>
          <cell r="B109" t="str">
            <v>Wako Chemicals</v>
          </cell>
          <cell r="C109">
            <v>42716</v>
          </cell>
          <cell r="D109">
            <v>2</v>
          </cell>
          <cell r="E109">
            <v>5.5</v>
          </cell>
          <cell r="F109">
            <v>14</v>
          </cell>
          <cell r="G109">
            <v>12.7</v>
          </cell>
          <cell r="H109">
            <v>42754.5</v>
          </cell>
          <cell r="I109">
            <v>42776</v>
          </cell>
          <cell r="J109">
            <v>42786</v>
          </cell>
          <cell r="K109">
            <v>42824</v>
          </cell>
          <cell r="L109">
            <v>42831</v>
          </cell>
          <cell r="M109">
            <v>42838</v>
          </cell>
          <cell r="N109">
            <v>42845</v>
          </cell>
          <cell r="O109">
            <v>42852</v>
          </cell>
          <cell r="P109">
            <v>42730</v>
          </cell>
          <cell r="Q109">
            <v>42730</v>
          </cell>
          <cell r="R109">
            <v>0</v>
          </cell>
          <cell r="S109">
            <v>42781</v>
          </cell>
          <cell r="T109">
            <v>42782</v>
          </cell>
          <cell r="U109">
            <v>42786</v>
          </cell>
          <cell r="V109">
            <v>42793</v>
          </cell>
          <cell r="W109">
            <v>42800</v>
          </cell>
          <cell r="X109">
            <v>42800</v>
          </cell>
          <cell r="Y109">
            <v>42800</v>
          </cell>
          <cell r="Z109">
            <v>42800</v>
          </cell>
          <cell r="AA109">
            <v>42801</v>
          </cell>
          <cell r="AB109">
            <v>42867.9</v>
          </cell>
        </row>
        <row r="110">
          <cell r="A110" t="str">
            <v>16-127</v>
          </cell>
          <cell r="B110" t="str">
            <v>Wako Chemicals</v>
          </cell>
          <cell r="C110">
            <v>42716</v>
          </cell>
          <cell r="D110">
            <v>3</v>
          </cell>
          <cell r="E110">
            <v>7.5</v>
          </cell>
          <cell r="F110">
            <v>14</v>
          </cell>
          <cell r="G110">
            <v>14.8</v>
          </cell>
          <cell r="H110">
            <v>42768.5</v>
          </cell>
          <cell r="I110">
            <v>42822</v>
          </cell>
          <cell r="J110">
            <v>42856</v>
          </cell>
          <cell r="K110">
            <v>42863</v>
          </cell>
          <cell r="L110">
            <v>42870</v>
          </cell>
          <cell r="M110">
            <v>42877</v>
          </cell>
          <cell r="N110">
            <v>42884</v>
          </cell>
          <cell r="O110">
            <v>42891</v>
          </cell>
          <cell r="P110">
            <v>42730</v>
          </cell>
          <cell r="Q110">
            <v>42730</v>
          </cell>
          <cell r="R110">
            <v>0</v>
          </cell>
          <cell r="S110">
            <v>42851</v>
          </cell>
          <cell r="T110">
            <v>42852</v>
          </cell>
          <cell r="U110">
            <v>42856</v>
          </cell>
          <cell r="V110">
            <v>42863</v>
          </cell>
          <cell r="W110">
            <v>42870</v>
          </cell>
          <cell r="X110">
            <v>42870</v>
          </cell>
          <cell r="Y110">
            <v>42870</v>
          </cell>
          <cell r="Z110">
            <v>42870</v>
          </cell>
          <cell r="AA110">
            <v>42871</v>
          </cell>
          <cell r="AB110">
            <v>42952.6</v>
          </cell>
        </row>
        <row r="111">
          <cell r="A111" t="str">
            <v>16-128</v>
          </cell>
          <cell r="B111" t="str">
            <v>Wako Chemicals</v>
          </cell>
          <cell r="C111">
            <v>42716</v>
          </cell>
          <cell r="D111">
            <v>3</v>
          </cell>
          <cell r="E111">
            <v>7.5</v>
          </cell>
          <cell r="F111">
            <v>14</v>
          </cell>
          <cell r="G111">
            <v>14.8</v>
          </cell>
          <cell r="H111">
            <v>42768.5</v>
          </cell>
          <cell r="I111">
            <v>42822</v>
          </cell>
          <cell r="J111">
            <v>42858</v>
          </cell>
          <cell r="K111">
            <v>42865</v>
          </cell>
          <cell r="L111">
            <v>42872</v>
          </cell>
          <cell r="M111">
            <v>42879</v>
          </cell>
          <cell r="N111">
            <v>42886</v>
          </cell>
          <cell r="O111">
            <v>42893</v>
          </cell>
          <cell r="P111">
            <v>42730</v>
          </cell>
          <cell r="Q111">
            <v>42730</v>
          </cell>
          <cell r="R111">
            <v>0</v>
          </cell>
          <cell r="S111">
            <v>42853</v>
          </cell>
          <cell r="T111">
            <v>42854</v>
          </cell>
          <cell r="U111">
            <v>42858</v>
          </cell>
          <cell r="V111">
            <v>42865</v>
          </cell>
          <cell r="W111">
            <v>42872</v>
          </cell>
          <cell r="X111">
            <v>42872</v>
          </cell>
          <cell r="Y111">
            <v>42872</v>
          </cell>
          <cell r="Z111">
            <v>42872</v>
          </cell>
          <cell r="AA111">
            <v>42873</v>
          </cell>
          <cell r="AB111">
            <v>42954.6</v>
          </cell>
        </row>
        <row r="112">
          <cell r="A112" t="str">
            <v>16-129</v>
          </cell>
          <cell r="B112" t="str">
            <v>Wako Chemicals</v>
          </cell>
          <cell r="C112">
            <v>42716</v>
          </cell>
          <cell r="D112">
            <v>3</v>
          </cell>
          <cell r="E112">
            <v>7.5</v>
          </cell>
          <cell r="F112">
            <v>14</v>
          </cell>
          <cell r="G112">
            <v>14.8</v>
          </cell>
          <cell r="H112">
            <v>42768.5</v>
          </cell>
          <cell r="I112">
            <v>42822</v>
          </cell>
          <cell r="J112">
            <v>42858</v>
          </cell>
          <cell r="K112">
            <v>42865</v>
          </cell>
          <cell r="L112">
            <v>42872</v>
          </cell>
          <cell r="M112">
            <v>42879</v>
          </cell>
          <cell r="N112">
            <v>42886</v>
          </cell>
          <cell r="O112">
            <v>42893</v>
          </cell>
          <cell r="P112">
            <v>42730</v>
          </cell>
          <cell r="Q112">
            <v>42730</v>
          </cell>
          <cell r="R112">
            <v>0</v>
          </cell>
          <cell r="S112">
            <v>42853</v>
          </cell>
          <cell r="T112">
            <v>42854</v>
          </cell>
          <cell r="U112">
            <v>42858</v>
          </cell>
          <cell r="V112">
            <v>42865</v>
          </cell>
          <cell r="W112">
            <v>42872</v>
          </cell>
          <cell r="X112">
            <v>42872</v>
          </cell>
          <cell r="Y112">
            <v>42872</v>
          </cell>
          <cell r="Z112">
            <v>42872</v>
          </cell>
          <cell r="AA112">
            <v>42873</v>
          </cell>
          <cell r="AB112">
            <v>42954.6</v>
          </cell>
        </row>
        <row r="113">
          <cell r="A113" t="str">
            <v>16-130</v>
          </cell>
          <cell r="B113" t="str">
            <v>Wako Chemicals</v>
          </cell>
          <cell r="C113">
            <v>42716</v>
          </cell>
          <cell r="D113">
            <v>3</v>
          </cell>
          <cell r="E113">
            <v>7.5</v>
          </cell>
          <cell r="F113">
            <v>14</v>
          </cell>
          <cell r="G113">
            <v>14.8</v>
          </cell>
          <cell r="H113">
            <v>42768.5</v>
          </cell>
          <cell r="I113">
            <v>42822</v>
          </cell>
          <cell r="J113">
            <v>42863</v>
          </cell>
          <cell r="K113">
            <v>42870</v>
          </cell>
          <cell r="L113">
            <v>42877</v>
          </cell>
          <cell r="M113">
            <v>42884</v>
          </cell>
          <cell r="N113">
            <v>42891</v>
          </cell>
          <cell r="O113">
            <v>42898</v>
          </cell>
          <cell r="P113">
            <v>42730</v>
          </cell>
          <cell r="Q113">
            <v>42730</v>
          </cell>
          <cell r="R113">
            <v>0</v>
          </cell>
          <cell r="S113">
            <v>42858</v>
          </cell>
          <cell r="T113">
            <v>42859</v>
          </cell>
          <cell r="U113">
            <v>42863</v>
          </cell>
          <cell r="V113">
            <v>42870</v>
          </cell>
          <cell r="W113">
            <v>42877</v>
          </cell>
          <cell r="X113">
            <v>42877</v>
          </cell>
          <cell r="Y113">
            <v>42877</v>
          </cell>
          <cell r="Z113">
            <v>42877</v>
          </cell>
          <cell r="AA113">
            <v>42878</v>
          </cell>
          <cell r="AB113">
            <v>42959.6</v>
          </cell>
        </row>
        <row r="114">
          <cell r="A114" t="str">
            <v>16-131</v>
          </cell>
          <cell r="B114" t="str">
            <v>Wako Chemicals</v>
          </cell>
          <cell r="C114">
            <v>42716</v>
          </cell>
          <cell r="D114">
            <v>3</v>
          </cell>
          <cell r="E114">
            <v>8.5</v>
          </cell>
          <cell r="F114">
            <v>14</v>
          </cell>
          <cell r="G114">
            <v>13.8</v>
          </cell>
          <cell r="H114">
            <v>42775.5</v>
          </cell>
          <cell r="I114">
            <v>42824</v>
          </cell>
          <cell r="J114">
            <v>42852</v>
          </cell>
          <cell r="K114">
            <v>42859</v>
          </cell>
          <cell r="L114">
            <v>42866</v>
          </cell>
          <cell r="M114">
            <v>42873</v>
          </cell>
          <cell r="N114">
            <v>42880</v>
          </cell>
          <cell r="O114">
            <v>42887</v>
          </cell>
          <cell r="P114">
            <v>42730</v>
          </cell>
          <cell r="Q114">
            <v>42730</v>
          </cell>
          <cell r="R114">
            <v>0</v>
          </cell>
          <cell r="S114">
            <v>42847</v>
          </cell>
          <cell r="T114">
            <v>42848</v>
          </cell>
          <cell r="U114">
            <v>42852</v>
          </cell>
          <cell r="V114">
            <v>42859</v>
          </cell>
          <cell r="W114">
            <v>42866</v>
          </cell>
          <cell r="X114">
            <v>42866</v>
          </cell>
          <cell r="Y114">
            <v>42866</v>
          </cell>
          <cell r="Z114">
            <v>42866</v>
          </cell>
          <cell r="AA114">
            <v>42867</v>
          </cell>
          <cell r="AB114">
            <v>42941.599999999999</v>
          </cell>
        </row>
        <row r="115">
          <cell r="A115" t="str">
            <v>16-132</v>
          </cell>
          <cell r="B115" t="str">
            <v>Wako Chemicals</v>
          </cell>
          <cell r="C115">
            <v>42716</v>
          </cell>
          <cell r="D115">
            <v>3</v>
          </cell>
          <cell r="E115">
            <v>8.5</v>
          </cell>
          <cell r="F115">
            <v>14</v>
          </cell>
          <cell r="G115">
            <v>13.8</v>
          </cell>
          <cell r="H115">
            <v>42775.5</v>
          </cell>
          <cell r="I115">
            <v>42824</v>
          </cell>
          <cell r="J115">
            <v>42858</v>
          </cell>
          <cell r="K115">
            <v>42865</v>
          </cell>
          <cell r="L115">
            <v>42872</v>
          </cell>
          <cell r="M115">
            <v>42879</v>
          </cell>
          <cell r="N115">
            <v>42886</v>
          </cell>
          <cell r="O115">
            <v>42893</v>
          </cell>
          <cell r="P115">
            <v>42730</v>
          </cell>
          <cell r="Q115">
            <v>42730</v>
          </cell>
          <cell r="R115">
            <v>0</v>
          </cell>
          <cell r="S115">
            <v>42853</v>
          </cell>
          <cell r="T115">
            <v>42854</v>
          </cell>
          <cell r="U115">
            <v>42858</v>
          </cell>
          <cell r="V115">
            <v>42865</v>
          </cell>
          <cell r="W115">
            <v>42872</v>
          </cell>
          <cell r="X115">
            <v>42872</v>
          </cell>
          <cell r="Y115">
            <v>42872</v>
          </cell>
          <cell r="Z115">
            <v>42872</v>
          </cell>
          <cell r="AA115">
            <v>42873</v>
          </cell>
          <cell r="AB115">
            <v>42947.6</v>
          </cell>
        </row>
        <row r="116">
          <cell r="A116" t="str">
            <v>16-133</v>
          </cell>
          <cell r="B116" t="str">
            <v>Wako Chemicals</v>
          </cell>
          <cell r="C116">
            <v>42716</v>
          </cell>
          <cell r="D116">
            <v>3</v>
          </cell>
          <cell r="E116">
            <v>8.5</v>
          </cell>
          <cell r="F116">
            <v>14</v>
          </cell>
          <cell r="G116">
            <v>13.8</v>
          </cell>
          <cell r="H116">
            <v>42775.5</v>
          </cell>
          <cell r="I116">
            <v>42824</v>
          </cell>
          <cell r="J116">
            <v>42856</v>
          </cell>
          <cell r="K116">
            <v>42863</v>
          </cell>
          <cell r="L116">
            <v>42870</v>
          </cell>
          <cell r="M116">
            <v>42877</v>
          </cell>
          <cell r="N116">
            <v>42884</v>
          </cell>
          <cell r="O116">
            <v>42891</v>
          </cell>
          <cell r="P116">
            <v>42730</v>
          </cell>
          <cell r="Q116">
            <v>42730</v>
          </cell>
          <cell r="R116">
            <v>0</v>
          </cell>
          <cell r="S116">
            <v>42851</v>
          </cell>
          <cell r="T116">
            <v>42852</v>
          </cell>
          <cell r="U116">
            <v>42856</v>
          </cell>
          <cell r="V116">
            <v>42863</v>
          </cell>
          <cell r="W116">
            <v>42870</v>
          </cell>
          <cell r="X116">
            <v>42870</v>
          </cell>
          <cell r="Y116">
            <v>42870</v>
          </cell>
          <cell r="Z116">
            <v>42870</v>
          </cell>
          <cell r="AA116">
            <v>42871</v>
          </cell>
          <cell r="AB116">
            <v>42945.599999999999</v>
          </cell>
        </row>
        <row r="117">
          <cell r="A117" t="str">
            <v>16-134</v>
          </cell>
          <cell r="B117" t="str">
            <v>Wako Chemicals</v>
          </cell>
          <cell r="C117">
            <v>42716</v>
          </cell>
          <cell r="D117">
            <v>3</v>
          </cell>
          <cell r="E117">
            <v>8.5</v>
          </cell>
          <cell r="F117">
            <v>14</v>
          </cell>
          <cell r="G117">
            <v>13.8</v>
          </cell>
          <cell r="H117">
            <v>42775.5</v>
          </cell>
          <cell r="I117">
            <v>42829</v>
          </cell>
          <cell r="J117">
            <v>42856</v>
          </cell>
          <cell r="K117">
            <v>42863</v>
          </cell>
          <cell r="L117">
            <v>42870</v>
          </cell>
          <cell r="M117">
            <v>42877</v>
          </cell>
          <cell r="N117">
            <v>42884</v>
          </cell>
          <cell r="O117">
            <v>42891</v>
          </cell>
          <cell r="P117">
            <v>42730</v>
          </cell>
          <cell r="Q117">
            <v>42730</v>
          </cell>
          <cell r="R117">
            <v>0</v>
          </cell>
          <cell r="S117">
            <v>42851</v>
          </cell>
          <cell r="T117">
            <v>42852</v>
          </cell>
          <cell r="U117">
            <v>42856</v>
          </cell>
          <cell r="V117">
            <v>42863</v>
          </cell>
          <cell r="W117">
            <v>42870</v>
          </cell>
          <cell r="X117">
            <v>42870</v>
          </cell>
          <cell r="Y117">
            <v>42870</v>
          </cell>
          <cell r="Z117">
            <v>42870</v>
          </cell>
          <cell r="AA117">
            <v>42871</v>
          </cell>
          <cell r="AB117">
            <v>42945.599999999999</v>
          </cell>
        </row>
        <row r="118">
          <cell r="A118" t="str">
            <v>16-135</v>
          </cell>
          <cell r="B118" t="str">
            <v>Wako Chemicals</v>
          </cell>
          <cell r="C118">
            <v>42716</v>
          </cell>
          <cell r="D118">
            <v>3</v>
          </cell>
          <cell r="E118">
            <v>8.5</v>
          </cell>
          <cell r="F118">
            <v>14</v>
          </cell>
          <cell r="G118">
            <v>13.8</v>
          </cell>
          <cell r="H118">
            <v>42775.5</v>
          </cell>
          <cell r="I118">
            <v>42829</v>
          </cell>
          <cell r="J118">
            <v>42856</v>
          </cell>
          <cell r="K118">
            <v>42863</v>
          </cell>
          <cell r="L118">
            <v>42870</v>
          </cell>
          <cell r="M118">
            <v>42877</v>
          </cell>
          <cell r="N118">
            <v>42884</v>
          </cell>
          <cell r="O118">
            <v>42891</v>
          </cell>
          <cell r="P118">
            <v>42730</v>
          </cell>
          <cell r="Q118">
            <v>42730</v>
          </cell>
          <cell r="R118">
            <v>0</v>
          </cell>
          <cell r="S118">
            <v>42851</v>
          </cell>
          <cell r="T118">
            <v>42852</v>
          </cell>
          <cell r="U118">
            <v>42856</v>
          </cell>
          <cell r="V118">
            <v>42863</v>
          </cell>
          <cell r="W118">
            <v>42870</v>
          </cell>
          <cell r="X118">
            <v>42870</v>
          </cell>
          <cell r="Y118">
            <v>42870</v>
          </cell>
          <cell r="Z118">
            <v>42870</v>
          </cell>
          <cell r="AA118">
            <v>42871</v>
          </cell>
          <cell r="AB118">
            <v>42945.599999999999</v>
          </cell>
        </row>
        <row r="119">
          <cell r="A119" t="str">
            <v>16-136</v>
          </cell>
          <cell r="B119" t="str">
            <v>Wako Chemicals</v>
          </cell>
          <cell r="C119">
            <v>42716</v>
          </cell>
          <cell r="D119">
            <v>3</v>
          </cell>
          <cell r="E119">
            <v>8.5</v>
          </cell>
          <cell r="F119">
            <v>14</v>
          </cell>
          <cell r="G119">
            <v>13.8</v>
          </cell>
          <cell r="H119">
            <v>42775.5</v>
          </cell>
          <cell r="I119">
            <v>42829</v>
          </cell>
          <cell r="J119">
            <v>42856</v>
          </cell>
          <cell r="K119">
            <v>42863</v>
          </cell>
          <cell r="L119">
            <v>42870</v>
          </cell>
          <cell r="M119">
            <v>42877</v>
          </cell>
          <cell r="N119">
            <v>42884</v>
          </cell>
          <cell r="O119">
            <v>42891</v>
          </cell>
          <cell r="P119">
            <v>42730</v>
          </cell>
          <cell r="Q119">
            <v>42730</v>
          </cell>
          <cell r="R119">
            <v>0</v>
          </cell>
          <cell r="S119">
            <v>42851</v>
          </cell>
          <cell r="T119">
            <v>42852</v>
          </cell>
          <cell r="U119">
            <v>42856</v>
          </cell>
          <cell r="V119">
            <v>42863</v>
          </cell>
          <cell r="W119">
            <v>42870</v>
          </cell>
          <cell r="X119">
            <v>42870</v>
          </cell>
          <cell r="Y119">
            <v>42870</v>
          </cell>
          <cell r="Z119">
            <v>42870</v>
          </cell>
          <cell r="AA119">
            <v>42871</v>
          </cell>
          <cell r="AB119">
            <v>42945.599999999999</v>
          </cell>
        </row>
        <row r="120">
          <cell r="A120" t="str">
            <v>16-137</v>
          </cell>
          <cell r="B120" t="str">
            <v>Wako Chemicals</v>
          </cell>
          <cell r="C120">
            <v>42716</v>
          </cell>
          <cell r="D120">
            <v>3</v>
          </cell>
          <cell r="E120">
            <v>9.1999999999999993</v>
          </cell>
          <cell r="F120">
            <v>14</v>
          </cell>
          <cell r="G120">
            <v>13</v>
          </cell>
          <cell r="H120">
            <v>42780.4</v>
          </cell>
          <cell r="I120">
            <v>42822</v>
          </cell>
          <cell r="J120">
            <v>42863</v>
          </cell>
          <cell r="K120">
            <v>42870</v>
          </cell>
          <cell r="L120">
            <v>42877</v>
          </cell>
          <cell r="M120">
            <v>42884</v>
          </cell>
          <cell r="N120">
            <v>42891</v>
          </cell>
          <cell r="O120">
            <v>42898</v>
          </cell>
          <cell r="P120">
            <v>42730</v>
          </cell>
          <cell r="Q120">
            <v>42730</v>
          </cell>
          <cell r="R120">
            <v>0</v>
          </cell>
          <cell r="S120">
            <v>42858</v>
          </cell>
          <cell r="T120">
            <v>42859</v>
          </cell>
          <cell r="U120">
            <v>42863</v>
          </cell>
          <cell r="V120">
            <v>42870</v>
          </cell>
          <cell r="W120">
            <v>42877</v>
          </cell>
          <cell r="X120">
            <v>42877</v>
          </cell>
          <cell r="Y120">
            <v>42877</v>
          </cell>
          <cell r="Z120">
            <v>42877</v>
          </cell>
          <cell r="AA120">
            <v>42878</v>
          </cell>
          <cell r="AB120">
            <v>42947</v>
          </cell>
        </row>
        <row r="121">
          <cell r="A121" t="str">
            <v>16-138</v>
          </cell>
          <cell r="B121" t="str">
            <v>US Sugar</v>
          </cell>
          <cell r="C121">
            <v>42718</v>
          </cell>
          <cell r="D121">
            <v>1</v>
          </cell>
          <cell r="E121">
            <v>2</v>
          </cell>
          <cell r="F121">
            <v>12</v>
          </cell>
          <cell r="G121">
            <v>13</v>
          </cell>
          <cell r="H121">
            <v>42732</v>
          </cell>
          <cell r="I121">
            <v>42752</v>
          </cell>
          <cell r="J121">
            <v>42780</v>
          </cell>
          <cell r="K121">
            <v>42787</v>
          </cell>
          <cell r="L121">
            <v>42794</v>
          </cell>
          <cell r="M121">
            <v>42801</v>
          </cell>
          <cell r="N121">
            <v>42808</v>
          </cell>
          <cell r="O121">
            <v>42815</v>
          </cell>
          <cell r="P121">
            <v>42732</v>
          </cell>
          <cell r="Q121">
            <v>42732</v>
          </cell>
          <cell r="R121">
            <v>0</v>
          </cell>
          <cell r="S121">
            <v>42775</v>
          </cell>
          <cell r="T121">
            <v>42776</v>
          </cell>
          <cell r="U121">
            <v>42780</v>
          </cell>
          <cell r="V121">
            <v>42787</v>
          </cell>
          <cell r="W121">
            <v>42794</v>
          </cell>
          <cell r="X121">
            <v>42794</v>
          </cell>
          <cell r="Y121">
            <v>42794</v>
          </cell>
          <cell r="Z121">
            <v>42794</v>
          </cell>
          <cell r="AA121">
            <v>42795</v>
          </cell>
          <cell r="AB121">
            <v>42864</v>
          </cell>
        </row>
        <row r="122">
          <cell r="A122" t="str">
            <v>16-139</v>
          </cell>
          <cell r="B122" t="str">
            <v>Allnex</v>
          </cell>
          <cell r="C122">
            <v>42723</v>
          </cell>
          <cell r="D122">
            <v>2</v>
          </cell>
          <cell r="E122">
            <v>3</v>
          </cell>
          <cell r="F122">
            <v>14</v>
          </cell>
          <cell r="G122">
            <v>16</v>
          </cell>
          <cell r="H122">
            <v>42744</v>
          </cell>
          <cell r="I122">
            <v>42768</v>
          </cell>
          <cell r="J122">
            <v>42773</v>
          </cell>
          <cell r="K122">
            <v>42804</v>
          </cell>
          <cell r="L122">
            <v>42814</v>
          </cell>
          <cell r="M122">
            <v>42821</v>
          </cell>
          <cell r="N122">
            <v>42828</v>
          </cell>
          <cell r="O122">
            <v>42835</v>
          </cell>
          <cell r="P122">
            <v>42737</v>
          </cell>
          <cell r="Q122">
            <v>42737</v>
          </cell>
          <cell r="R122">
            <v>0</v>
          </cell>
          <cell r="S122">
            <v>42809</v>
          </cell>
          <cell r="T122">
            <v>42810</v>
          </cell>
          <cell r="U122">
            <v>42814</v>
          </cell>
          <cell r="V122">
            <v>42821</v>
          </cell>
          <cell r="W122">
            <v>42828</v>
          </cell>
          <cell r="X122">
            <v>42828</v>
          </cell>
          <cell r="Y122">
            <v>42828</v>
          </cell>
          <cell r="Z122">
            <v>42828</v>
          </cell>
          <cell r="AA122">
            <v>42829</v>
          </cell>
          <cell r="AB122">
            <v>42919</v>
          </cell>
        </row>
        <row r="123">
          <cell r="A123" t="str">
            <v>17-001</v>
          </cell>
          <cell r="B123" t="str">
            <v>Amec</v>
          </cell>
          <cell r="C123">
            <v>42746</v>
          </cell>
          <cell r="D123">
            <v>3</v>
          </cell>
          <cell r="E123">
            <v>4</v>
          </cell>
          <cell r="F123">
            <v>14</v>
          </cell>
          <cell r="G123">
            <v>16</v>
          </cell>
          <cell r="H123">
            <v>42774</v>
          </cell>
          <cell r="I123">
            <v>42783</v>
          </cell>
          <cell r="J123">
            <v>42789</v>
          </cell>
          <cell r="K123">
            <v>42822</v>
          </cell>
          <cell r="L123">
            <v>42829</v>
          </cell>
          <cell r="M123">
            <v>42836</v>
          </cell>
          <cell r="N123">
            <v>42843</v>
          </cell>
          <cell r="O123">
            <v>42850</v>
          </cell>
          <cell r="P123">
            <v>42760</v>
          </cell>
          <cell r="Q123">
            <v>42760</v>
          </cell>
          <cell r="R123">
            <v>0</v>
          </cell>
          <cell r="S123">
            <v>42784</v>
          </cell>
          <cell r="T123">
            <v>42785</v>
          </cell>
          <cell r="U123">
            <v>42789</v>
          </cell>
          <cell r="V123">
            <v>42796</v>
          </cell>
          <cell r="W123">
            <v>42803</v>
          </cell>
          <cell r="X123">
            <v>42803</v>
          </cell>
          <cell r="Y123">
            <v>42803</v>
          </cell>
          <cell r="Z123">
            <v>42803</v>
          </cell>
          <cell r="AA123">
            <v>42804</v>
          </cell>
          <cell r="AB123">
            <v>42894</v>
          </cell>
        </row>
        <row r="124">
          <cell r="A124" t="str">
            <v>17-002</v>
          </cell>
          <cell r="B124" t="str">
            <v>Amec</v>
          </cell>
          <cell r="C124">
            <v>42746</v>
          </cell>
          <cell r="D124">
            <v>3</v>
          </cell>
          <cell r="E124">
            <v>4</v>
          </cell>
          <cell r="F124">
            <v>14</v>
          </cell>
          <cell r="G124">
            <v>16</v>
          </cell>
          <cell r="H124">
            <v>42774</v>
          </cell>
          <cell r="I124">
            <v>42783</v>
          </cell>
          <cell r="J124">
            <v>42789</v>
          </cell>
          <cell r="K124">
            <v>42822</v>
          </cell>
          <cell r="L124">
            <v>42829</v>
          </cell>
          <cell r="M124">
            <v>42836</v>
          </cell>
          <cell r="N124">
            <v>42843</v>
          </cell>
          <cell r="O124">
            <v>42850</v>
          </cell>
          <cell r="P124">
            <v>42760</v>
          </cell>
          <cell r="Q124">
            <v>42760</v>
          </cell>
          <cell r="R124">
            <v>0</v>
          </cell>
          <cell r="S124">
            <v>42784</v>
          </cell>
          <cell r="T124">
            <v>42785</v>
          </cell>
          <cell r="U124">
            <v>42789</v>
          </cell>
          <cell r="V124">
            <v>42796</v>
          </cell>
          <cell r="W124">
            <v>42803</v>
          </cell>
          <cell r="X124">
            <v>42803</v>
          </cell>
          <cell r="Y124">
            <v>42803</v>
          </cell>
          <cell r="Z124">
            <v>42803</v>
          </cell>
          <cell r="AA124">
            <v>42804</v>
          </cell>
          <cell r="AB124">
            <v>42894</v>
          </cell>
        </row>
        <row r="125">
          <cell r="A125" t="str">
            <v>17-003</v>
          </cell>
          <cell r="B125" t="str">
            <v>Amec</v>
          </cell>
          <cell r="C125">
            <v>42746</v>
          </cell>
          <cell r="D125">
            <v>3</v>
          </cell>
          <cell r="E125">
            <v>4</v>
          </cell>
          <cell r="F125">
            <v>14</v>
          </cell>
          <cell r="G125">
            <v>16</v>
          </cell>
          <cell r="H125">
            <v>42774</v>
          </cell>
          <cell r="I125">
            <v>42783</v>
          </cell>
          <cell r="J125">
            <v>42789</v>
          </cell>
          <cell r="K125">
            <v>42822</v>
          </cell>
          <cell r="L125">
            <v>42829</v>
          </cell>
          <cell r="M125">
            <v>42836</v>
          </cell>
          <cell r="N125">
            <v>42843</v>
          </cell>
          <cell r="O125">
            <v>42850</v>
          </cell>
          <cell r="P125">
            <v>42760</v>
          </cell>
          <cell r="Q125">
            <v>42760</v>
          </cell>
          <cell r="R125">
            <v>0</v>
          </cell>
          <cell r="S125">
            <v>42784</v>
          </cell>
          <cell r="T125">
            <v>42785</v>
          </cell>
          <cell r="U125">
            <v>42789</v>
          </cell>
          <cell r="V125">
            <v>42796</v>
          </cell>
          <cell r="W125">
            <v>42803</v>
          </cell>
          <cell r="X125">
            <v>42803</v>
          </cell>
          <cell r="Y125">
            <v>42803</v>
          </cell>
          <cell r="Z125">
            <v>42803</v>
          </cell>
          <cell r="AA125">
            <v>42804</v>
          </cell>
          <cell r="AB125">
            <v>42894</v>
          </cell>
        </row>
        <row r="126">
          <cell r="A126" t="str">
            <v>17-004</v>
          </cell>
          <cell r="B126" t="str">
            <v>Amec</v>
          </cell>
          <cell r="C126">
            <v>42746</v>
          </cell>
          <cell r="D126">
            <v>3</v>
          </cell>
          <cell r="E126">
            <v>4</v>
          </cell>
          <cell r="F126">
            <v>14</v>
          </cell>
          <cell r="G126">
            <v>16</v>
          </cell>
          <cell r="H126">
            <v>42774</v>
          </cell>
          <cell r="I126">
            <v>42783</v>
          </cell>
          <cell r="J126">
            <v>42789</v>
          </cell>
          <cell r="K126">
            <v>42822</v>
          </cell>
          <cell r="L126">
            <v>42829</v>
          </cell>
          <cell r="M126">
            <v>42836</v>
          </cell>
          <cell r="N126">
            <v>42843</v>
          </cell>
          <cell r="O126">
            <v>42850</v>
          </cell>
          <cell r="P126">
            <v>42760</v>
          </cell>
          <cell r="Q126">
            <v>42760</v>
          </cell>
          <cell r="R126">
            <v>0</v>
          </cell>
          <cell r="S126">
            <v>42784</v>
          </cell>
          <cell r="T126">
            <v>42785</v>
          </cell>
          <cell r="U126">
            <v>42789</v>
          </cell>
          <cell r="V126">
            <v>42796</v>
          </cell>
          <cell r="W126">
            <v>42803</v>
          </cell>
          <cell r="X126">
            <v>42803</v>
          </cell>
          <cell r="Y126">
            <v>42803</v>
          </cell>
          <cell r="Z126">
            <v>42803</v>
          </cell>
          <cell r="AA126">
            <v>42804</v>
          </cell>
          <cell r="AB126">
            <v>42894</v>
          </cell>
        </row>
        <row r="127">
          <cell r="A127" t="str">
            <v>17-005</v>
          </cell>
          <cell r="B127" t="str">
            <v>Amec</v>
          </cell>
          <cell r="C127">
            <v>42746</v>
          </cell>
          <cell r="D127">
            <v>3</v>
          </cell>
          <cell r="E127">
            <v>4</v>
          </cell>
          <cell r="F127">
            <v>14</v>
          </cell>
          <cell r="G127">
            <v>16</v>
          </cell>
          <cell r="H127">
            <v>42774</v>
          </cell>
          <cell r="I127">
            <v>42783</v>
          </cell>
          <cell r="J127">
            <v>42789</v>
          </cell>
          <cell r="K127">
            <v>42822</v>
          </cell>
          <cell r="L127">
            <v>42829</v>
          </cell>
          <cell r="M127">
            <v>42836</v>
          </cell>
          <cell r="N127">
            <v>42843</v>
          </cell>
          <cell r="O127">
            <v>42850</v>
          </cell>
          <cell r="P127">
            <v>42760</v>
          </cell>
          <cell r="Q127">
            <v>42760</v>
          </cell>
          <cell r="R127">
            <v>0</v>
          </cell>
          <cell r="S127">
            <v>42784</v>
          </cell>
          <cell r="T127">
            <v>42785</v>
          </cell>
          <cell r="U127">
            <v>42789</v>
          </cell>
          <cell r="V127">
            <v>42796</v>
          </cell>
          <cell r="W127">
            <v>42803</v>
          </cell>
          <cell r="X127">
            <v>42803</v>
          </cell>
          <cell r="Y127">
            <v>42803</v>
          </cell>
          <cell r="Z127">
            <v>42803</v>
          </cell>
          <cell r="AA127">
            <v>42804</v>
          </cell>
          <cell r="AB127">
            <v>42894</v>
          </cell>
        </row>
        <row r="128">
          <cell r="A128" t="str">
            <v>17-006</v>
          </cell>
          <cell r="B128" t="str">
            <v>Amec</v>
          </cell>
          <cell r="C128">
            <v>42746</v>
          </cell>
          <cell r="D128">
            <v>3</v>
          </cell>
          <cell r="E128">
            <v>4</v>
          </cell>
          <cell r="F128">
            <v>16</v>
          </cell>
          <cell r="G128">
            <v>18</v>
          </cell>
          <cell r="H128">
            <v>42774</v>
          </cell>
          <cell r="I128">
            <v>42783</v>
          </cell>
          <cell r="J128">
            <v>42789</v>
          </cell>
          <cell r="K128">
            <v>42796</v>
          </cell>
          <cell r="L128">
            <v>42803</v>
          </cell>
          <cell r="M128">
            <v>42810</v>
          </cell>
          <cell r="N128">
            <v>42817</v>
          </cell>
          <cell r="O128">
            <v>42824</v>
          </cell>
          <cell r="P128">
            <v>42760</v>
          </cell>
          <cell r="Q128">
            <v>42760</v>
          </cell>
          <cell r="R128">
            <v>0</v>
          </cell>
          <cell r="S128">
            <v>42784</v>
          </cell>
          <cell r="T128">
            <v>42785</v>
          </cell>
          <cell r="U128">
            <v>42789</v>
          </cell>
          <cell r="V128">
            <v>42796</v>
          </cell>
          <cell r="W128">
            <v>42803</v>
          </cell>
          <cell r="X128">
            <v>42803</v>
          </cell>
          <cell r="Y128">
            <v>42803</v>
          </cell>
          <cell r="Z128">
            <v>42803</v>
          </cell>
          <cell r="AA128">
            <v>42804</v>
          </cell>
          <cell r="AB128">
            <v>42908</v>
          </cell>
        </row>
        <row r="129">
          <cell r="A129" t="str">
            <v>17-010</v>
          </cell>
          <cell r="B129" t="str">
            <v>Solvay</v>
          </cell>
          <cell r="C129">
            <v>42774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42774</v>
          </cell>
          <cell r="I129">
            <v>42788</v>
          </cell>
          <cell r="J129">
            <v>42795</v>
          </cell>
          <cell r="K129">
            <v>42802</v>
          </cell>
          <cell r="L129">
            <v>42809</v>
          </cell>
          <cell r="M129">
            <v>42816</v>
          </cell>
          <cell r="N129">
            <v>42823</v>
          </cell>
          <cell r="O129">
            <v>42830</v>
          </cell>
          <cell r="P129">
            <v>42788</v>
          </cell>
          <cell r="Q129">
            <v>42788</v>
          </cell>
          <cell r="R129">
            <v>0</v>
          </cell>
          <cell r="S129">
            <v>42790</v>
          </cell>
          <cell r="T129">
            <v>42791</v>
          </cell>
          <cell r="U129">
            <v>42795</v>
          </cell>
          <cell r="V129">
            <v>42802</v>
          </cell>
          <cell r="W129">
            <v>42809</v>
          </cell>
          <cell r="X129">
            <v>42809</v>
          </cell>
          <cell r="Y129">
            <v>42809</v>
          </cell>
          <cell r="Z129">
            <v>42809</v>
          </cell>
          <cell r="AA129">
            <v>42810</v>
          </cell>
          <cell r="AB129">
            <v>42788</v>
          </cell>
        </row>
        <row r="130">
          <cell r="A130" t="str">
            <v>17-012</v>
          </cell>
          <cell r="B130" t="str">
            <v>Halocarbon</v>
          </cell>
          <cell r="C130">
            <v>42787</v>
          </cell>
          <cell r="D130">
            <v>0</v>
          </cell>
          <cell r="E130">
            <v>2</v>
          </cell>
          <cell r="F130">
            <v>15</v>
          </cell>
          <cell r="G130">
            <v>16</v>
          </cell>
          <cell r="H130">
            <v>42801</v>
          </cell>
          <cell r="I130">
            <v>42815</v>
          </cell>
          <cell r="J130">
            <v>42811</v>
          </cell>
          <cell r="K130">
            <v>42821</v>
          </cell>
          <cell r="L130">
            <v>42822</v>
          </cell>
          <cell r="M130">
            <v>42829</v>
          </cell>
          <cell r="N130">
            <v>42836</v>
          </cell>
          <cell r="O130">
            <v>42843</v>
          </cell>
          <cell r="P130">
            <v>42801</v>
          </cell>
          <cell r="Q130">
            <v>42801</v>
          </cell>
          <cell r="R130">
            <v>0</v>
          </cell>
          <cell r="S130">
            <v>42817</v>
          </cell>
          <cell r="T130">
            <v>42818</v>
          </cell>
          <cell r="U130">
            <v>42822</v>
          </cell>
          <cell r="V130">
            <v>42829</v>
          </cell>
          <cell r="W130">
            <v>42836</v>
          </cell>
          <cell r="X130">
            <v>42836</v>
          </cell>
          <cell r="Y130">
            <v>42836</v>
          </cell>
          <cell r="Z130">
            <v>42836</v>
          </cell>
          <cell r="AA130">
            <v>42837</v>
          </cell>
          <cell r="AB130">
            <v>42927</v>
          </cell>
        </row>
        <row r="131">
          <cell r="A131" t="str">
            <v>17-013</v>
          </cell>
          <cell r="B131" t="str">
            <v>Thiele Kaolin</v>
          </cell>
          <cell r="C131">
            <v>42801</v>
          </cell>
          <cell r="D131">
            <v>2</v>
          </cell>
          <cell r="E131">
            <v>3</v>
          </cell>
          <cell r="F131">
            <v>10</v>
          </cell>
          <cell r="G131">
            <v>12</v>
          </cell>
          <cell r="H131">
            <v>42822</v>
          </cell>
          <cell r="I131">
            <v>42835</v>
          </cell>
          <cell r="J131">
            <v>42842</v>
          </cell>
          <cell r="K131">
            <v>42849</v>
          </cell>
          <cell r="L131">
            <v>42856</v>
          </cell>
          <cell r="M131">
            <v>42863</v>
          </cell>
          <cell r="N131">
            <v>42870</v>
          </cell>
          <cell r="O131">
            <v>42877</v>
          </cell>
          <cell r="P131">
            <v>42815</v>
          </cell>
          <cell r="Q131">
            <v>42815</v>
          </cell>
          <cell r="R131">
            <v>0</v>
          </cell>
          <cell r="S131">
            <v>42837</v>
          </cell>
          <cell r="T131">
            <v>42838</v>
          </cell>
          <cell r="U131">
            <v>42842</v>
          </cell>
          <cell r="V131">
            <v>42849</v>
          </cell>
          <cell r="W131">
            <v>42856</v>
          </cell>
          <cell r="X131">
            <v>42856</v>
          </cell>
          <cell r="Y131">
            <v>42856</v>
          </cell>
          <cell r="Z131">
            <v>42856</v>
          </cell>
          <cell r="AA131">
            <v>42857</v>
          </cell>
          <cell r="AB131">
            <v>42919</v>
          </cell>
        </row>
        <row r="132">
          <cell r="A132" t="str">
            <v>17-014</v>
          </cell>
          <cell r="B132" t="str">
            <v>US Sugar</v>
          </cell>
          <cell r="C132">
            <v>42810</v>
          </cell>
          <cell r="D132">
            <v>2</v>
          </cell>
          <cell r="E132">
            <v>3</v>
          </cell>
          <cell r="F132">
            <v>11</v>
          </cell>
          <cell r="G132">
            <v>12</v>
          </cell>
          <cell r="H132">
            <v>42831</v>
          </cell>
          <cell r="I132">
            <v>42844</v>
          </cell>
          <cell r="J132">
            <v>42843</v>
          </cell>
          <cell r="K132">
            <v>42850</v>
          </cell>
          <cell r="L132">
            <v>42857</v>
          </cell>
          <cell r="M132">
            <v>42864</v>
          </cell>
          <cell r="N132">
            <v>42871</v>
          </cell>
          <cell r="O132">
            <v>42878</v>
          </cell>
          <cell r="P132">
            <v>42824</v>
          </cell>
          <cell r="Q132">
            <v>42824</v>
          </cell>
          <cell r="R132">
            <v>0</v>
          </cell>
          <cell r="S132">
            <v>42838</v>
          </cell>
          <cell r="T132">
            <v>42839</v>
          </cell>
          <cell r="U132">
            <v>42843</v>
          </cell>
          <cell r="V132">
            <v>42850</v>
          </cell>
          <cell r="W132">
            <v>42857</v>
          </cell>
          <cell r="X132">
            <v>42857</v>
          </cell>
          <cell r="Y132">
            <v>42857</v>
          </cell>
          <cell r="Z132">
            <v>42857</v>
          </cell>
          <cell r="AA132">
            <v>42858</v>
          </cell>
          <cell r="AB132">
            <v>42920</v>
          </cell>
        </row>
        <row r="133">
          <cell r="A133" t="str">
            <v>17-015</v>
          </cell>
          <cell r="B133" t="str">
            <v>Ashland</v>
          </cell>
          <cell r="C133">
            <v>42825</v>
          </cell>
          <cell r="D133">
            <v>2</v>
          </cell>
          <cell r="E133">
            <v>3</v>
          </cell>
          <cell r="F133">
            <v>15</v>
          </cell>
          <cell r="G133">
            <v>16</v>
          </cell>
          <cell r="H133">
            <v>42846</v>
          </cell>
          <cell r="I133">
            <v>42860</v>
          </cell>
          <cell r="J133">
            <v>42863</v>
          </cell>
          <cell r="K133">
            <v>42905</v>
          </cell>
          <cell r="L133">
            <v>42907</v>
          </cell>
          <cell r="M133">
            <v>42919</v>
          </cell>
          <cell r="N133">
            <v>42928</v>
          </cell>
          <cell r="O133">
            <v>42954</v>
          </cell>
          <cell r="P133">
            <v>42839</v>
          </cell>
          <cell r="Q133">
            <v>42839</v>
          </cell>
          <cell r="R133">
            <v>0</v>
          </cell>
          <cell r="S133">
            <v>42923</v>
          </cell>
          <cell r="T133">
            <v>42924</v>
          </cell>
          <cell r="U133">
            <v>42928</v>
          </cell>
          <cell r="V133">
            <v>42935</v>
          </cell>
          <cell r="W133">
            <v>42942</v>
          </cell>
          <cell r="X133">
            <v>42942</v>
          </cell>
          <cell r="Y133">
            <v>42942</v>
          </cell>
          <cell r="Z133">
            <v>42942</v>
          </cell>
          <cell r="AA133">
            <v>42943</v>
          </cell>
          <cell r="AB133">
            <v>43033</v>
          </cell>
        </row>
        <row r="134">
          <cell r="A134" t="str">
            <v>17-016</v>
          </cell>
          <cell r="B134" t="str">
            <v>Ashland</v>
          </cell>
          <cell r="C134">
            <v>42825</v>
          </cell>
          <cell r="D134">
            <v>2</v>
          </cell>
          <cell r="E134">
            <v>3</v>
          </cell>
          <cell r="F134">
            <v>15</v>
          </cell>
          <cell r="G134">
            <v>16</v>
          </cell>
          <cell r="H134">
            <v>42846</v>
          </cell>
          <cell r="I134">
            <v>42912</v>
          </cell>
          <cell r="J134">
            <v>42907</v>
          </cell>
          <cell r="K134">
            <v>42919</v>
          </cell>
          <cell r="L134">
            <v>42928</v>
          </cell>
          <cell r="M134">
            <v>42919</v>
          </cell>
          <cell r="N134">
            <v>42928</v>
          </cell>
          <cell r="O134">
            <v>42954</v>
          </cell>
          <cell r="P134">
            <v>42839</v>
          </cell>
          <cell r="Q134">
            <v>42839</v>
          </cell>
          <cell r="R134">
            <v>0</v>
          </cell>
          <cell r="S134">
            <v>42923</v>
          </cell>
          <cell r="T134">
            <v>42924</v>
          </cell>
          <cell r="U134">
            <v>42928</v>
          </cell>
          <cell r="V134">
            <v>42935</v>
          </cell>
          <cell r="W134">
            <v>42942</v>
          </cell>
          <cell r="X134">
            <v>42942</v>
          </cell>
          <cell r="Y134">
            <v>42942</v>
          </cell>
          <cell r="Z134">
            <v>42942</v>
          </cell>
          <cell r="AA134">
            <v>42943</v>
          </cell>
          <cell r="AB134">
            <v>43033</v>
          </cell>
        </row>
        <row r="135">
          <cell r="A135" t="str">
            <v>17-017</v>
          </cell>
          <cell r="B135" t="str">
            <v>Coperion</v>
          </cell>
          <cell r="C135">
            <v>42845</v>
          </cell>
          <cell r="D135">
            <v>1</v>
          </cell>
          <cell r="E135">
            <v>2</v>
          </cell>
          <cell r="F135">
            <v>8</v>
          </cell>
          <cell r="G135">
            <v>9</v>
          </cell>
          <cell r="H135">
            <v>42859</v>
          </cell>
          <cell r="I135">
            <v>42873</v>
          </cell>
          <cell r="J135">
            <v>42873</v>
          </cell>
          <cell r="K135">
            <v>42880</v>
          </cell>
          <cell r="L135">
            <v>42887</v>
          </cell>
          <cell r="M135">
            <v>42894</v>
          </cell>
          <cell r="N135">
            <v>42901</v>
          </cell>
          <cell r="O135">
            <v>42908</v>
          </cell>
          <cell r="P135">
            <v>42859</v>
          </cell>
          <cell r="Q135">
            <v>42859</v>
          </cell>
          <cell r="R135">
            <v>0</v>
          </cell>
          <cell r="S135">
            <v>42868</v>
          </cell>
          <cell r="T135">
            <v>42869</v>
          </cell>
          <cell r="U135">
            <v>42873</v>
          </cell>
          <cell r="V135">
            <v>42880</v>
          </cell>
          <cell r="W135">
            <v>42887</v>
          </cell>
          <cell r="X135">
            <v>42887</v>
          </cell>
          <cell r="Y135">
            <v>42887</v>
          </cell>
          <cell r="Z135">
            <v>42887</v>
          </cell>
          <cell r="AA135">
            <v>42888</v>
          </cell>
          <cell r="AB135">
            <v>42929</v>
          </cell>
        </row>
        <row r="136">
          <cell r="A136" t="str">
            <v>17-018</v>
          </cell>
          <cell r="B136" t="str">
            <v>Coperion</v>
          </cell>
          <cell r="C136">
            <v>42845</v>
          </cell>
          <cell r="D136">
            <v>1</v>
          </cell>
          <cell r="E136">
            <v>2</v>
          </cell>
          <cell r="F136">
            <v>8</v>
          </cell>
          <cell r="G136">
            <v>9</v>
          </cell>
          <cell r="H136">
            <v>42859</v>
          </cell>
          <cell r="I136">
            <v>42873</v>
          </cell>
          <cell r="J136">
            <v>42873</v>
          </cell>
          <cell r="K136">
            <v>42880</v>
          </cell>
          <cell r="L136">
            <v>42887</v>
          </cell>
          <cell r="M136">
            <v>42894</v>
          </cell>
          <cell r="N136">
            <v>42901</v>
          </cell>
          <cell r="O136">
            <v>42908</v>
          </cell>
          <cell r="P136">
            <v>42859</v>
          </cell>
          <cell r="Q136">
            <v>42859</v>
          </cell>
          <cell r="R136">
            <v>0</v>
          </cell>
          <cell r="S136">
            <v>42868</v>
          </cell>
          <cell r="T136">
            <v>42869</v>
          </cell>
          <cell r="U136">
            <v>42873</v>
          </cell>
          <cell r="V136">
            <v>42880</v>
          </cell>
          <cell r="W136">
            <v>42887</v>
          </cell>
          <cell r="X136">
            <v>42887</v>
          </cell>
          <cell r="Y136">
            <v>42887</v>
          </cell>
          <cell r="Z136">
            <v>42887</v>
          </cell>
          <cell r="AA136">
            <v>42888</v>
          </cell>
          <cell r="AB136">
            <v>42929</v>
          </cell>
        </row>
        <row r="137">
          <cell r="A137" t="str">
            <v>17-019</v>
          </cell>
          <cell r="B137" t="str">
            <v>Coperion</v>
          </cell>
          <cell r="C137">
            <v>42845</v>
          </cell>
          <cell r="D137">
            <v>1</v>
          </cell>
          <cell r="E137">
            <v>2</v>
          </cell>
          <cell r="F137">
            <v>8</v>
          </cell>
          <cell r="G137">
            <v>9</v>
          </cell>
          <cell r="H137">
            <v>42859</v>
          </cell>
          <cell r="I137">
            <v>42873</v>
          </cell>
          <cell r="J137">
            <v>42873</v>
          </cell>
          <cell r="K137">
            <v>42880</v>
          </cell>
          <cell r="L137">
            <v>42887</v>
          </cell>
          <cell r="M137">
            <v>42894</v>
          </cell>
          <cell r="N137">
            <v>42901</v>
          </cell>
          <cell r="O137">
            <v>42908</v>
          </cell>
          <cell r="P137">
            <v>42859</v>
          </cell>
          <cell r="Q137">
            <v>42859</v>
          </cell>
          <cell r="R137">
            <v>0</v>
          </cell>
          <cell r="S137">
            <v>42868</v>
          </cell>
          <cell r="T137">
            <v>42869</v>
          </cell>
          <cell r="U137">
            <v>42873</v>
          </cell>
          <cell r="V137">
            <v>42880</v>
          </cell>
          <cell r="W137">
            <v>42887</v>
          </cell>
          <cell r="X137">
            <v>42887</v>
          </cell>
          <cell r="Y137">
            <v>42887</v>
          </cell>
          <cell r="Z137">
            <v>42887</v>
          </cell>
          <cell r="AA137">
            <v>42888</v>
          </cell>
          <cell r="AB137">
            <v>42929</v>
          </cell>
        </row>
        <row r="138">
          <cell r="A138" t="str">
            <v>17-020</v>
          </cell>
          <cell r="B138" t="str">
            <v>Coperion</v>
          </cell>
          <cell r="C138">
            <v>42845</v>
          </cell>
          <cell r="D138">
            <v>1</v>
          </cell>
          <cell r="E138">
            <v>2</v>
          </cell>
          <cell r="F138">
            <v>8</v>
          </cell>
          <cell r="G138">
            <v>9</v>
          </cell>
          <cell r="H138">
            <v>42859</v>
          </cell>
          <cell r="I138">
            <v>42873</v>
          </cell>
          <cell r="J138">
            <v>42873</v>
          </cell>
          <cell r="K138">
            <v>42880</v>
          </cell>
          <cell r="L138">
            <v>42887</v>
          </cell>
          <cell r="M138">
            <v>42894</v>
          </cell>
          <cell r="N138">
            <v>42901</v>
          </cell>
          <cell r="O138">
            <v>42908</v>
          </cell>
          <cell r="P138">
            <v>42859</v>
          </cell>
          <cell r="Q138">
            <v>42859</v>
          </cell>
          <cell r="R138">
            <v>0</v>
          </cell>
          <cell r="S138">
            <v>42868</v>
          </cell>
          <cell r="T138">
            <v>42869</v>
          </cell>
          <cell r="U138">
            <v>42873</v>
          </cell>
          <cell r="V138">
            <v>42880</v>
          </cell>
          <cell r="W138">
            <v>42887</v>
          </cell>
          <cell r="X138">
            <v>42887</v>
          </cell>
          <cell r="Y138">
            <v>42887</v>
          </cell>
          <cell r="Z138">
            <v>42887</v>
          </cell>
          <cell r="AA138">
            <v>42888</v>
          </cell>
          <cell r="AB138">
            <v>42929</v>
          </cell>
        </row>
        <row r="139">
          <cell r="A139" t="str">
            <v>17-021</v>
          </cell>
          <cell r="B139" t="str">
            <v>Coperion</v>
          </cell>
          <cell r="C139">
            <v>42845</v>
          </cell>
          <cell r="D139">
            <v>2</v>
          </cell>
          <cell r="E139">
            <v>3</v>
          </cell>
          <cell r="F139">
            <v>10</v>
          </cell>
          <cell r="G139">
            <v>11</v>
          </cell>
          <cell r="H139">
            <v>42866</v>
          </cell>
          <cell r="I139">
            <v>42874</v>
          </cell>
          <cell r="J139">
            <v>42873</v>
          </cell>
          <cell r="K139">
            <v>42880</v>
          </cell>
          <cell r="L139">
            <v>42887</v>
          </cell>
          <cell r="M139">
            <v>42894</v>
          </cell>
          <cell r="N139">
            <v>42901</v>
          </cell>
          <cell r="O139">
            <v>42908</v>
          </cell>
          <cell r="P139">
            <v>42859</v>
          </cell>
          <cell r="Q139">
            <v>42859</v>
          </cell>
          <cell r="R139">
            <v>0</v>
          </cell>
          <cell r="S139">
            <v>42868</v>
          </cell>
          <cell r="T139">
            <v>42869</v>
          </cell>
          <cell r="U139">
            <v>42873</v>
          </cell>
          <cell r="V139">
            <v>42880</v>
          </cell>
          <cell r="W139">
            <v>42887</v>
          </cell>
          <cell r="X139">
            <v>42887</v>
          </cell>
          <cell r="Y139">
            <v>42887</v>
          </cell>
          <cell r="Z139">
            <v>42887</v>
          </cell>
          <cell r="AA139">
            <v>42888</v>
          </cell>
          <cell r="AB139">
            <v>42943</v>
          </cell>
        </row>
        <row r="140">
          <cell r="A140" t="str">
            <v>17-022</v>
          </cell>
          <cell r="B140" t="str">
            <v>Coperion</v>
          </cell>
          <cell r="C140">
            <v>42845</v>
          </cell>
          <cell r="D140">
            <v>2</v>
          </cell>
          <cell r="E140">
            <v>3</v>
          </cell>
          <cell r="F140">
            <v>10</v>
          </cell>
          <cell r="G140">
            <v>11</v>
          </cell>
          <cell r="H140">
            <v>42866</v>
          </cell>
          <cell r="I140">
            <v>42874</v>
          </cell>
          <cell r="J140">
            <v>42873</v>
          </cell>
          <cell r="K140">
            <v>42880</v>
          </cell>
          <cell r="L140">
            <v>42887</v>
          </cell>
          <cell r="M140">
            <v>42894</v>
          </cell>
          <cell r="N140">
            <v>42901</v>
          </cell>
          <cell r="O140">
            <v>42908</v>
          </cell>
          <cell r="P140">
            <v>42859</v>
          </cell>
          <cell r="Q140">
            <v>42859</v>
          </cell>
          <cell r="R140">
            <v>0</v>
          </cell>
          <cell r="S140">
            <v>42868</v>
          </cell>
          <cell r="T140">
            <v>42869</v>
          </cell>
          <cell r="U140">
            <v>42873</v>
          </cell>
          <cell r="V140">
            <v>42880</v>
          </cell>
          <cell r="W140">
            <v>42887</v>
          </cell>
          <cell r="X140">
            <v>42887</v>
          </cell>
          <cell r="Y140">
            <v>42887</v>
          </cell>
          <cell r="Z140">
            <v>42887</v>
          </cell>
          <cell r="AA140">
            <v>42888</v>
          </cell>
          <cell r="AB140">
            <v>42943</v>
          </cell>
        </row>
        <row r="141">
          <cell r="A141" t="str">
            <v>17-023</v>
          </cell>
          <cell r="B141" t="str">
            <v>Coperion</v>
          </cell>
          <cell r="C141">
            <v>42845</v>
          </cell>
          <cell r="D141">
            <v>2</v>
          </cell>
          <cell r="E141">
            <v>3</v>
          </cell>
          <cell r="F141">
            <v>10</v>
          </cell>
          <cell r="G141">
            <v>11</v>
          </cell>
          <cell r="H141">
            <v>42866</v>
          </cell>
          <cell r="I141">
            <v>42874</v>
          </cell>
          <cell r="J141">
            <v>42873</v>
          </cell>
          <cell r="K141">
            <v>42880</v>
          </cell>
          <cell r="L141">
            <v>42887</v>
          </cell>
          <cell r="M141">
            <v>42894</v>
          </cell>
          <cell r="N141">
            <v>42901</v>
          </cell>
          <cell r="O141">
            <v>42908</v>
          </cell>
          <cell r="P141">
            <v>42859</v>
          </cell>
          <cell r="Q141">
            <v>42859</v>
          </cell>
          <cell r="R141">
            <v>0</v>
          </cell>
          <cell r="S141">
            <v>42868</v>
          </cell>
          <cell r="T141">
            <v>42869</v>
          </cell>
          <cell r="U141">
            <v>42873</v>
          </cell>
          <cell r="V141">
            <v>42880</v>
          </cell>
          <cell r="W141">
            <v>42887</v>
          </cell>
          <cell r="X141">
            <v>42887</v>
          </cell>
          <cell r="Y141">
            <v>42887</v>
          </cell>
          <cell r="Z141">
            <v>42887</v>
          </cell>
          <cell r="AA141">
            <v>42888</v>
          </cell>
          <cell r="AB141">
            <v>42943</v>
          </cell>
        </row>
        <row r="142">
          <cell r="A142" t="str">
            <v>17-024</v>
          </cell>
          <cell r="B142" t="str">
            <v>Coperion</v>
          </cell>
          <cell r="C142">
            <v>42845</v>
          </cell>
          <cell r="D142">
            <v>2</v>
          </cell>
          <cell r="E142">
            <v>3</v>
          </cell>
          <cell r="F142">
            <v>10</v>
          </cell>
          <cell r="G142">
            <v>11</v>
          </cell>
          <cell r="H142">
            <v>42866</v>
          </cell>
          <cell r="I142">
            <v>42874</v>
          </cell>
          <cell r="J142">
            <v>42873</v>
          </cell>
          <cell r="K142">
            <v>42880</v>
          </cell>
          <cell r="L142">
            <v>42887</v>
          </cell>
          <cell r="M142">
            <v>42894</v>
          </cell>
          <cell r="N142">
            <v>42901</v>
          </cell>
          <cell r="O142">
            <v>42908</v>
          </cell>
          <cell r="P142">
            <v>42859</v>
          </cell>
          <cell r="Q142">
            <v>42859</v>
          </cell>
          <cell r="R142">
            <v>0</v>
          </cell>
          <cell r="S142">
            <v>42868</v>
          </cell>
          <cell r="T142">
            <v>42869</v>
          </cell>
          <cell r="U142">
            <v>42873</v>
          </cell>
          <cell r="V142">
            <v>42880</v>
          </cell>
          <cell r="W142">
            <v>42887</v>
          </cell>
          <cell r="X142">
            <v>42887</v>
          </cell>
          <cell r="Y142">
            <v>42887</v>
          </cell>
          <cell r="Z142">
            <v>42887</v>
          </cell>
          <cell r="AA142">
            <v>42888</v>
          </cell>
          <cell r="AB142">
            <v>42943</v>
          </cell>
        </row>
        <row r="143">
          <cell r="A143" t="str">
            <v>17-025</v>
          </cell>
          <cell r="B143" t="str">
            <v>Garrett</v>
          </cell>
          <cell r="C143">
            <v>42849</v>
          </cell>
          <cell r="D143">
            <v>2</v>
          </cell>
          <cell r="E143">
            <v>3</v>
          </cell>
          <cell r="F143">
            <v>0</v>
          </cell>
          <cell r="G143">
            <v>0</v>
          </cell>
          <cell r="H143">
            <v>42870</v>
          </cell>
          <cell r="I143">
            <v>42863</v>
          </cell>
          <cell r="J143">
            <v>42856</v>
          </cell>
          <cell r="K143">
            <v>42863</v>
          </cell>
          <cell r="L143">
            <v>42870</v>
          </cell>
          <cell r="M143">
            <v>42877</v>
          </cell>
          <cell r="N143">
            <v>42884</v>
          </cell>
          <cell r="O143">
            <v>42891</v>
          </cell>
          <cell r="P143">
            <v>42863</v>
          </cell>
          <cell r="Q143">
            <v>42863</v>
          </cell>
          <cell r="R143">
            <v>0</v>
          </cell>
          <cell r="S143">
            <v>42851</v>
          </cell>
          <cell r="T143">
            <v>42852</v>
          </cell>
          <cell r="U143">
            <v>42856</v>
          </cell>
          <cell r="V143">
            <v>42863</v>
          </cell>
          <cell r="W143">
            <v>42870</v>
          </cell>
          <cell r="X143">
            <v>42870</v>
          </cell>
          <cell r="Y143">
            <v>42870</v>
          </cell>
          <cell r="Z143">
            <v>42870</v>
          </cell>
          <cell r="AA143">
            <v>42871</v>
          </cell>
          <cell r="AB143">
            <v>42849</v>
          </cell>
        </row>
        <row r="144">
          <cell r="A144" t="str">
            <v>17-027</v>
          </cell>
          <cell r="B144" t="str">
            <v>Solvay</v>
          </cell>
          <cell r="C144">
            <v>42863</v>
          </cell>
          <cell r="D144">
            <v>2</v>
          </cell>
          <cell r="E144">
            <v>3</v>
          </cell>
          <cell r="F144">
            <v>8</v>
          </cell>
          <cell r="G144">
            <v>10</v>
          </cell>
          <cell r="H144">
            <v>42884</v>
          </cell>
          <cell r="I144">
            <v>42888</v>
          </cell>
          <cell r="J144">
            <v>42894</v>
          </cell>
          <cell r="K144">
            <v>42901</v>
          </cell>
          <cell r="L144">
            <v>42908</v>
          </cell>
          <cell r="M144">
            <v>42915</v>
          </cell>
          <cell r="N144">
            <v>42922</v>
          </cell>
          <cell r="O144">
            <v>42929</v>
          </cell>
          <cell r="P144">
            <v>42877</v>
          </cell>
          <cell r="Q144">
            <v>42877</v>
          </cell>
          <cell r="R144">
            <v>0</v>
          </cell>
          <cell r="S144">
            <v>42889</v>
          </cell>
          <cell r="T144">
            <v>42890</v>
          </cell>
          <cell r="U144">
            <v>42894</v>
          </cell>
          <cell r="V144">
            <v>42901</v>
          </cell>
          <cell r="W144">
            <v>42908</v>
          </cell>
          <cell r="X144">
            <v>42908</v>
          </cell>
          <cell r="Y144">
            <v>42908</v>
          </cell>
          <cell r="Z144">
            <v>42908</v>
          </cell>
          <cell r="AA144">
            <v>42909</v>
          </cell>
          <cell r="AB144">
            <v>42957</v>
          </cell>
        </row>
        <row r="145">
          <cell r="A145" t="str">
            <v>17-028</v>
          </cell>
          <cell r="B145" t="str">
            <v>Savannah Tank</v>
          </cell>
          <cell r="C145">
            <v>42871</v>
          </cell>
          <cell r="D145">
            <v>1</v>
          </cell>
          <cell r="E145">
            <v>1</v>
          </cell>
          <cell r="F145">
            <v>1</v>
          </cell>
          <cell r="G145">
            <v>2</v>
          </cell>
          <cell r="H145">
            <v>42878</v>
          </cell>
          <cell r="I145">
            <v>42894</v>
          </cell>
          <cell r="J145">
            <v>42887</v>
          </cell>
          <cell r="K145">
            <v>42894</v>
          </cell>
          <cell r="L145">
            <v>42901</v>
          </cell>
          <cell r="M145">
            <v>42908</v>
          </cell>
          <cell r="N145">
            <v>42915</v>
          </cell>
          <cell r="O145">
            <v>42922</v>
          </cell>
          <cell r="P145">
            <v>42885</v>
          </cell>
          <cell r="Q145">
            <v>42885</v>
          </cell>
          <cell r="R145">
            <v>0</v>
          </cell>
          <cell r="S145">
            <v>42882</v>
          </cell>
          <cell r="T145">
            <v>42883</v>
          </cell>
          <cell r="U145">
            <v>42887</v>
          </cell>
          <cell r="V145">
            <v>42894</v>
          </cell>
          <cell r="W145">
            <v>42901</v>
          </cell>
          <cell r="X145">
            <v>42901</v>
          </cell>
          <cell r="Y145">
            <v>42901</v>
          </cell>
          <cell r="Z145">
            <v>42901</v>
          </cell>
          <cell r="AA145">
            <v>42902</v>
          </cell>
          <cell r="AB145">
            <v>42894</v>
          </cell>
        </row>
        <row r="146">
          <cell r="A146" t="str">
            <v>17-029</v>
          </cell>
          <cell r="B146" t="str">
            <v>BCR</v>
          </cell>
          <cell r="C146">
            <v>42873</v>
          </cell>
          <cell r="D146">
            <v>1</v>
          </cell>
          <cell r="E146">
            <v>2</v>
          </cell>
          <cell r="F146">
            <v>12</v>
          </cell>
          <cell r="G146">
            <v>14</v>
          </cell>
          <cell r="H146">
            <v>42887</v>
          </cell>
          <cell r="I146">
            <v>42899</v>
          </cell>
          <cell r="J146">
            <v>42906</v>
          </cell>
          <cell r="K146">
            <v>42913</v>
          </cell>
          <cell r="L146">
            <v>42920</v>
          </cell>
          <cell r="M146">
            <v>42927</v>
          </cell>
          <cell r="N146">
            <v>42934</v>
          </cell>
          <cell r="O146">
            <v>42941</v>
          </cell>
          <cell r="P146">
            <v>42887</v>
          </cell>
          <cell r="Q146">
            <v>42887</v>
          </cell>
          <cell r="R146">
            <v>0</v>
          </cell>
          <cell r="S146">
            <v>42901</v>
          </cell>
          <cell r="T146">
            <v>42902</v>
          </cell>
          <cell r="U146">
            <v>42906</v>
          </cell>
          <cell r="V146">
            <v>42913</v>
          </cell>
          <cell r="W146">
            <v>42920</v>
          </cell>
          <cell r="X146">
            <v>42920</v>
          </cell>
          <cell r="Y146">
            <v>42920</v>
          </cell>
          <cell r="Z146">
            <v>42920</v>
          </cell>
          <cell r="AA146">
            <v>42921</v>
          </cell>
          <cell r="AB146">
            <v>42997</v>
          </cell>
        </row>
        <row r="147">
          <cell r="A147" t="str">
            <v>17-030</v>
          </cell>
          <cell r="B147" t="str">
            <v>BCR</v>
          </cell>
          <cell r="C147">
            <v>42873</v>
          </cell>
          <cell r="D147">
            <v>1</v>
          </cell>
          <cell r="E147">
            <v>2</v>
          </cell>
          <cell r="F147">
            <v>12</v>
          </cell>
          <cell r="G147">
            <v>14</v>
          </cell>
          <cell r="H147">
            <v>42887</v>
          </cell>
          <cell r="I147">
            <v>42899</v>
          </cell>
          <cell r="J147">
            <v>42906</v>
          </cell>
          <cell r="K147">
            <v>42913</v>
          </cell>
          <cell r="L147">
            <v>42920</v>
          </cell>
          <cell r="M147">
            <v>42927</v>
          </cell>
          <cell r="N147">
            <v>42934</v>
          </cell>
          <cell r="O147">
            <v>42941</v>
          </cell>
          <cell r="P147">
            <v>42887</v>
          </cell>
          <cell r="Q147">
            <v>42887</v>
          </cell>
          <cell r="R147">
            <v>0</v>
          </cell>
          <cell r="S147">
            <v>42901</v>
          </cell>
          <cell r="T147">
            <v>42902</v>
          </cell>
          <cell r="U147">
            <v>42906</v>
          </cell>
          <cell r="V147">
            <v>42913</v>
          </cell>
          <cell r="W147">
            <v>42920</v>
          </cell>
          <cell r="X147">
            <v>42920</v>
          </cell>
          <cell r="Y147">
            <v>42920</v>
          </cell>
          <cell r="Z147">
            <v>42920</v>
          </cell>
          <cell r="AA147">
            <v>42921</v>
          </cell>
          <cell r="AB147">
            <v>42997</v>
          </cell>
        </row>
        <row r="148">
          <cell r="A148" t="str">
            <v>17-031</v>
          </cell>
          <cell r="B148" t="str">
            <v>PCS Nitrogen</v>
          </cell>
          <cell r="C148">
            <v>42885</v>
          </cell>
          <cell r="D148">
            <v>1</v>
          </cell>
          <cell r="E148">
            <v>2</v>
          </cell>
          <cell r="F148">
            <v>13</v>
          </cell>
          <cell r="G148">
            <v>14</v>
          </cell>
          <cell r="H148">
            <v>42899</v>
          </cell>
          <cell r="I148">
            <v>42926</v>
          </cell>
          <cell r="J148">
            <v>42926</v>
          </cell>
          <cell r="K148">
            <v>42933</v>
          </cell>
          <cell r="L148">
            <v>42940</v>
          </cell>
          <cell r="M148">
            <v>42947</v>
          </cell>
          <cell r="N148">
            <v>42954</v>
          </cell>
          <cell r="O148">
            <v>42961</v>
          </cell>
          <cell r="P148">
            <v>42899</v>
          </cell>
          <cell r="Q148">
            <v>42899</v>
          </cell>
          <cell r="R148">
            <v>0</v>
          </cell>
          <cell r="S148">
            <v>42921</v>
          </cell>
          <cell r="T148">
            <v>42922</v>
          </cell>
          <cell r="U148">
            <v>42926</v>
          </cell>
          <cell r="V148">
            <v>42933</v>
          </cell>
          <cell r="W148">
            <v>42940</v>
          </cell>
          <cell r="X148">
            <v>42940</v>
          </cell>
          <cell r="Y148">
            <v>42940</v>
          </cell>
          <cell r="Z148">
            <v>42940</v>
          </cell>
          <cell r="AA148">
            <v>42941</v>
          </cell>
          <cell r="AB148">
            <v>43017</v>
          </cell>
        </row>
        <row r="149">
          <cell r="A149" t="str">
            <v>17-032</v>
          </cell>
          <cell r="B149" t="str">
            <v>Wako</v>
          </cell>
          <cell r="C149">
            <v>42887</v>
          </cell>
          <cell r="D149">
            <v>1</v>
          </cell>
          <cell r="E149">
            <v>2</v>
          </cell>
          <cell r="F149">
            <v>8</v>
          </cell>
          <cell r="G149">
            <v>9</v>
          </cell>
          <cell r="H149">
            <v>42901</v>
          </cell>
          <cell r="I149">
            <v>42909</v>
          </cell>
          <cell r="J149">
            <v>42916</v>
          </cell>
          <cell r="K149">
            <v>42923</v>
          </cell>
          <cell r="L149">
            <v>42930</v>
          </cell>
          <cell r="M149">
            <v>42937</v>
          </cell>
          <cell r="N149">
            <v>42944</v>
          </cell>
          <cell r="O149">
            <v>42951</v>
          </cell>
          <cell r="P149">
            <v>42901</v>
          </cell>
          <cell r="Q149">
            <v>42901</v>
          </cell>
          <cell r="R149">
            <v>0</v>
          </cell>
          <cell r="S149">
            <v>42911</v>
          </cell>
          <cell r="T149">
            <v>42912</v>
          </cell>
          <cell r="U149">
            <v>42916</v>
          </cell>
          <cell r="V149">
            <v>42923</v>
          </cell>
          <cell r="W149">
            <v>42930</v>
          </cell>
          <cell r="X149">
            <v>42930</v>
          </cell>
          <cell r="Y149">
            <v>42930</v>
          </cell>
          <cell r="Z149">
            <v>42930</v>
          </cell>
          <cell r="AA149">
            <v>42931</v>
          </cell>
          <cell r="AB149">
            <v>42972</v>
          </cell>
        </row>
        <row r="150">
          <cell r="A150" t="str">
            <v>17-033</v>
          </cell>
          <cell r="B150" t="str">
            <v>Wako</v>
          </cell>
          <cell r="C150">
            <v>42887</v>
          </cell>
          <cell r="D150">
            <v>1</v>
          </cell>
          <cell r="E150">
            <v>2</v>
          </cell>
          <cell r="F150">
            <v>8</v>
          </cell>
          <cell r="G150">
            <v>9</v>
          </cell>
          <cell r="H150">
            <v>42901</v>
          </cell>
          <cell r="I150">
            <v>42909</v>
          </cell>
          <cell r="J150">
            <v>42916</v>
          </cell>
          <cell r="K150">
            <v>42923</v>
          </cell>
          <cell r="L150">
            <v>42930</v>
          </cell>
          <cell r="M150">
            <v>42937</v>
          </cell>
          <cell r="N150">
            <v>42944</v>
          </cell>
          <cell r="O150">
            <v>42951</v>
          </cell>
          <cell r="P150">
            <v>42901</v>
          </cell>
          <cell r="Q150">
            <v>42901</v>
          </cell>
          <cell r="R150">
            <v>0</v>
          </cell>
          <cell r="S150">
            <v>42911</v>
          </cell>
          <cell r="T150">
            <v>42912</v>
          </cell>
          <cell r="U150">
            <v>42916</v>
          </cell>
          <cell r="V150">
            <v>42923</v>
          </cell>
          <cell r="W150">
            <v>42930</v>
          </cell>
          <cell r="X150">
            <v>42930</v>
          </cell>
          <cell r="Y150">
            <v>42930</v>
          </cell>
          <cell r="Z150">
            <v>42930</v>
          </cell>
          <cell r="AA150">
            <v>42931</v>
          </cell>
          <cell r="AB150">
            <v>42972</v>
          </cell>
        </row>
        <row r="151">
          <cell r="A151" t="str">
            <v>17-034</v>
          </cell>
          <cell r="B151" t="str">
            <v>Stepan</v>
          </cell>
          <cell r="C151">
            <v>42891</v>
          </cell>
          <cell r="D151">
            <v>1</v>
          </cell>
          <cell r="E151">
            <v>2</v>
          </cell>
          <cell r="F151">
            <v>12</v>
          </cell>
          <cell r="G151">
            <v>12</v>
          </cell>
          <cell r="H151">
            <v>42905</v>
          </cell>
          <cell r="I151">
            <v>42920</v>
          </cell>
          <cell r="J151">
            <v>42916</v>
          </cell>
          <cell r="K151">
            <v>42936</v>
          </cell>
          <cell r="L151">
            <v>42937</v>
          </cell>
          <cell r="M151">
            <v>42944</v>
          </cell>
          <cell r="N151">
            <v>42951</v>
          </cell>
          <cell r="O151">
            <v>42958</v>
          </cell>
          <cell r="P151">
            <v>42905</v>
          </cell>
          <cell r="Q151">
            <v>42905</v>
          </cell>
          <cell r="R151">
            <v>0</v>
          </cell>
          <cell r="S151">
            <v>42932</v>
          </cell>
          <cell r="T151">
            <v>42933</v>
          </cell>
          <cell r="U151">
            <v>42937</v>
          </cell>
          <cell r="V151">
            <v>42944</v>
          </cell>
          <cell r="W151">
            <v>42951</v>
          </cell>
          <cell r="X151">
            <v>42951</v>
          </cell>
          <cell r="Y151">
            <v>42951</v>
          </cell>
          <cell r="Z151">
            <v>42951</v>
          </cell>
          <cell r="AA151">
            <v>42952</v>
          </cell>
          <cell r="AB151">
            <v>43014</v>
          </cell>
        </row>
        <row r="152">
          <cell r="A152" t="str">
            <v>17-035</v>
          </cell>
          <cell r="B152" t="str">
            <v>Ashland</v>
          </cell>
          <cell r="C152">
            <v>42892</v>
          </cell>
          <cell r="D152">
            <v>3</v>
          </cell>
          <cell r="E152">
            <v>4</v>
          </cell>
          <cell r="F152">
            <v>13</v>
          </cell>
          <cell r="G152">
            <v>14</v>
          </cell>
          <cell r="H152">
            <v>42920</v>
          </cell>
          <cell r="I152">
            <v>42943</v>
          </cell>
          <cell r="J152">
            <v>42947</v>
          </cell>
          <cell r="K152">
            <v>42965</v>
          </cell>
          <cell r="L152">
            <v>42971</v>
          </cell>
          <cell r="M152">
            <v>42978</v>
          </cell>
          <cell r="N152">
            <v>42985</v>
          </cell>
          <cell r="O152">
            <v>42992</v>
          </cell>
          <cell r="P152">
            <v>42906</v>
          </cell>
          <cell r="Q152">
            <v>42906</v>
          </cell>
          <cell r="R152">
            <v>0</v>
          </cell>
          <cell r="S152">
            <v>42966</v>
          </cell>
          <cell r="T152">
            <v>42967</v>
          </cell>
          <cell r="U152">
            <v>42971</v>
          </cell>
          <cell r="V152">
            <v>42978</v>
          </cell>
          <cell r="W152">
            <v>42985</v>
          </cell>
          <cell r="X152">
            <v>42985</v>
          </cell>
          <cell r="Y152">
            <v>42985</v>
          </cell>
          <cell r="Z152">
            <v>42985</v>
          </cell>
          <cell r="AA152">
            <v>42986</v>
          </cell>
          <cell r="AB152">
            <v>43062</v>
          </cell>
        </row>
        <row r="153">
          <cell r="A153" t="str">
            <v>17-036</v>
          </cell>
          <cell r="B153" t="str">
            <v>Halocarbon</v>
          </cell>
          <cell r="C153">
            <v>42895</v>
          </cell>
          <cell r="D153">
            <v>1</v>
          </cell>
          <cell r="E153">
            <v>4</v>
          </cell>
          <cell r="F153">
            <v>15</v>
          </cell>
          <cell r="G153">
            <v>16</v>
          </cell>
          <cell r="H153">
            <v>42923</v>
          </cell>
          <cell r="I153">
            <v>42943</v>
          </cell>
          <cell r="J153">
            <v>42937</v>
          </cell>
          <cell r="K153">
            <v>42944</v>
          </cell>
          <cell r="L153">
            <v>42951</v>
          </cell>
          <cell r="M153">
            <v>42958</v>
          </cell>
          <cell r="N153">
            <v>42965</v>
          </cell>
          <cell r="O153">
            <v>42972</v>
          </cell>
          <cell r="P153">
            <v>42909</v>
          </cell>
          <cell r="Q153">
            <v>42909</v>
          </cell>
          <cell r="R153">
            <v>0</v>
          </cell>
          <cell r="S153">
            <v>42932</v>
          </cell>
          <cell r="T153">
            <v>42933</v>
          </cell>
          <cell r="U153">
            <v>42937</v>
          </cell>
          <cell r="V153">
            <v>42944</v>
          </cell>
          <cell r="W153">
            <v>42951</v>
          </cell>
          <cell r="X153">
            <v>42951</v>
          </cell>
          <cell r="Y153">
            <v>42951</v>
          </cell>
          <cell r="Z153">
            <v>42951</v>
          </cell>
          <cell r="AA153">
            <v>42952</v>
          </cell>
          <cell r="AB153">
            <v>43042</v>
          </cell>
        </row>
        <row r="154">
          <cell r="A154" t="str">
            <v>17-037</v>
          </cell>
          <cell r="B154" t="str">
            <v>Jord</v>
          </cell>
          <cell r="C154">
            <v>42899</v>
          </cell>
          <cell r="D154">
            <v>3</v>
          </cell>
          <cell r="E154">
            <v>4</v>
          </cell>
          <cell r="F154">
            <v>16</v>
          </cell>
          <cell r="G154">
            <v>18</v>
          </cell>
          <cell r="H154">
            <v>42927</v>
          </cell>
          <cell r="I154">
            <v>42948</v>
          </cell>
          <cell r="J154">
            <v>42976</v>
          </cell>
          <cell r="K154">
            <v>42991</v>
          </cell>
          <cell r="L154">
            <v>43012</v>
          </cell>
          <cell r="M154">
            <v>43019</v>
          </cell>
          <cell r="N154">
            <v>43026</v>
          </cell>
          <cell r="O154">
            <v>43033</v>
          </cell>
          <cell r="P154">
            <v>42913</v>
          </cell>
          <cell r="Q154">
            <v>42913</v>
          </cell>
          <cell r="R154">
            <v>0</v>
          </cell>
          <cell r="S154">
            <v>43007</v>
          </cell>
          <cell r="T154">
            <v>43008</v>
          </cell>
          <cell r="U154">
            <v>43012</v>
          </cell>
          <cell r="V154">
            <v>43019</v>
          </cell>
          <cell r="W154">
            <v>43026</v>
          </cell>
          <cell r="X154">
            <v>43026</v>
          </cell>
          <cell r="Y154">
            <v>43026</v>
          </cell>
          <cell r="Z154">
            <v>43026</v>
          </cell>
          <cell r="AA154">
            <v>43027</v>
          </cell>
          <cell r="AB154">
            <v>43131</v>
          </cell>
        </row>
        <row r="155">
          <cell r="A155" t="str">
            <v>17-038</v>
          </cell>
          <cell r="B155" t="str">
            <v>Contract Pkg.</v>
          </cell>
          <cell r="C155">
            <v>42899</v>
          </cell>
          <cell r="D155">
            <v>2</v>
          </cell>
          <cell r="E155">
            <v>4</v>
          </cell>
          <cell r="F155">
            <v>15</v>
          </cell>
          <cell r="G155">
            <v>16</v>
          </cell>
          <cell r="H155">
            <v>42927</v>
          </cell>
          <cell r="I155">
            <v>42948</v>
          </cell>
          <cell r="J155">
            <v>42943</v>
          </cell>
          <cell r="K155">
            <v>42954</v>
          </cell>
          <cell r="L155">
            <v>42961</v>
          </cell>
          <cell r="M155">
            <v>42968</v>
          </cell>
          <cell r="N155">
            <v>42975</v>
          </cell>
          <cell r="O155">
            <v>42982</v>
          </cell>
          <cell r="P155">
            <v>42913</v>
          </cell>
          <cell r="Q155">
            <v>42913</v>
          </cell>
          <cell r="R155">
            <v>0</v>
          </cell>
          <cell r="S155">
            <v>42938</v>
          </cell>
          <cell r="T155">
            <v>42939</v>
          </cell>
          <cell r="U155">
            <v>42943</v>
          </cell>
          <cell r="V155">
            <v>42950</v>
          </cell>
          <cell r="W155">
            <v>42957</v>
          </cell>
          <cell r="X155">
            <v>42957</v>
          </cell>
          <cell r="Y155">
            <v>42957</v>
          </cell>
          <cell r="Z155">
            <v>42957</v>
          </cell>
          <cell r="AA155">
            <v>42958</v>
          </cell>
          <cell r="AB155">
            <v>43048</v>
          </cell>
        </row>
        <row r="156">
          <cell r="A156" t="str">
            <v>17-039</v>
          </cell>
          <cell r="B156" t="str">
            <v>Lubrizol</v>
          </cell>
          <cell r="C156">
            <v>42908</v>
          </cell>
          <cell r="D156">
            <v>2</v>
          </cell>
          <cell r="E156">
            <v>3</v>
          </cell>
          <cell r="F156">
            <v>14</v>
          </cell>
          <cell r="G156">
            <v>16</v>
          </cell>
          <cell r="H156">
            <v>42929</v>
          </cell>
          <cell r="I156">
            <v>42941</v>
          </cell>
          <cell r="J156">
            <v>42937</v>
          </cell>
          <cell r="K156">
            <v>42948</v>
          </cell>
          <cell r="L156">
            <v>42951</v>
          </cell>
          <cell r="M156">
            <v>42958</v>
          </cell>
          <cell r="N156">
            <v>42965</v>
          </cell>
          <cell r="O156">
            <v>42972</v>
          </cell>
          <cell r="P156">
            <v>42922</v>
          </cell>
          <cell r="Q156">
            <v>42922</v>
          </cell>
          <cell r="R156">
            <v>0</v>
          </cell>
          <cell r="S156">
            <v>42946</v>
          </cell>
          <cell r="T156">
            <v>42947</v>
          </cell>
          <cell r="U156">
            <v>42951</v>
          </cell>
          <cell r="V156">
            <v>42958</v>
          </cell>
          <cell r="W156">
            <v>42965</v>
          </cell>
          <cell r="X156">
            <v>42965</v>
          </cell>
          <cell r="Y156">
            <v>42965</v>
          </cell>
          <cell r="Z156">
            <v>42965</v>
          </cell>
          <cell r="AA156">
            <v>42966</v>
          </cell>
          <cell r="AB156">
            <v>43056</v>
          </cell>
        </row>
        <row r="157">
          <cell r="A157" t="str">
            <v>17-040</v>
          </cell>
          <cell r="B157" t="str">
            <v>Lubrizol</v>
          </cell>
          <cell r="C157">
            <v>42908</v>
          </cell>
          <cell r="D157">
            <v>2</v>
          </cell>
          <cell r="E157">
            <v>3</v>
          </cell>
          <cell r="F157">
            <v>14</v>
          </cell>
          <cell r="G157">
            <v>16</v>
          </cell>
          <cell r="H157">
            <v>42929</v>
          </cell>
          <cell r="I157">
            <v>42941</v>
          </cell>
          <cell r="J157">
            <v>42937</v>
          </cell>
          <cell r="K157">
            <v>42948</v>
          </cell>
          <cell r="L157">
            <v>42951</v>
          </cell>
          <cell r="M157">
            <v>42958</v>
          </cell>
          <cell r="N157">
            <v>42965</v>
          </cell>
          <cell r="O157">
            <v>42972</v>
          </cell>
          <cell r="P157">
            <v>42922</v>
          </cell>
          <cell r="Q157">
            <v>42922</v>
          </cell>
          <cell r="R157">
            <v>0</v>
          </cell>
          <cell r="S157">
            <v>42946</v>
          </cell>
          <cell r="T157">
            <v>42947</v>
          </cell>
          <cell r="U157">
            <v>42951</v>
          </cell>
          <cell r="V157">
            <v>42958</v>
          </cell>
          <cell r="W157">
            <v>42965</v>
          </cell>
          <cell r="X157">
            <v>42965</v>
          </cell>
          <cell r="Y157">
            <v>42965</v>
          </cell>
          <cell r="Z157">
            <v>42965</v>
          </cell>
          <cell r="AA157">
            <v>42966</v>
          </cell>
          <cell r="AB157">
            <v>43056</v>
          </cell>
        </row>
        <row r="158">
          <cell r="A158" t="str">
            <v>17-041</v>
          </cell>
          <cell r="B158" t="str">
            <v>GP</v>
          </cell>
          <cell r="C158">
            <v>42912</v>
          </cell>
          <cell r="D158">
            <v>2</v>
          </cell>
          <cell r="E158">
            <v>3</v>
          </cell>
          <cell r="F158">
            <v>0</v>
          </cell>
          <cell r="G158">
            <v>0</v>
          </cell>
          <cell r="H158">
            <v>42933</v>
          </cell>
          <cell r="I158">
            <v>42950</v>
          </cell>
          <cell r="J158">
            <v>42949</v>
          </cell>
          <cell r="K158">
            <v>42956</v>
          </cell>
          <cell r="L158">
            <v>42963</v>
          </cell>
          <cell r="M158">
            <v>42970</v>
          </cell>
          <cell r="N158">
            <v>42977</v>
          </cell>
          <cell r="O158">
            <v>42984</v>
          </cell>
          <cell r="P158">
            <v>42926</v>
          </cell>
          <cell r="Q158">
            <v>42926</v>
          </cell>
          <cell r="R158">
            <v>0</v>
          </cell>
          <cell r="S158">
            <v>42944</v>
          </cell>
          <cell r="T158">
            <v>42945</v>
          </cell>
          <cell r="U158">
            <v>42949</v>
          </cell>
          <cell r="V158">
            <v>42956</v>
          </cell>
          <cell r="W158">
            <v>42963</v>
          </cell>
          <cell r="X158">
            <v>42963</v>
          </cell>
          <cell r="Y158">
            <v>42963</v>
          </cell>
          <cell r="Z158">
            <v>42963</v>
          </cell>
          <cell r="AA158">
            <v>42964</v>
          </cell>
          <cell r="AB158">
            <v>42942</v>
          </cell>
        </row>
        <row r="159">
          <cell r="A159" t="str">
            <v>17-042</v>
          </cell>
          <cell r="B159" t="str">
            <v>IFF</v>
          </cell>
          <cell r="C159">
            <v>42913</v>
          </cell>
          <cell r="D159">
            <v>2</v>
          </cell>
          <cell r="E159">
            <v>3</v>
          </cell>
          <cell r="F159">
            <v>8</v>
          </cell>
          <cell r="G159">
            <v>9</v>
          </cell>
          <cell r="H159">
            <v>42934</v>
          </cell>
          <cell r="I159">
            <v>42951</v>
          </cell>
          <cell r="J159">
            <v>42975</v>
          </cell>
          <cell r="K159">
            <v>42978</v>
          </cell>
          <cell r="L159">
            <v>42986</v>
          </cell>
          <cell r="M159">
            <v>42993</v>
          </cell>
          <cell r="N159">
            <v>43000</v>
          </cell>
          <cell r="O159">
            <v>43007</v>
          </cell>
          <cell r="P159">
            <v>42927</v>
          </cell>
          <cell r="Q159">
            <v>42927</v>
          </cell>
          <cell r="R159">
            <v>0</v>
          </cell>
          <cell r="S159">
            <v>42981</v>
          </cell>
          <cell r="T159">
            <v>42982</v>
          </cell>
          <cell r="U159">
            <v>42986</v>
          </cell>
          <cell r="V159">
            <v>42993</v>
          </cell>
          <cell r="W159">
            <v>43000</v>
          </cell>
          <cell r="X159">
            <v>43000</v>
          </cell>
          <cell r="Y159">
            <v>43000</v>
          </cell>
          <cell r="Z159">
            <v>43000</v>
          </cell>
          <cell r="AA159">
            <v>43001</v>
          </cell>
          <cell r="AB159">
            <v>43042</v>
          </cell>
        </row>
        <row r="160">
          <cell r="A160" t="str">
            <v>17-043</v>
          </cell>
          <cell r="B160" t="str">
            <v>Blue Cypress</v>
          </cell>
          <cell r="C160">
            <v>42915</v>
          </cell>
          <cell r="D160">
            <v>1</v>
          </cell>
          <cell r="E160">
            <v>2</v>
          </cell>
          <cell r="F160">
            <v>12</v>
          </cell>
          <cell r="G160">
            <v>13</v>
          </cell>
          <cell r="H160">
            <v>42929</v>
          </cell>
          <cell r="I160">
            <v>42951</v>
          </cell>
          <cell r="J160">
            <v>42947</v>
          </cell>
          <cell r="K160">
            <v>42954</v>
          </cell>
          <cell r="L160">
            <v>42961</v>
          </cell>
          <cell r="M160">
            <v>42968</v>
          </cell>
          <cell r="N160">
            <v>42975</v>
          </cell>
          <cell r="O160">
            <v>42982</v>
          </cell>
          <cell r="P160">
            <v>42929</v>
          </cell>
          <cell r="Q160">
            <v>42929</v>
          </cell>
          <cell r="R160">
            <v>0</v>
          </cell>
          <cell r="S160">
            <v>42942</v>
          </cell>
          <cell r="T160">
            <v>42943</v>
          </cell>
          <cell r="U160">
            <v>42947</v>
          </cell>
          <cell r="V160">
            <v>42954</v>
          </cell>
          <cell r="W160">
            <v>42961</v>
          </cell>
          <cell r="X160">
            <v>42961</v>
          </cell>
          <cell r="Y160">
            <v>42961</v>
          </cell>
          <cell r="Z160">
            <v>42961</v>
          </cell>
          <cell r="AA160">
            <v>42962</v>
          </cell>
          <cell r="AB160">
            <v>43031</v>
          </cell>
        </row>
        <row r="161">
          <cell r="A161" t="str">
            <v>17-044</v>
          </cell>
          <cell r="B161" t="str">
            <v>GP</v>
          </cell>
          <cell r="C161">
            <v>42919</v>
          </cell>
          <cell r="D161">
            <v>2</v>
          </cell>
          <cell r="E161">
            <v>3</v>
          </cell>
          <cell r="F161">
            <v>12</v>
          </cell>
          <cell r="G161">
            <v>13</v>
          </cell>
          <cell r="H161">
            <v>42940</v>
          </cell>
          <cell r="I161">
            <v>42947</v>
          </cell>
          <cell r="J161">
            <v>42942</v>
          </cell>
          <cell r="K161">
            <v>42949</v>
          </cell>
          <cell r="L161">
            <v>42956</v>
          </cell>
          <cell r="M161">
            <v>42963</v>
          </cell>
          <cell r="N161">
            <v>42970</v>
          </cell>
          <cell r="O161">
            <v>42977</v>
          </cell>
          <cell r="P161">
            <v>42933</v>
          </cell>
          <cell r="Q161">
            <v>42933</v>
          </cell>
          <cell r="R161">
            <v>0</v>
          </cell>
          <cell r="S161">
            <v>42937</v>
          </cell>
          <cell r="T161">
            <v>42938</v>
          </cell>
          <cell r="U161">
            <v>42942</v>
          </cell>
          <cell r="V161">
            <v>42949</v>
          </cell>
          <cell r="W161">
            <v>42956</v>
          </cell>
          <cell r="X161">
            <v>42956</v>
          </cell>
          <cell r="Y161">
            <v>42956</v>
          </cell>
          <cell r="Z161">
            <v>42956</v>
          </cell>
          <cell r="AA161">
            <v>42957</v>
          </cell>
          <cell r="AB161">
            <v>43026</v>
          </cell>
        </row>
        <row r="162">
          <cell r="A162" t="str">
            <v>17-045</v>
          </cell>
          <cell r="B162" t="str">
            <v>Wako</v>
          </cell>
          <cell r="C162">
            <v>42923</v>
          </cell>
          <cell r="D162">
            <v>1</v>
          </cell>
          <cell r="E162">
            <v>1</v>
          </cell>
          <cell r="F162">
            <v>4</v>
          </cell>
          <cell r="G162">
            <v>5</v>
          </cell>
          <cell r="H162">
            <v>42930</v>
          </cell>
          <cell r="I162">
            <v>42943</v>
          </cell>
          <cell r="J162">
            <v>42954</v>
          </cell>
          <cell r="K162">
            <v>42961</v>
          </cell>
          <cell r="L162">
            <v>42968</v>
          </cell>
          <cell r="M162">
            <v>42975</v>
          </cell>
          <cell r="N162">
            <v>42982</v>
          </cell>
          <cell r="O162">
            <v>42989</v>
          </cell>
          <cell r="P162">
            <v>42937</v>
          </cell>
          <cell r="Q162">
            <v>42937</v>
          </cell>
          <cell r="R162">
            <v>0</v>
          </cell>
          <cell r="S162">
            <v>42949</v>
          </cell>
          <cell r="T162">
            <v>42950</v>
          </cell>
          <cell r="U162">
            <v>42954</v>
          </cell>
          <cell r="V162">
            <v>42961</v>
          </cell>
          <cell r="W162">
            <v>42968</v>
          </cell>
          <cell r="X162">
            <v>42968</v>
          </cell>
          <cell r="Y162">
            <v>42968</v>
          </cell>
          <cell r="Z162">
            <v>42968</v>
          </cell>
          <cell r="AA162">
            <v>42969</v>
          </cell>
          <cell r="AB162">
            <v>42982</v>
          </cell>
        </row>
        <row r="163">
          <cell r="A163" t="str">
            <v>17-046</v>
          </cell>
          <cell r="B163" t="str">
            <v>Flopam</v>
          </cell>
          <cell r="C163">
            <v>42927</v>
          </cell>
          <cell r="D163">
            <v>1</v>
          </cell>
          <cell r="E163">
            <v>1</v>
          </cell>
          <cell r="F163">
            <v>14</v>
          </cell>
          <cell r="G163">
            <v>15</v>
          </cell>
          <cell r="H163">
            <v>42934</v>
          </cell>
          <cell r="I163">
            <v>42947</v>
          </cell>
          <cell r="J163">
            <v>42954</v>
          </cell>
          <cell r="K163">
            <v>42956</v>
          </cell>
          <cell r="L163">
            <v>42963</v>
          </cell>
          <cell r="M163">
            <v>42970</v>
          </cell>
          <cell r="N163">
            <v>42977</v>
          </cell>
          <cell r="O163">
            <v>42984</v>
          </cell>
          <cell r="P163">
            <v>42941</v>
          </cell>
          <cell r="Q163">
            <v>42941</v>
          </cell>
          <cell r="R163">
            <v>0</v>
          </cell>
          <cell r="S163">
            <v>42949</v>
          </cell>
          <cell r="T163">
            <v>42950</v>
          </cell>
          <cell r="U163">
            <v>42954</v>
          </cell>
          <cell r="V163">
            <v>42961</v>
          </cell>
          <cell r="W163">
            <v>42968</v>
          </cell>
          <cell r="X163">
            <v>42968</v>
          </cell>
          <cell r="Y163">
            <v>42968</v>
          </cell>
          <cell r="Z163">
            <v>42968</v>
          </cell>
          <cell r="AA163">
            <v>42969</v>
          </cell>
          <cell r="AB163">
            <v>43052</v>
          </cell>
        </row>
        <row r="164">
          <cell r="A164" t="str">
            <v>17-047</v>
          </cell>
          <cell r="B164" t="str">
            <v>Flopam</v>
          </cell>
          <cell r="C164">
            <v>42927</v>
          </cell>
          <cell r="D164">
            <v>1</v>
          </cell>
          <cell r="E164">
            <v>1</v>
          </cell>
          <cell r="F164">
            <v>14</v>
          </cell>
          <cell r="G164">
            <v>15</v>
          </cell>
          <cell r="H164">
            <v>42934</v>
          </cell>
          <cell r="I164">
            <v>42947</v>
          </cell>
          <cell r="J164">
            <v>42954</v>
          </cell>
          <cell r="K164">
            <v>42956</v>
          </cell>
          <cell r="L164">
            <v>42963</v>
          </cell>
          <cell r="M164">
            <v>42970</v>
          </cell>
          <cell r="N164">
            <v>42977</v>
          </cell>
          <cell r="O164">
            <v>42984</v>
          </cell>
          <cell r="P164">
            <v>42941</v>
          </cell>
          <cell r="Q164">
            <v>42941</v>
          </cell>
          <cell r="R164">
            <v>0</v>
          </cell>
          <cell r="S164">
            <v>42949</v>
          </cell>
          <cell r="T164">
            <v>42950</v>
          </cell>
          <cell r="U164">
            <v>42954</v>
          </cell>
          <cell r="V164">
            <v>42961</v>
          </cell>
          <cell r="W164">
            <v>42968</v>
          </cell>
          <cell r="X164">
            <v>42968</v>
          </cell>
          <cell r="Y164">
            <v>42968</v>
          </cell>
          <cell r="Z164">
            <v>42968</v>
          </cell>
          <cell r="AA164">
            <v>42969</v>
          </cell>
          <cell r="AB164">
            <v>43052</v>
          </cell>
        </row>
        <row r="165">
          <cell r="A165" t="str">
            <v>17-048</v>
          </cell>
          <cell r="B165" t="str">
            <v>B &amp; Z Ins.</v>
          </cell>
          <cell r="C165">
            <v>42928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42928</v>
          </cell>
          <cell r="I165" t="e">
            <v>#VALUE!</v>
          </cell>
          <cell r="J165" t="e">
            <v>#VALUE!</v>
          </cell>
          <cell r="K165" t="e">
            <v>#VALUE!</v>
          </cell>
          <cell r="L165" t="e">
            <v>#VALUE!</v>
          </cell>
          <cell r="M165" t="e">
            <v>#VALUE!</v>
          </cell>
          <cell r="N165" t="e">
            <v>#VALUE!</v>
          </cell>
          <cell r="O165" t="e">
            <v>#VALUE!</v>
          </cell>
          <cell r="P165">
            <v>42942</v>
          </cell>
          <cell r="Q165">
            <v>42942</v>
          </cell>
          <cell r="R165">
            <v>0</v>
          </cell>
          <cell r="S165" t="e">
            <v>#VALUE!</v>
          </cell>
          <cell r="T165" t="e">
            <v>#VALUE!</v>
          </cell>
          <cell r="U165" t="e">
            <v>#VALUE!</v>
          </cell>
          <cell r="V165" t="e">
            <v>#VALUE!</v>
          </cell>
          <cell r="W165" t="e">
            <v>#VALUE!</v>
          </cell>
          <cell r="X165" t="e">
            <v>#VALUE!</v>
          </cell>
          <cell r="Y165" t="e">
            <v>#VALUE!</v>
          </cell>
          <cell r="Z165" t="e">
            <v>#VALUE!</v>
          </cell>
          <cell r="AA165" t="e">
            <v>#VALUE!</v>
          </cell>
          <cell r="AB165" t="e">
            <v>#VALUE!</v>
          </cell>
        </row>
        <row r="166">
          <cell r="A166" t="str">
            <v>17-049</v>
          </cell>
          <cell r="B166" t="str">
            <v>Garrett</v>
          </cell>
          <cell r="C166">
            <v>42936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42936</v>
          </cell>
          <cell r="I166" t="e">
            <v>#VALUE!</v>
          </cell>
          <cell r="J166" t="e">
            <v>#VALUE!</v>
          </cell>
          <cell r="K166" t="e">
            <v>#VALUE!</v>
          </cell>
          <cell r="L166" t="e">
            <v>#VALUE!</v>
          </cell>
          <cell r="M166" t="e">
            <v>#VALUE!</v>
          </cell>
          <cell r="N166" t="e">
            <v>#VALUE!</v>
          </cell>
          <cell r="O166" t="e">
            <v>#VALUE!</v>
          </cell>
          <cell r="P166">
            <v>42950</v>
          </cell>
          <cell r="Q166">
            <v>42950</v>
          </cell>
          <cell r="R166">
            <v>0</v>
          </cell>
          <cell r="S166" t="e">
            <v>#VALUE!</v>
          </cell>
          <cell r="T166" t="e">
            <v>#VALUE!</v>
          </cell>
          <cell r="U166" t="e">
            <v>#VALUE!</v>
          </cell>
          <cell r="V166" t="e">
            <v>#VALUE!</v>
          </cell>
          <cell r="W166" t="e">
            <v>#VALUE!</v>
          </cell>
          <cell r="X166" t="e">
            <v>#VALUE!</v>
          </cell>
          <cell r="Y166" t="e">
            <v>#VALUE!</v>
          </cell>
          <cell r="Z166" t="e">
            <v>#VALUE!</v>
          </cell>
          <cell r="AA166" t="e">
            <v>#VALUE!</v>
          </cell>
          <cell r="AB166" t="e">
            <v>#VALUE!</v>
          </cell>
        </row>
        <row r="167">
          <cell r="A167" t="str">
            <v>17-050</v>
          </cell>
          <cell r="B167" t="str">
            <v>B &amp; Z Ins.</v>
          </cell>
          <cell r="C167">
            <v>42937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42937</v>
          </cell>
          <cell r="I167" t="e">
            <v>#VALUE!</v>
          </cell>
          <cell r="J167" t="e">
            <v>#VALUE!</v>
          </cell>
          <cell r="K167" t="e">
            <v>#VALUE!</v>
          </cell>
          <cell r="L167" t="e">
            <v>#VALUE!</v>
          </cell>
          <cell r="M167" t="e">
            <v>#VALUE!</v>
          </cell>
          <cell r="N167" t="e">
            <v>#VALUE!</v>
          </cell>
          <cell r="O167" t="e">
            <v>#VALUE!</v>
          </cell>
          <cell r="P167">
            <v>42951</v>
          </cell>
          <cell r="Q167">
            <v>42951</v>
          </cell>
          <cell r="R167">
            <v>0</v>
          </cell>
          <cell r="S167" t="e">
            <v>#VALUE!</v>
          </cell>
          <cell r="T167" t="e">
            <v>#VALUE!</v>
          </cell>
          <cell r="U167" t="e">
            <v>#VALUE!</v>
          </cell>
          <cell r="V167" t="e">
            <v>#VALUE!</v>
          </cell>
          <cell r="W167" t="e">
            <v>#VALUE!</v>
          </cell>
          <cell r="X167" t="e">
            <v>#VALUE!</v>
          </cell>
          <cell r="Y167" t="e">
            <v>#VALUE!</v>
          </cell>
          <cell r="Z167" t="e">
            <v>#VALUE!</v>
          </cell>
          <cell r="AA167" t="e">
            <v>#VALUE!</v>
          </cell>
          <cell r="AB167" t="e">
            <v>#VALUE!</v>
          </cell>
        </row>
        <row r="168">
          <cell r="A168" t="str">
            <v>17-053</v>
          </cell>
          <cell r="B168" t="str">
            <v>Halocarbon</v>
          </cell>
          <cell r="C168">
            <v>42947</v>
          </cell>
          <cell r="D168">
            <v>1</v>
          </cell>
          <cell r="E168">
            <v>2</v>
          </cell>
          <cell r="F168">
            <v>8</v>
          </cell>
          <cell r="G168">
            <v>10</v>
          </cell>
          <cell r="H168">
            <v>42961</v>
          </cell>
          <cell r="I168">
            <v>42975</v>
          </cell>
          <cell r="J168">
            <v>42982</v>
          </cell>
          <cell r="K168">
            <v>42989</v>
          </cell>
          <cell r="L168">
            <v>42996</v>
          </cell>
          <cell r="M168">
            <v>43003</v>
          </cell>
          <cell r="N168">
            <v>43010</v>
          </cell>
          <cell r="O168">
            <v>43017</v>
          </cell>
          <cell r="P168">
            <v>42961</v>
          </cell>
          <cell r="Q168">
            <v>42961</v>
          </cell>
          <cell r="R168">
            <v>0</v>
          </cell>
          <cell r="S168">
            <v>42977</v>
          </cell>
          <cell r="T168">
            <v>42978</v>
          </cell>
          <cell r="U168">
            <v>42982</v>
          </cell>
          <cell r="V168">
            <v>42989</v>
          </cell>
          <cell r="W168">
            <v>42996</v>
          </cell>
          <cell r="X168">
            <v>42996</v>
          </cell>
          <cell r="Y168">
            <v>42996</v>
          </cell>
          <cell r="Z168">
            <v>42996</v>
          </cell>
          <cell r="AA168">
            <v>42997</v>
          </cell>
          <cell r="AB168">
            <v>43045</v>
          </cell>
        </row>
        <row r="169">
          <cell r="A169" t="str">
            <v>17-054</v>
          </cell>
          <cell r="B169" t="str">
            <v>Air Liquide</v>
          </cell>
          <cell r="C169">
            <v>42950</v>
          </cell>
          <cell r="D169">
            <v>1</v>
          </cell>
          <cell r="E169">
            <v>2</v>
          </cell>
          <cell r="F169">
            <v>10</v>
          </cell>
          <cell r="G169">
            <v>12</v>
          </cell>
          <cell r="H169">
            <v>42964</v>
          </cell>
          <cell r="I169">
            <v>42975</v>
          </cell>
          <cell r="J169">
            <v>42986</v>
          </cell>
          <cell r="K169">
            <v>42990</v>
          </cell>
          <cell r="L169">
            <v>42997</v>
          </cell>
          <cell r="M169">
            <v>43004</v>
          </cell>
          <cell r="N169">
            <v>43011</v>
          </cell>
          <cell r="O169">
            <v>43018</v>
          </cell>
          <cell r="P169">
            <v>42964</v>
          </cell>
          <cell r="Q169">
            <v>42964</v>
          </cell>
          <cell r="R169">
            <v>0</v>
          </cell>
          <cell r="S169">
            <v>42981</v>
          </cell>
          <cell r="T169">
            <v>42982</v>
          </cell>
          <cell r="U169">
            <v>42986</v>
          </cell>
          <cell r="V169">
            <v>42993</v>
          </cell>
          <cell r="W169">
            <v>43000</v>
          </cell>
          <cell r="X169">
            <v>43000</v>
          </cell>
          <cell r="Y169">
            <v>43000</v>
          </cell>
          <cell r="Z169">
            <v>43000</v>
          </cell>
          <cell r="AA169">
            <v>43001</v>
          </cell>
          <cell r="AB169">
            <v>43063</v>
          </cell>
        </row>
        <row r="170">
          <cell r="A170" t="str">
            <v>17-055</v>
          </cell>
          <cell r="B170" t="str">
            <v>DAK Americas</v>
          </cell>
          <cell r="C170">
            <v>42951</v>
          </cell>
          <cell r="D170">
            <v>1</v>
          </cell>
          <cell r="E170">
            <v>2</v>
          </cell>
          <cell r="F170">
            <v>9</v>
          </cell>
          <cell r="G170">
            <v>10</v>
          </cell>
          <cell r="H170">
            <v>42965</v>
          </cell>
          <cell r="I170">
            <v>42979</v>
          </cell>
          <cell r="J170">
            <v>42982</v>
          </cell>
          <cell r="K170">
            <v>42992</v>
          </cell>
          <cell r="L170">
            <v>42999</v>
          </cell>
          <cell r="M170">
            <v>43006</v>
          </cell>
          <cell r="N170">
            <v>43013</v>
          </cell>
          <cell r="O170">
            <v>43020</v>
          </cell>
          <cell r="P170">
            <v>42965</v>
          </cell>
          <cell r="Q170">
            <v>42965</v>
          </cell>
          <cell r="R170">
            <v>0</v>
          </cell>
          <cell r="S170">
            <v>42977</v>
          </cell>
          <cell r="T170">
            <v>42978</v>
          </cell>
          <cell r="U170">
            <v>42982</v>
          </cell>
          <cell r="V170">
            <v>42989</v>
          </cell>
          <cell r="W170">
            <v>42996</v>
          </cell>
          <cell r="X170">
            <v>42996</v>
          </cell>
          <cell r="Y170">
            <v>42996</v>
          </cell>
          <cell r="Z170">
            <v>42996</v>
          </cell>
          <cell r="AA170">
            <v>42997</v>
          </cell>
          <cell r="AB170">
            <v>43045</v>
          </cell>
        </row>
        <row r="171">
          <cell r="A171" t="str">
            <v>17-056</v>
          </cell>
          <cell r="B171" t="str">
            <v>Airco</v>
          </cell>
          <cell r="C171">
            <v>42958</v>
          </cell>
          <cell r="D171">
            <v>1</v>
          </cell>
          <cell r="E171">
            <v>2</v>
          </cell>
          <cell r="F171">
            <v>4</v>
          </cell>
          <cell r="G171">
            <v>5</v>
          </cell>
          <cell r="H171">
            <v>42972</v>
          </cell>
          <cell r="I171">
            <v>42979</v>
          </cell>
          <cell r="J171">
            <v>42986</v>
          </cell>
          <cell r="K171">
            <v>42993</v>
          </cell>
          <cell r="L171">
            <v>43000</v>
          </cell>
          <cell r="M171">
            <v>43007</v>
          </cell>
          <cell r="N171">
            <v>43014</v>
          </cell>
          <cell r="O171">
            <v>43021</v>
          </cell>
          <cell r="P171">
            <v>42972</v>
          </cell>
          <cell r="Q171">
            <v>42972</v>
          </cell>
          <cell r="R171">
            <v>0</v>
          </cell>
          <cell r="S171">
            <v>42981</v>
          </cell>
          <cell r="T171">
            <v>42982</v>
          </cell>
          <cell r="U171">
            <v>42986</v>
          </cell>
          <cell r="V171">
            <v>42993</v>
          </cell>
          <cell r="W171">
            <v>43000</v>
          </cell>
          <cell r="X171">
            <v>43000</v>
          </cell>
          <cell r="Y171">
            <v>43000</v>
          </cell>
          <cell r="Z171">
            <v>43000</v>
          </cell>
          <cell r="AA171">
            <v>43001</v>
          </cell>
          <cell r="AB171">
            <v>43014</v>
          </cell>
        </row>
        <row r="172">
          <cell r="A172" t="str">
            <v>17-057</v>
          </cell>
          <cell r="B172" t="str">
            <v>Plasma Process</v>
          </cell>
          <cell r="C172">
            <v>42962</v>
          </cell>
          <cell r="D172">
            <v>1</v>
          </cell>
          <cell r="E172">
            <v>2</v>
          </cell>
          <cell r="F172">
            <v>4</v>
          </cell>
          <cell r="G172">
            <v>6</v>
          </cell>
          <cell r="H172">
            <v>42976</v>
          </cell>
          <cell r="I172">
            <v>42992</v>
          </cell>
          <cell r="J172">
            <v>42999</v>
          </cell>
          <cell r="K172">
            <v>43006</v>
          </cell>
          <cell r="L172">
            <v>43013</v>
          </cell>
          <cell r="M172">
            <v>43020</v>
          </cell>
          <cell r="N172">
            <v>43027</v>
          </cell>
          <cell r="O172">
            <v>43034</v>
          </cell>
          <cell r="P172">
            <v>42976</v>
          </cell>
          <cell r="Q172">
            <v>42976</v>
          </cell>
          <cell r="R172">
            <v>0</v>
          </cell>
          <cell r="S172">
            <v>42994</v>
          </cell>
          <cell r="T172">
            <v>42995</v>
          </cell>
          <cell r="U172">
            <v>42999</v>
          </cell>
          <cell r="V172">
            <v>43006</v>
          </cell>
          <cell r="W172">
            <v>43013</v>
          </cell>
          <cell r="X172">
            <v>43013</v>
          </cell>
          <cell r="Y172">
            <v>43013</v>
          </cell>
          <cell r="Z172">
            <v>43013</v>
          </cell>
          <cell r="AA172">
            <v>43014</v>
          </cell>
          <cell r="AB172">
            <v>43034</v>
          </cell>
        </row>
        <row r="173">
          <cell r="A173" t="str">
            <v>17-058</v>
          </cell>
          <cell r="B173" t="str">
            <v>US Sugar</v>
          </cell>
          <cell r="C173">
            <v>42968</v>
          </cell>
          <cell r="D173">
            <v>1</v>
          </cell>
          <cell r="E173">
            <v>1</v>
          </cell>
          <cell r="F173">
            <v>8</v>
          </cell>
          <cell r="G173">
            <v>10</v>
          </cell>
          <cell r="H173">
            <v>42975</v>
          </cell>
          <cell r="I173">
            <v>42989</v>
          </cell>
          <cell r="J173">
            <v>42996</v>
          </cell>
          <cell r="K173">
            <v>43003</v>
          </cell>
          <cell r="L173">
            <v>43010</v>
          </cell>
          <cell r="M173">
            <v>43017</v>
          </cell>
          <cell r="N173">
            <v>43024</v>
          </cell>
          <cell r="O173">
            <v>43031</v>
          </cell>
          <cell r="P173">
            <v>42982</v>
          </cell>
          <cell r="Q173">
            <v>42982</v>
          </cell>
          <cell r="R173">
            <v>0</v>
          </cell>
          <cell r="S173">
            <v>42991</v>
          </cell>
          <cell r="T173">
            <v>42992</v>
          </cell>
          <cell r="U173">
            <v>42996</v>
          </cell>
          <cell r="V173">
            <v>43003</v>
          </cell>
          <cell r="W173">
            <v>43010</v>
          </cell>
          <cell r="X173">
            <v>43010</v>
          </cell>
          <cell r="Y173">
            <v>43010</v>
          </cell>
          <cell r="Z173">
            <v>43010</v>
          </cell>
          <cell r="AA173">
            <v>43011</v>
          </cell>
          <cell r="AB173">
            <v>43059</v>
          </cell>
        </row>
        <row r="174">
          <cell r="A174" t="str">
            <v>17-059</v>
          </cell>
          <cell r="B174" t="str">
            <v>Andritz</v>
          </cell>
          <cell r="C174">
            <v>42970</v>
          </cell>
          <cell r="D174">
            <v>1</v>
          </cell>
          <cell r="E174">
            <v>2</v>
          </cell>
          <cell r="F174">
            <v>10</v>
          </cell>
          <cell r="G174">
            <v>12</v>
          </cell>
          <cell r="H174">
            <v>42984</v>
          </cell>
          <cell r="I174">
            <v>43000</v>
          </cell>
          <cell r="J174">
            <v>43010</v>
          </cell>
          <cell r="K174">
            <v>43017</v>
          </cell>
          <cell r="L174">
            <v>43024</v>
          </cell>
          <cell r="M174">
            <v>43031</v>
          </cell>
          <cell r="N174">
            <v>43038</v>
          </cell>
          <cell r="O174">
            <v>43045</v>
          </cell>
          <cell r="P174">
            <v>42984</v>
          </cell>
          <cell r="Q174">
            <v>42984</v>
          </cell>
          <cell r="R174">
            <v>0</v>
          </cell>
          <cell r="S174">
            <v>43005</v>
          </cell>
          <cell r="T174">
            <v>43006</v>
          </cell>
          <cell r="U174">
            <v>43010</v>
          </cell>
          <cell r="V174">
            <v>43017</v>
          </cell>
          <cell r="W174">
            <v>43024</v>
          </cell>
          <cell r="X174">
            <v>43024</v>
          </cell>
          <cell r="Y174">
            <v>43024</v>
          </cell>
          <cell r="Z174">
            <v>43024</v>
          </cell>
          <cell r="AA174">
            <v>43025</v>
          </cell>
          <cell r="AB174">
            <v>43087</v>
          </cell>
        </row>
        <row r="175">
          <cell r="A175" t="str">
            <v>17-060</v>
          </cell>
          <cell r="B175" t="str">
            <v>Zachry</v>
          </cell>
          <cell r="C175">
            <v>42983</v>
          </cell>
          <cell r="D175">
            <v>1</v>
          </cell>
          <cell r="E175">
            <v>2</v>
          </cell>
          <cell r="F175">
            <v>6</v>
          </cell>
          <cell r="G175">
            <v>7</v>
          </cell>
          <cell r="H175">
            <v>42997</v>
          </cell>
          <cell r="I175">
            <v>43010</v>
          </cell>
          <cell r="J175">
            <v>43011</v>
          </cell>
          <cell r="K175">
            <v>43018</v>
          </cell>
          <cell r="L175">
            <v>43025</v>
          </cell>
          <cell r="M175">
            <v>43032</v>
          </cell>
          <cell r="N175">
            <v>43039</v>
          </cell>
          <cell r="O175">
            <v>43046</v>
          </cell>
          <cell r="P175">
            <v>42997</v>
          </cell>
          <cell r="Q175">
            <v>42997</v>
          </cell>
          <cell r="R175">
            <v>0</v>
          </cell>
          <cell r="S175">
            <v>43006</v>
          </cell>
          <cell r="T175">
            <v>43007</v>
          </cell>
          <cell r="U175">
            <v>43011</v>
          </cell>
          <cell r="V175">
            <v>43018</v>
          </cell>
          <cell r="W175">
            <v>43025</v>
          </cell>
          <cell r="X175">
            <v>43025</v>
          </cell>
          <cell r="Y175">
            <v>43025</v>
          </cell>
          <cell r="Z175">
            <v>43025</v>
          </cell>
          <cell r="AA175">
            <v>43026</v>
          </cell>
          <cell r="AB175">
            <v>43053</v>
          </cell>
        </row>
        <row r="176">
          <cell r="A176" t="str">
            <v>17-061</v>
          </cell>
          <cell r="B176" t="str">
            <v>Solvay</v>
          </cell>
          <cell r="C176">
            <v>42993</v>
          </cell>
          <cell r="D176">
            <v>1</v>
          </cell>
          <cell r="E176">
            <v>2</v>
          </cell>
          <cell r="F176">
            <v>12</v>
          </cell>
          <cell r="G176">
            <v>13</v>
          </cell>
          <cell r="H176">
            <v>43007</v>
          </cell>
          <cell r="I176">
            <v>43014</v>
          </cell>
          <cell r="J176">
            <v>43011</v>
          </cell>
          <cell r="K176">
            <v>43018</v>
          </cell>
          <cell r="L176">
            <v>43025</v>
          </cell>
          <cell r="M176">
            <v>43032</v>
          </cell>
          <cell r="N176">
            <v>43039</v>
          </cell>
          <cell r="O176">
            <v>43046</v>
          </cell>
          <cell r="P176">
            <v>43007</v>
          </cell>
          <cell r="Q176">
            <v>43007</v>
          </cell>
          <cell r="R176">
            <v>0</v>
          </cell>
          <cell r="S176">
            <v>43006</v>
          </cell>
          <cell r="T176">
            <v>43007</v>
          </cell>
          <cell r="U176">
            <v>43011</v>
          </cell>
          <cell r="V176">
            <v>43018</v>
          </cell>
          <cell r="W176">
            <v>43025</v>
          </cell>
          <cell r="X176">
            <v>43025</v>
          </cell>
          <cell r="Y176">
            <v>43025</v>
          </cell>
          <cell r="Z176">
            <v>43025</v>
          </cell>
          <cell r="AA176">
            <v>43026</v>
          </cell>
          <cell r="AB176">
            <v>43095</v>
          </cell>
        </row>
        <row r="177">
          <cell r="A177" t="str">
            <v>17-062</v>
          </cell>
          <cell r="B177" t="str">
            <v>360 Industrial</v>
          </cell>
          <cell r="C177">
            <v>43003</v>
          </cell>
          <cell r="D177">
            <v>1</v>
          </cell>
          <cell r="E177">
            <v>1</v>
          </cell>
          <cell r="F177">
            <v>5</v>
          </cell>
          <cell r="G177">
            <v>6</v>
          </cell>
          <cell r="H177">
            <v>43010</v>
          </cell>
          <cell r="I177">
            <v>43024</v>
          </cell>
          <cell r="J177">
            <v>43031</v>
          </cell>
          <cell r="K177">
            <v>43038</v>
          </cell>
          <cell r="L177">
            <v>43045</v>
          </cell>
          <cell r="M177">
            <v>43052</v>
          </cell>
          <cell r="N177">
            <v>43059</v>
          </cell>
          <cell r="O177">
            <v>43066</v>
          </cell>
          <cell r="P177">
            <v>43017</v>
          </cell>
          <cell r="Q177">
            <v>43017</v>
          </cell>
          <cell r="R177">
            <v>0</v>
          </cell>
          <cell r="S177">
            <v>43026</v>
          </cell>
          <cell r="T177">
            <v>43027</v>
          </cell>
          <cell r="U177">
            <v>43031</v>
          </cell>
          <cell r="V177">
            <v>43038</v>
          </cell>
          <cell r="W177">
            <v>43045</v>
          </cell>
          <cell r="X177">
            <v>43045</v>
          </cell>
          <cell r="Y177">
            <v>43045</v>
          </cell>
          <cell r="Z177">
            <v>43045</v>
          </cell>
          <cell r="AA177">
            <v>43046</v>
          </cell>
          <cell r="AB177">
            <v>43066</v>
          </cell>
        </row>
        <row r="178">
          <cell r="A178" t="str">
            <v>17-063</v>
          </cell>
          <cell r="B178" t="str">
            <v>Airco</v>
          </cell>
          <cell r="C178">
            <v>43011</v>
          </cell>
          <cell r="D178">
            <v>1</v>
          </cell>
          <cell r="E178">
            <v>1</v>
          </cell>
          <cell r="F178">
            <v>1</v>
          </cell>
          <cell r="G178">
            <v>1</v>
          </cell>
          <cell r="H178">
            <v>43018</v>
          </cell>
          <cell r="I178">
            <v>43032</v>
          </cell>
          <cell r="J178">
            <v>43039</v>
          </cell>
          <cell r="K178">
            <v>43046</v>
          </cell>
          <cell r="L178">
            <v>43053</v>
          </cell>
          <cell r="M178">
            <v>43060</v>
          </cell>
          <cell r="N178">
            <v>43067</v>
          </cell>
          <cell r="O178">
            <v>43074</v>
          </cell>
          <cell r="P178">
            <v>43025</v>
          </cell>
          <cell r="Q178">
            <v>43025</v>
          </cell>
          <cell r="R178">
            <v>0</v>
          </cell>
          <cell r="S178">
            <v>43034</v>
          </cell>
          <cell r="T178">
            <v>43035</v>
          </cell>
          <cell r="U178">
            <v>43039</v>
          </cell>
          <cell r="V178">
            <v>43046</v>
          </cell>
          <cell r="W178">
            <v>43053</v>
          </cell>
          <cell r="X178">
            <v>43053</v>
          </cell>
          <cell r="Y178">
            <v>43053</v>
          </cell>
          <cell r="Z178">
            <v>43053</v>
          </cell>
          <cell r="AA178">
            <v>43054</v>
          </cell>
          <cell r="AB178">
            <v>43039</v>
          </cell>
        </row>
        <row r="179">
          <cell r="A179" t="str">
            <v>17-064</v>
          </cell>
          <cell r="B179" t="str">
            <v>Solvay</v>
          </cell>
          <cell r="C179">
            <v>43019</v>
          </cell>
          <cell r="D179">
            <v>2</v>
          </cell>
          <cell r="E179">
            <v>3</v>
          </cell>
          <cell r="F179">
            <v>13</v>
          </cell>
          <cell r="G179">
            <v>14</v>
          </cell>
          <cell r="H179">
            <v>43040</v>
          </cell>
          <cell r="I179">
            <v>43052</v>
          </cell>
          <cell r="J179">
            <v>43046</v>
          </cell>
          <cell r="K179">
            <v>43052</v>
          </cell>
          <cell r="L179">
            <v>43060</v>
          </cell>
          <cell r="M179">
            <v>43068</v>
          </cell>
          <cell r="N179">
            <v>43075</v>
          </cell>
          <cell r="O179">
            <v>43080</v>
          </cell>
          <cell r="P179">
            <v>43033</v>
          </cell>
          <cell r="Q179">
            <v>43033</v>
          </cell>
          <cell r="R179">
            <v>0</v>
          </cell>
          <cell r="S179">
            <v>43077</v>
          </cell>
          <cell r="T179">
            <v>43078</v>
          </cell>
          <cell r="U179">
            <v>43082</v>
          </cell>
          <cell r="V179">
            <v>43089</v>
          </cell>
          <cell r="W179">
            <v>43096</v>
          </cell>
          <cell r="X179">
            <v>43096</v>
          </cell>
          <cell r="Y179">
            <v>43096</v>
          </cell>
          <cell r="Z179">
            <v>43096</v>
          </cell>
          <cell r="AA179">
            <v>43097</v>
          </cell>
          <cell r="AB179">
            <v>43173</v>
          </cell>
        </row>
        <row r="180">
          <cell r="A180" t="str">
            <v>17-066</v>
          </cell>
          <cell r="B180" t="str">
            <v>S&amp;S Technical</v>
          </cell>
          <cell r="C180">
            <v>43038</v>
          </cell>
          <cell r="D180">
            <v>1</v>
          </cell>
          <cell r="E180">
            <v>3</v>
          </cell>
          <cell r="F180">
            <v>12</v>
          </cell>
          <cell r="G180">
            <v>13</v>
          </cell>
          <cell r="H180">
            <v>43059</v>
          </cell>
          <cell r="I180">
            <v>43068</v>
          </cell>
          <cell r="J180">
            <v>43075</v>
          </cell>
          <cell r="K180">
            <v>43082</v>
          </cell>
          <cell r="L180">
            <v>43089</v>
          </cell>
          <cell r="M180">
            <v>43096</v>
          </cell>
          <cell r="N180">
            <v>43103</v>
          </cell>
          <cell r="O180">
            <v>43110</v>
          </cell>
          <cell r="P180">
            <v>43052</v>
          </cell>
          <cell r="Q180">
            <v>43052</v>
          </cell>
          <cell r="R180">
            <v>0</v>
          </cell>
          <cell r="S180">
            <v>43070</v>
          </cell>
          <cell r="T180">
            <v>43071</v>
          </cell>
          <cell r="U180">
            <v>43075</v>
          </cell>
          <cell r="V180">
            <v>43082</v>
          </cell>
          <cell r="W180">
            <v>43089</v>
          </cell>
          <cell r="X180">
            <v>43089</v>
          </cell>
          <cell r="Y180">
            <v>43089</v>
          </cell>
          <cell r="Z180">
            <v>43089</v>
          </cell>
          <cell r="AA180">
            <v>43090</v>
          </cell>
          <cell r="AB180">
            <v>43159</v>
          </cell>
        </row>
        <row r="181">
          <cell r="A181" t="str">
            <v>17-067</v>
          </cell>
          <cell r="B181" t="str">
            <v>Halocarbon</v>
          </cell>
          <cell r="C181">
            <v>43039</v>
          </cell>
          <cell r="D181">
            <v>0</v>
          </cell>
          <cell r="E181">
            <v>1</v>
          </cell>
          <cell r="F181">
            <v>10</v>
          </cell>
          <cell r="G181">
            <v>11</v>
          </cell>
          <cell r="H181">
            <v>43046</v>
          </cell>
          <cell r="I181">
            <v>43063</v>
          </cell>
          <cell r="J181">
            <v>43059</v>
          </cell>
          <cell r="K181">
            <v>43061</v>
          </cell>
          <cell r="L181">
            <v>43068</v>
          </cell>
          <cell r="M181">
            <v>43075</v>
          </cell>
          <cell r="N181">
            <v>43082</v>
          </cell>
          <cell r="O181">
            <v>43089</v>
          </cell>
          <cell r="P181">
            <v>43053</v>
          </cell>
          <cell r="Q181">
            <v>43053</v>
          </cell>
          <cell r="R181">
            <v>0</v>
          </cell>
          <cell r="S181">
            <v>43054</v>
          </cell>
          <cell r="T181">
            <v>43055</v>
          </cell>
          <cell r="U181">
            <v>43059</v>
          </cell>
          <cell r="V181">
            <v>43066</v>
          </cell>
          <cell r="W181">
            <v>43073</v>
          </cell>
          <cell r="X181">
            <v>43073</v>
          </cell>
          <cell r="Y181">
            <v>43073</v>
          </cell>
          <cell r="Z181">
            <v>43073</v>
          </cell>
          <cell r="AA181">
            <v>43074</v>
          </cell>
          <cell r="AB181">
            <v>43129</v>
          </cell>
        </row>
        <row r="182">
          <cell r="A182" t="str">
            <v>17-068</v>
          </cell>
          <cell r="B182" t="str">
            <v>Imperial Sugar</v>
          </cell>
          <cell r="C182">
            <v>43040</v>
          </cell>
          <cell r="D182">
            <v>1</v>
          </cell>
          <cell r="E182">
            <v>1</v>
          </cell>
          <cell r="F182">
            <v>6</v>
          </cell>
          <cell r="G182">
            <v>7</v>
          </cell>
          <cell r="H182">
            <v>43047</v>
          </cell>
          <cell r="I182">
            <v>43062</v>
          </cell>
          <cell r="J182">
            <v>43059</v>
          </cell>
          <cell r="K182">
            <v>43062</v>
          </cell>
          <cell r="L182">
            <v>43067</v>
          </cell>
          <cell r="M182">
            <v>43074</v>
          </cell>
          <cell r="N182">
            <v>43081</v>
          </cell>
          <cell r="O182">
            <v>43088</v>
          </cell>
          <cell r="P182">
            <v>43054</v>
          </cell>
          <cell r="Q182">
            <v>43054</v>
          </cell>
          <cell r="R182">
            <v>0</v>
          </cell>
          <cell r="S182">
            <v>43062</v>
          </cell>
          <cell r="T182">
            <v>43063</v>
          </cell>
          <cell r="U182">
            <v>43067</v>
          </cell>
          <cell r="V182">
            <v>43074</v>
          </cell>
          <cell r="W182">
            <v>43081</v>
          </cell>
          <cell r="X182">
            <v>43081</v>
          </cell>
          <cell r="Y182">
            <v>43081</v>
          </cell>
          <cell r="Z182">
            <v>43081</v>
          </cell>
          <cell r="AA182">
            <v>43082</v>
          </cell>
          <cell r="AB182">
            <v>43109</v>
          </cell>
        </row>
        <row r="183">
          <cell r="A183" t="str">
            <v>17-069</v>
          </cell>
          <cell r="B183" t="str">
            <v>Garrett</v>
          </cell>
          <cell r="C183">
            <v>43059</v>
          </cell>
          <cell r="D183">
            <v>1</v>
          </cell>
          <cell r="E183">
            <v>2</v>
          </cell>
          <cell r="F183">
            <v>5</v>
          </cell>
          <cell r="G183">
            <v>6</v>
          </cell>
          <cell r="H183">
            <v>43073</v>
          </cell>
          <cell r="I183">
            <v>43082</v>
          </cell>
          <cell r="J183">
            <v>43089</v>
          </cell>
          <cell r="K183">
            <v>43096</v>
          </cell>
          <cell r="L183">
            <v>43103</v>
          </cell>
          <cell r="M183">
            <v>43110</v>
          </cell>
          <cell r="N183">
            <v>43117</v>
          </cell>
          <cell r="O183">
            <v>43124</v>
          </cell>
          <cell r="P183">
            <v>43073</v>
          </cell>
          <cell r="Q183">
            <v>43073</v>
          </cell>
          <cell r="R183">
            <v>0</v>
          </cell>
          <cell r="S183">
            <v>43084</v>
          </cell>
          <cell r="T183">
            <v>43085</v>
          </cell>
          <cell r="U183">
            <v>43089</v>
          </cell>
          <cell r="V183">
            <v>43096</v>
          </cell>
          <cell r="W183">
            <v>43103</v>
          </cell>
          <cell r="X183">
            <v>43103</v>
          </cell>
          <cell r="Y183">
            <v>43103</v>
          </cell>
          <cell r="Z183">
            <v>43103</v>
          </cell>
          <cell r="AA183">
            <v>43104</v>
          </cell>
          <cell r="AB183">
            <v>43124</v>
          </cell>
        </row>
        <row r="184">
          <cell r="A184" t="str">
            <v>17-071</v>
          </cell>
          <cell r="B184" t="str">
            <v>Milliken</v>
          </cell>
          <cell r="C184">
            <v>43067</v>
          </cell>
          <cell r="D184">
            <v>1</v>
          </cell>
          <cell r="E184">
            <v>2</v>
          </cell>
          <cell r="F184">
            <v>12</v>
          </cell>
          <cell r="G184">
            <v>13</v>
          </cell>
          <cell r="H184">
            <v>43081</v>
          </cell>
          <cell r="I184">
            <v>43088</v>
          </cell>
          <cell r="J184">
            <v>43089</v>
          </cell>
          <cell r="K184">
            <v>43096</v>
          </cell>
          <cell r="L184">
            <v>43103</v>
          </cell>
          <cell r="M184">
            <v>43110</v>
          </cell>
          <cell r="N184">
            <v>43117</v>
          </cell>
          <cell r="O184">
            <v>43124</v>
          </cell>
          <cell r="P184">
            <v>43081</v>
          </cell>
          <cell r="Q184">
            <v>43081</v>
          </cell>
          <cell r="R184">
            <v>0</v>
          </cell>
          <cell r="S184">
            <v>43084</v>
          </cell>
          <cell r="T184">
            <v>43085</v>
          </cell>
          <cell r="U184">
            <v>43089</v>
          </cell>
          <cell r="V184">
            <v>43096</v>
          </cell>
          <cell r="W184">
            <v>43103</v>
          </cell>
          <cell r="X184">
            <v>43103</v>
          </cell>
          <cell r="Y184">
            <v>43103</v>
          </cell>
          <cell r="Z184">
            <v>43103</v>
          </cell>
          <cell r="AA184">
            <v>43104</v>
          </cell>
          <cell r="AB184">
            <v>43173</v>
          </cell>
        </row>
        <row r="185">
          <cell r="A185" t="str">
            <v>17-072</v>
          </cell>
          <cell r="B185" t="str">
            <v>Fuji</v>
          </cell>
          <cell r="C185">
            <v>43068</v>
          </cell>
          <cell r="D185">
            <v>1</v>
          </cell>
          <cell r="E185">
            <v>2</v>
          </cell>
          <cell r="F185">
            <v>10</v>
          </cell>
          <cell r="G185">
            <v>12</v>
          </cell>
          <cell r="H185">
            <v>43082</v>
          </cell>
          <cell r="I185">
            <v>43091</v>
          </cell>
          <cell r="J185">
            <v>43087</v>
          </cell>
          <cell r="K185">
            <v>43088</v>
          </cell>
          <cell r="L185">
            <v>43089</v>
          </cell>
          <cell r="M185">
            <v>43096</v>
          </cell>
          <cell r="N185">
            <v>43103</v>
          </cell>
          <cell r="O185">
            <v>43110</v>
          </cell>
          <cell r="P185">
            <v>43082</v>
          </cell>
          <cell r="Q185">
            <v>43082</v>
          </cell>
          <cell r="R185">
            <v>0</v>
          </cell>
          <cell r="S185">
            <v>43084</v>
          </cell>
          <cell r="T185">
            <v>43085</v>
          </cell>
          <cell r="U185">
            <v>43089</v>
          </cell>
          <cell r="V185">
            <v>43096</v>
          </cell>
          <cell r="W185">
            <v>43103</v>
          </cell>
          <cell r="X185">
            <v>43103</v>
          </cell>
          <cell r="Y185">
            <v>43103</v>
          </cell>
          <cell r="Z185">
            <v>43103</v>
          </cell>
          <cell r="AA185">
            <v>43104</v>
          </cell>
          <cell r="AB185">
            <v>43166</v>
          </cell>
        </row>
        <row r="186">
          <cell r="A186" t="str">
            <v>17-073</v>
          </cell>
          <cell r="B186" t="str">
            <v>Fuji</v>
          </cell>
          <cell r="C186">
            <v>43068</v>
          </cell>
          <cell r="D186">
            <v>1</v>
          </cell>
          <cell r="E186">
            <v>2</v>
          </cell>
          <cell r="F186">
            <v>8</v>
          </cell>
          <cell r="G186">
            <v>10</v>
          </cell>
          <cell r="H186">
            <v>43082</v>
          </cell>
          <cell r="I186">
            <v>43091</v>
          </cell>
          <cell r="J186">
            <v>43087</v>
          </cell>
          <cell r="K186">
            <v>43088</v>
          </cell>
          <cell r="L186">
            <v>43089</v>
          </cell>
          <cell r="M186">
            <v>43096</v>
          </cell>
          <cell r="N186">
            <v>43103</v>
          </cell>
          <cell r="O186">
            <v>43110</v>
          </cell>
          <cell r="P186">
            <v>43082</v>
          </cell>
          <cell r="Q186">
            <v>43082</v>
          </cell>
          <cell r="R186">
            <v>0</v>
          </cell>
          <cell r="S186">
            <v>43084</v>
          </cell>
          <cell r="T186">
            <v>43085</v>
          </cell>
          <cell r="U186">
            <v>43089</v>
          </cell>
          <cell r="V186">
            <v>43096</v>
          </cell>
          <cell r="W186">
            <v>43103</v>
          </cell>
          <cell r="X186">
            <v>43103</v>
          </cell>
          <cell r="Y186">
            <v>43103</v>
          </cell>
          <cell r="Z186">
            <v>43103</v>
          </cell>
          <cell r="AA186">
            <v>43104</v>
          </cell>
          <cell r="AB186">
            <v>43152</v>
          </cell>
        </row>
        <row r="187">
          <cell r="A187" t="str">
            <v>17-074</v>
          </cell>
          <cell r="B187" t="str">
            <v>Fuji</v>
          </cell>
          <cell r="C187">
            <v>43068</v>
          </cell>
          <cell r="D187">
            <v>1</v>
          </cell>
          <cell r="E187">
            <v>2</v>
          </cell>
          <cell r="F187">
            <v>8</v>
          </cell>
          <cell r="G187">
            <v>10</v>
          </cell>
          <cell r="H187">
            <v>43082</v>
          </cell>
          <cell r="I187">
            <v>43091</v>
          </cell>
          <cell r="J187">
            <v>43087</v>
          </cell>
          <cell r="K187">
            <v>43088</v>
          </cell>
          <cell r="L187">
            <v>43089</v>
          </cell>
          <cell r="M187">
            <v>43096</v>
          </cell>
          <cell r="N187">
            <v>43103</v>
          </cell>
          <cell r="O187">
            <v>43110</v>
          </cell>
          <cell r="P187">
            <v>43082</v>
          </cell>
          <cell r="Q187">
            <v>43082</v>
          </cell>
          <cell r="R187">
            <v>0</v>
          </cell>
          <cell r="S187">
            <v>43084</v>
          </cell>
          <cell r="T187">
            <v>43085</v>
          </cell>
          <cell r="U187">
            <v>43089</v>
          </cell>
          <cell r="V187">
            <v>43096</v>
          </cell>
          <cell r="W187">
            <v>43103</v>
          </cell>
          <cell r="X187">
            <v>43103</v>
          </cell>
          <cell r="Y187">
            <v>43103</v>
          </cell>
          <cell r="Z187">
            <v>43103</v>
          </cell>
          <cell r="AA187">
            <v>43104</v>
          </cell>
          <cell r="AB187">
            <v>43152</v>
          </cell>
        </row>
        <row r="188">
          <cell r="A188" t="str">
            <v>17-075</v>
          </cell>
          <cell r="B188" t="str">
            <v>SNF Floquip</v>
          </cell>
          <cell r="C188">
            <v>43115</v>
          </cell>
          <cell r="D188">
            <v>2</v>
          </cell>
          <cell r="E188">
            <v>3</v>
          </cell>
          <cell r="F188">
            <v>8</v>
          </cell>
          <cell r="G188">
            <v>10</v>
          </cell>
          <cell r="H188">
            <v>43136</v>
          </cell>
          <cell r="I188">
            <v>43150</v>
          </cell>
          <cell r="J188">
            <v>43157</v>
          </cell>
          <cell r="K188">
            <v>43164</v>
          </cell>
          <cell r="L188">
            <v>43171</v>
          </cell>
          <cell r="M188">
            <v>43178</v>
          </cell>
          <cell r="N188">
            <v>43185</v>
          </cell>
          <cell r="O188">
            <v>43192</v>
          </cell>
          <cell r="P188">
            <v>43129</v>
          </cell>
          <cell r="Q188">
            <v>43129</v>
          </cell>
          <cell r="R188">
            <v>0</v>
          </cell>
          <cell r="S188">
            <v>43152</v>
          </cell>
          <cell r="T188">
            <v>43153</v>
          </cell>
          <cell r="U188">
            <v>43157</v>
          </cell>
          <cell r="V188">
            <v>43164</v>
          </cell>
          <cell r="W188">
            <v>43171</v>
          </cell>
          <cell r="X188">
            <v>43171</v>
          </cell>
          <cell r="Y188">
            <v>43171</v>
          </cell>
          <cell r="Z188">
            <v>43171</v>
          </cell>
          <cell r="AA188">
            <v>43172</v>
          </cell>
          <cell r="AB188">
            <v>43220</v>
          </cell>
        </row>
        <row r="189">
          <cell r="A189" t="str">
            <v>17-076</v>
          </cell>
          <cell r="B189" t="str">
            <v xml:space="preserve">Irving </v>
          </cell>
          <cell r="C189">
            <v>43083</v>
          </cell>
          <cell r="D189">
            <v>2</v>
          </cell>
          <cell r="E189">
            <v>3</v>
          </cell>
          <cell r="F189">
            <v>0</v>
          </cell>
          <cell r="G189">
            <v>8</v>
          </cell>
          <cell r="H189">
            <v>43104</v>
          </cell>
          <cell r="I189">
            <v>43122</v>
          </cell>
          <cell r="J189">
            <v>43132</v>
          </cell>
          <cell r="K189">
            <v>43147</v>
          </cell>
          <cell r="L189">
            <v>43166</v>
          </cell>
          <cell r="M189">
            <v>43173</v>
          </cell>
          <cell r="N189">
            <v>43180</v>
          </cell>
          <cell r="O189">
            <v>43187</v>
          </cell>
          <cell r="P189">
            <v>43097</v>
          </cell>
          <cell r="Q189">
            <v>43097</v>
          </cell>
          <cell r="R189">
            <v>0</v>
          </cell>
          <cell r="S189">
            <v>43161</v>
          </cell>
          <cell r="T189">
            <v>43162</v>
          </cell>
          <cell r="U189">
            <v>43166</v>
          </cell>
          <cell r="V189">
            <v>43173</v>
          </cell>
          <cell r="W189">
            <v>43180</v>
          </cell>
          <cell r="X189">
            <v>43180</v>
          </cell>
          <cell r="Y189">
            <v>43180</v>
          </cell>
          <cell r="Z189">
            <v>43180</v>
          </cell>
          <cell r="AA189">
            <v>43181</v>
          </cell>
          <cell r="AB189">
            <v>43215</v>
          </cell>
        </row>
        <row r="190">
          <cell r="A190" t="str">
            <v>17-077</v>
          </cell>
          <cell r="B190" t="str">
            <v xml:space="preserve">Irving </v>
          </cell>
          <cell r="C190">
            <v>43083</v>
          </cell>
          <cell r="D190">
            <v>2</v>
          </cell>
          <cell r="E190">
            <v>3</v>
          </cell>
          <cell r="F190">
            <v>0</v>
          </cell>
          <cell r="G190">
            <v>8</v>
          </cell>
          <cell r="H190">
            <v>43104</v>
          </cell>
          <cell r="I190">
            <v>43122</v>
          </cell>
          <cell r="J190">
            <v>43132</v>
          </cell>
          <cell r="K190">
            <v>43147</v>
          </cell>
          <cell r="L190">
            <v>43166</v>
          </cell>
          <cell r="M190">
            <v>43173</v>
          </cell>
          <cell r="N190">
            <v>43180</v>
          </cell>
          <cell r="O190">
            <v>43187</v>
          </cell>
          <cell r="P190">
            <v>43097</v>
          </cell>
          <cell r="Q190">
            <v>43097</v>
          </cell>
          <cell r="R190">
            <v>0</v>
          </cell>
          <cell r="S190">
            <v>43161</v>
          </cell>
          <cell r="T190">
            <v>43162</v>
          </cell>
          <cell r="U190">
            <v>43166</v>
          </cell>
          <cell r="V190">
            <v>43173</v>
          </cell>
          <cell r="W190">
            <v>43180</v>
          </cell>
          <cell r="X190">
            <v>43180</v>
          </cell>
          <cell r="Y190">
            <v>43180</v>
          </cell>
          <cell r="Z190">
            <v>43180</v>
          </cell>
          <cell r="AA190">
            <v>43181</v>
          </cell>
          <cell r="AB190">
            <v>43215</v>
          </cell>
        </row>
        <row r="191">
          <cell r="A191" t="str">
            <v>17-078</v>
          </cell>
          <cell r="B191" t="str">
            <v xml:space="preserve">Irving </v>
          </cell>
          <cell r="C191">
            <v>43083</v>
          </cell>
          <cell r="D191">
            <v>2</v>
          </cell>
          <cell r="E191">
            <v>3</v>
          </cell>
          <cell r="F191">
            <v>0</v>
          </cell>
          <cell r="G191">
            <v>8</v>
          </cell>
          <cell r="H191">
            <v>43104</v>
          </cell>
          <cell r="I191">
            <v>43122</v>
          </cell>
          <cell r="J191">
            <v>43132</v>
          </cell>
          <cell r="K191">
            <v>43147</v>
          </cell>
          <cell r="L191">
            <v>43173</v>
          </cell>
          <cell r="M191">
            <v>43180</v>
          </cell>
          <cell r="N191">
            <v>43187</v>
          </cell>
          <cell r="O191">
            <v>43194</v>
          </cell>
          <cell r="P191">
            <v>43097</v>
          </cell>
          <cell r="Q191">
            <v>43097</v>
          </cell>
          <cell r="R191">
            <v>0</v>
          </cell>
          <cell r="S191">
            <v>43168</v>
          </cell>
          <cell r="T191">
            <v>43169</v>
          </cell>
          <cell r="U191">
            <v>43173</v>
          </cell>
          <cell r="V191">
            <v>43180</v>
          </cell>
          <cell r="W191">
            <v>43187</v>
          </cell>
          <cell r="X191">
            <v>43187</v>
          </cell>
          <cell r="Y191">
            <v>43187</v>
          </cell>
          <cell r="Z191">
            <v>43187</v>
          </cell>
          <cell r="AA191">
            <v>43188</v>
          </cell>
          <cell r="AB191">
            <v>43222</v>
          </cell>
        </row>
        <row r="192">
          <cell r="A192" t="str">
            <v>17-079</v>
          </cell>
          <cell r="B192" t="str">
            <v xml:space="preserve">Irving </v>
          </cell>
          <cell r="C192">
            <v>43083</v>
          </cell>
          <cell r="D192">
            <v>2</v>
          </cell>
          <cell r="E192">
            <v>4</v>
          </cell>
          <cell r="F192">
            <v>0</v>
          </cell>
          <cell r="G192">
            <v>8</v>
          </cell>
          <cell r="H192">
            <v>43111</v>
          </cell>
          <cell r="I192">
            <v>43125</v>
          </cell>
          <cell r="J192">
            <v>43132</v>
          </cell>
          <cell r="K192">
            <v>43154</v>
          </cell>
          <cell r="L192">
            <v>43168</v>
          </cell>
          <cell r="M192">
            <v>43175</v>
          </cell>
          <cell r="N192">
            <v>43182</v>
          </cell>
          <cell r="O192">
            <v>43189</v>
          </cell>
          <cell r="P192">
            <v>43097</v>
          </cell>
          <cell r="Q192">
            <v>43097</v>
          </cell>
          <cell r="R192">
            <v>0</v>
          </cell>
          <cell r="S192">
            <v>43163</v>
          </cell>
          <cell r="T192">
            <v>43164</v>
          </cell>
          <cell r="U192">
            <v>43168</v>
          </cell>
          <cell r="V192">
            <v>43175</v>
          </cell>
          <cell r="W192">
            <v>43182</v>
          </cell>
          <cell r="X192">
            <v>43182</v>
          </cell>
          <cell r="Y192">
            <v>43182</v>
          </cell>
          <cell r="Z192">
            <v>43182</v>
          </cell>
          <cell r="AA192">
            <v>43183</v>
          </cell>
          <cell r="AB192">
            <v>43217</v>
          </cell>
        </row>
        <row r="193">
          <cell r="A193" t="str">
            <v>17-080</v>
          </cell>
          <cell r="B193" t="str">
            <v xml:space="preserve">Irving </v>
          </cell>
          <cell r="C193">
            <v>43083</v>
          </cell>
          <cell r="D193">
            <v>2</v>
          </cell>
          <cell r="E193">
            <v>4</v>
          </cell>
          <cell r="F193">
            <v>0</v>
          </cell>
          <cell r="G193">
            <v>8</v>
          </cell>
          <cell r="H193">
            <v>43111</v>
          </cell>
          <cell r="I193">
            <v>43125</v>
          </cell>
          <cell r="J193">
            <v>43132</v>
          </cell>
          <cell r="K193">
            <v>43154</v>
          </cell>
          <cell r="L193">
            <v>43164</v>
          </cell>
          <cell r="M193">
            <v>43171</v>
          </cell>
          <cell r="N193">
            <v>43178</v>
          </cell>
          <cell r="O193">
            <v>43185</v>
          </cell>
          <cell r="P193">
            <v>43097</v>
          </cell>
          <cell r="Q193">
            <v>43097</v>
          </cell>
          <cell r="R193">
            <v>0</v>
          </cell>
          <cell r="S193">
            <v>43159</v>
          </cell>
          <cell r="T193">
            <v>43160</v>
          </cell>
          <cell r="U193">
            <v>43164</v>
          </cell>
          <cell r="V193">
            <v>43171</v>
          </cell>
          <cell r="W193">
            <v>43178</v>
          </cell>
          <cell r="X193">
            <v>43178</v>
          </cell>
          <cell r="Y193">
            <v>43178</v>
          </cell>
          <cell r="Z193">
            <v>43178</v>
          </cell>
          <cell r="AA193">
            <v>43179</v>
          </cell>
          <cell r="AB193">
            <v>43213</v>
          </cell>
        </row>
        <row r="194">
          <cell r="A194" t="str">
            <v>17-081</v>
          </cell>
          <cell r="B194" t="str">
            <v xml:space="preserve">Irving </v>
          </cell>
          <cell r="C194">
            <v>43083</v>
          </cell>
          <cell r="D194">
            <v>2</v>
          </cell>
          <cell r="E194">
            <v>4</v>
          </cell>
          <cell r="F194">
            <v>0</v>
          </cell>
          <cell r="G194">
            <v>8</v>
          </cell>
          <cell r="H194">
            <v>43111</v>
          </cell>
          <cell r="I194">
            <v>43125</v>
          </cell>
          <cell r="J194">
            <v>43132</v>
          </cell>
          <cell r="K194">
            <v>43152</v>
          </cell>
          <cell r="L194">
            <v>43162</v>
          </cell>
          <cell r="M194">
            <v>43169</v>
          </cell>
          <cell r="N194">
            <v>43176</v>
          </cell>
          <cell r="O194">
            <v>43183</v>
          </cell>
          <cell r="P194">
            <v>43097</v>
          </cell>
          <cell r="Q194">
            <v>43097</v>
          </cell>
          <cell r="R194">
            <v>0</v>
          </cell>
          <cell r="S194">
            <v>43157</v>
          </cell>
          <cell r="T194">
            <v>43158</v>
          </cell>
          <cell r="U194">
            <v>43162</v>
          </cell>
          <cell r="V194">
            <v>43169</v>
          </cell>
          <cell r="W194">
            <v>43176</v>
          </cell>
          <cell r="X194">
            <v>43176</v>
          </cell>
          <cell r="Y194">
            <v>43176</v>
          </cell>
          <cell r="Z194">
            <v>43176</v>
          </cell>
          <cell r="AA194">
            <v>43177</v>
          </cell>
          <cell r="AB194">
            <v>43211</v>
          </cell>
        </row>
        <row r="195">
          <cell r="A195" t="str">
            <v>17-082</v>
          </cell>
          <cell r="B195" t="str">
            <v xml:space="preserve">Irving </v>
          </cell>
          <cell r="C195">
            <v>43083</v>
          </cell>
          <cell r="D195">
            <v>2</v>
          </cell>
          <cell r="E195">
            <v>4</v>
          </cell>
          <cell r="F195">
            <v>0</v>
          </cell>
          <cell r="G195">
            <v>8</v>
          </cell>
          <cell r="H195">
            <v>43111</v>
          </cell>
          <cell r="I195">
            <v>43125</v>
          </cell>
          <cell r="J195">
            <v>43132</v>
          </cell>
          <cell r="K195">
            <v>43152</v>
          </cell>
          <cell r="L195">
            <v>43166</v>
          </cell>
          <cell r="M195">
            <v>43173</v>
          </cell>
          <cell r="N195">
            <v>43180</v>
          </cell>
          <cell r="O195">
            <v>43187</v>
          </cell>
          <cell r="P195">
            <v>43097</v>
          </cell>
          <cell r="Q195">
            <v>43097</v>
          </cell>
          <cell r="R195">
            <v>0</v>
          </cell>
          <cell r="S195">
            <v>43161</v>
          </cell>
          <cell r="T195">
            <v>43162</v>
          </cell>
          <cell r="U195">
            <v>43166</v>
          </cell>
          <cell r="V195">
            <v>43173</v>
          </cell>
          <cell r="W195">
            <v>43180</v>
          </cell>
          <cell r="X195">
            <v>43180</v>
          </cell>
          <cell r="Y195">
            <v>43180</v>
          </cell>
          <cell r="Z195">
            <v>43180</v>
          </cell>
          <cell r="AA195">
            <v>43181</v>
          </cell>
          <cell r="AB195">
            <v>43215</v>
          </cell>
        </row>
        <row r="196">
          <cell r="A196" t="str">
            <v>17-083</v>
          </cell>
          <cell r="B196" t="str">
            <v xml:space="preserve">Irving </v>
          </cell>
          <cell r="C196">
            <v>43083</v>
          </cell>
          <cell r="D196">
            <v>2</v>
          </cell>
          <cell r="E196">
            <v>4</v>
          </cell>
          <cell r="F196">
            <v>0</v>
          </cell>
          <cell r="G196">
            <v>10</v>
          </cell>
          <cell r="H196">
            <v>43111</v>
          </cell>
          <cell r="I196">
            <v>43125</v>
          </cell>
          <cell r="J196">
            <v>43132</v>
          </cell>
          <cell r="K196">
            <v>43158</v>
          </cell>
          <cell r="L196">
            <v>43168</v>
          </cell>
          <cell r="M196">
            <v>43175</v>
          </cell>
          <cell r="N196">
            <v>43182</v>
          </cell>
          <cell r="O196">
            <v>43189</v>
          </cell>
          <cell r="P196">
            <v>43097</v>
          </cell>
          <cell r="Q196">
            <v>43097</v>
          </cell>
          <cell r="R196">
            <v>0</v>
          </cell>
          <cell r="S196">
            <v>43163</v>
          </cell>
          <cell r="T196">
            <v>43164</v>
          </cell>
          <cell r="U196">
            <v>43168</v>
          </cell>
          <cell r="V196">
            <v>43175</v>
          </cell>
          <cell r="W196">
            <v>43182</v>
          </cell>
          <cell r="X196">
            <v>43182</v>
          </cell>
          <cell r="Y196">
            <v>43182</v>
          </cell>
          <cell r="Z196">
            <v>43182</v>
          </cell>
          <cell r="AA196">
            <v>43183</v>
          </cell>
          <cell r="AB196">
            <v>43231</v>
          </cell>
        </row>
        <row r="197">
          <cell r="A197" t="str">
            <v>17-084</v>
          </cell>
          <cell r="B197" t="str">
            <v xml:space="preserve">Irving </v>
          </cell>
          <cell r="C197">
            <v>43083</v>
          </cell>
          <cell r="D197">
            <v>2</v>
          </cell>
          <cell r="E197">
            <v>4</v>
          </cell>
          <cell r="F197">
            <v>0</v>
          </cell>
          <cell r="G197">
            <v>10</v>
          </cell>
          <cell r="H197">
            <v>43111</v>
          </cell>
          <cell r="I197">
            <v>43125</v>
          </cell>
          <cell r="J197">
            <v>43132</v>
          </cell>
          <cell r="K197">
            <v>43158</v>
          </cell>
          <cell r="L197">
            <v>43168</v>
          </cell>
          <cell r="M197">
            <v>43175</v>
          </cell>
          <cell r="N197">
            <v>43182</v>
          </cell>
          <cell r="O197">
            <v>43189</v>
          </cell>
          <cell r="P197">
            <v>43097</v>
          </cell>
          <cell r="Q197">
            <v>43097</v>
          </cell>
          <cell r="R197">
            <v>0</v>
          </cell>
          <cell r="S197">
            <v>43163</v>
          </cell>
          <cell r="T197">
            <v>43164</v>
          </cell>
          <cell r="U197">
            <v>43168</v>
          </cell>
          <cell r="V197">
            <v>43175</v>
          </cell>
          <cell r="W197">
            <v>43182</v>
          </cell>
          <cell r="X197">
            <v>43182</v>
          </cell>
          <cell r="Y197">
            <v>43182</v>
          </cell>
          <cell r="Z197">
            <v>43182</v>
          </cell>
          <cell r="AA197">
            <v>43183</v>
          </cell>
          <cell r="AB197">
            <v>43231</v>
          </cell>
        </row>
        <row r="198">
          <cell r="A198" t="str">
            <v>17-085</v>
          </cell>
          <cell r="B198" t="str">
            <v xml:space="preserve">Irving </v>
          </cell>
          <cell r="C198">
            <v>43083</v>
          </cell>
          <cell r="D198">
            <v>2</v>
          </cell>
          <cell r="E198">
            <v>5</v>
          </cell>
          <cell r="F198">
            <v>0</v>
          </cell>
          <cell r="G198">
            <v>10</v>
          </cell>
          <cell r="H198">
            <v>43118</v>
          </cell>
          <cell r="I198">
            <v>43133</v>
          </cell>
          <cell r="J198">
            <v>43164</v>
          </cell>
          <cell r="K198">
            <v>43173</v>
          </cell>
          <cell r="L198">
            <v>43180</v>
          </cell>
          <cell r="M198">
            <v>43187</v>
          </cell>
          <cell r="N198">
            <v>43194</v>
          </cell>
          <cell r="O198">
            <v>43201</v>
          </cell>
          <cell r="P198">
            <v>43097</v>
          </cell>
          <cell r="Q198">
            <v>43097</v>
          </cell>
          <cell r="R198">
            <v>0</v>
          </cell>
          <cell r="S198">
            <v>43159</v>
          </cell>
          <cell r="T198">
            <v>43160</v>
          </cell>
          <cell r="U198">
            <v>43164</v>
          </cell>
          <cell r="V198">
            <v>43171</v>
          </cell>
          <cell r="W198">
            <v>43178</v>
          </cell>
          <cell r="X198">
            <v>43178</v>
          </cell>
          <cell r="Y198">
            <v>43178</v>
          </cell>
          <cell r="Z198">
            <v>43178</v>
          </cell>
          <cell r="AA198">
            <v>43179</v>
          </cell>
          <cell r="AB198">
            <v>43227</v>
          </cell>
        </row>
        <row r="199">
          <cell r="A199" t="str">
            <v>17-086</v>
          </cell>
          <cell r="B199" t="str">
            <v xml:space="preserve">Irving </v>
          </cell>
          <cell r="C199">
            <v>43083</v>
          </cell>
          <cell r="D199">
            <v>2</v>
          </cell>
          <cell r="E199">
            <v>5</v>
          </cell>
          <cell r="F199">
            <v>0</v>
          </cell>
          <cell r="G199">
            <v>10</v>
          </cell>
          <cell r="H199">
            <v>43118</v>
          </cell>
          <cell r="I199">
            <v>43133</v>
          </cell>
          <cell r="J199">
            <v>43151</v>
          </cell>
          <cell r="K199">
            <v>43160</v>
          </cell>
          <cell r="L199">
            <v>43173</v>
          </cell>
          <cell r="M199">
            <v>43180</v>
          </cell>
          <cell r="N199">
            <v>43187</v>
          </cell>
          <cell r="O199">
            <v>43194</v>
          </cell>
          <cell r="P199">
            <v>43097</v>
          </cell>
          <cell r="Q199">
            <v>43097</v>
          </cell>
          <cell r="R199">
            <v>0</v>
          </cell>
          <cell r="S199">
            <v>43168</v>
          </cell>
          <cell r="T199">
            <v>43169</v>
          </cell>
          <cell r="U199">
            <v>43173</v>
          </cell>
          <cell r="V199">
            <v>43180</v>
          </cell>
          <cell r="W199">
            <v>43187</v>
          </cell>
          <cell r="X199">
            <v>43187</v>
          </cell>
          <cell r="Y199">
            <v>43187</v>
          </cell>
          <cell r="Z199">
            <v>43187</v>
          </cell>
          <cell r="AA199">
            <v>43188</v>
          </cell>
          <cell r="AB199">
            <v>43236</v>
          </cell>
        </row>
        <row r="200">
          <cell r="A200" t="str">
            <v>17-087</v>
          </cell>
          <cell r="B200" t="str">
            <v xml:space="preserve">Irving </v>
          </cell>
          <cell r="C200">
            <v>43083</v>
          </cell>
          <cell r="D200">
            <v>2</v>
          </cell>
          <cell r="E200">
            <v>5</v>
          </cell>
          <cell r="F200">
            <v>0</v>
          </cell>
          <cell r="G200">
            <v>10</v>
          </cell>
          <cell r="H200">
            <v>43118</v>
          </cell>
          <cell r="I200">
            <v>43133</v>
          </cell>
          <cell r="J200">
            <v>43138</v>
          </cell>
          <cell r="K200">
            <v>43152</v>
          </cell>
          <cell r="L200">
            <v>43166</v>
          </cell>
          <cell r="M200">
            <v>43173</v>
          </cell>
          <cell r="N200">
            <v>43180</v>
          </cell>
          <cell r="O200">
            <v>43187</v>
          </cell>
          <cell r="P200">
            <v>43097</v>
          </cell>
          <cell r="Q200">
            <v>43097</v>
          </cell>
          <cell r="R200">
            <v>0</v>
          </cell>
          <cell r="S200">
            <v>43161</v>
          </cell>
          <cell r="T200">
            <v>43162</v>
          </cell>
          <cell r="U200">
            <v>43166</v>
          </cell>
          <cell r="V200">
            <v>43173</v>
          </cell>
          <cell r="W200">
            <v>43180</v>
          </cell>
          <cell r="X200">
            <v>43180</v>
          </cell>
          <cell r="Y200">
            <v>43180</v>
          </cell>
          <cell r="Z200">
            <v>43180</v>
          </cell>
          <cell r="AA200">
            <v>43181</v>
          </cell>
          <cell r="AB200">
            <v>43229</v>
          </cell>
        </row>
        <row r="201">
          <cell r="A201" t="str">
            <v>17-088</v>
          </cell>
          <cell r="B201" t="str">
            <v xml:space="preserve">Irving </v>
          </cell>
          <cell r="C201">
            <v>43083</v>
          </cell>
          <cell r="D201">
            <v>2</v>
          </cell>
          <cell r="E201">
            <v>5</v>
          </cell>
          <cell r="F201">
            <v>0</v>
          </cell>
          <cell r="G201">
            <v>10</v>
          </cell>
          <cell r="H201">
            <v>43118</v>
          </cell>
          <cell r="I201">
            <v>43133</v>
          </cell>
          <cell r="J201">
            <v>43151</v>
          </cell>
          <cell r="K201">
            <v>43160</v>
          </cell>
          <cell r="L201">
            <v>43168</v>
          </cell>
          <cell r="M201">
            <v>43175</v>
          </cell>
          <cell r="N201">
            <v>43182</v>
          </cell>
          <cell r="O201">
            <v>43189</v>
          </cell>
          <cell r="P201">
            <v>43097</v>
          </cell>
          <cell r="Q201">
            <v>43097</v>
          </cell>
          <cell r="R201">
            <v>0</v>
          </cell>
          <cell r="S201">
            <v>43163</v>
          </cell>
          <cell r="T201">
            <v>43164</v>
          </cell>
          <cell r="U201">
            <v>43168</v>
          </cell>
          <cell r="V201">
            <v>43175</v>
          </cell>
          <cell r="W201">
            <v>43182</v>
          </cell>
          <cell r="X201">
            <v>43182</v>
          </cell>
          <cell r="Y201">
            <v>43182</v>
          </cell>
          <cell r="Z201">
            <v>43182</v>
          </cell>
          <cell r="AA201">
            <v>43183</v>
          </cell>
          <cell r="AB201">
            <v>43231</v>
          </cell>
        </row>
        <row r="202">
          <cell r="A202" t="str">
            <v>17-089</v>
          </cell>
          <cell r="B202" t="str">
            <v xml:space="preserve">Irving </v>
          </cell>
          <cell r="C202">
            <v>43083</v>
          </cell>
          <cell r="D202">
            <v>2</v>
          </cell>
          <cell r="E202">
            <v>5</v>
          </cell>
          <cell r="F202">
            <v>0</v>
          </cell>
          <cell r="G202">
            <v>10</v>
          </cell>
          <cell r="H202">
            <v>43118</v>
          </cell>
          <cell r="I202">
            <v>43133</v>
          </cell>
          <cell r="J202">
            <v>43152</v>
          </cell>
          <cell r="K202">
            <v>43160</v>
          </cell>
          <cell r="L202">
            <v>43168</v>
          </cell>
          <cell r="M202">
            <v>43175</v>
          </cell>
          <cell r="N202">
            <v>43182</v>
          </cell>
          <cell r="O202">
            <v>43189</v>
          </cell>
          <cell r="P202">
            <v>43097</v>
          </cell>
          <cell r="Q202">
            <v>43097</v>
          </cell>
          <cell r="R202">
            <v>0</v>
          </cell>
          <cell r="S202">
            <v>43163</v>
          </cell>
          <cell r="T202">
            <v>43164</v>
          </cell>
          <cell r="U202">
            <v>43168</v>
          </cell>
          <cell r="V202">
            <v>43175</v>
          </cell>
          <cell r="W202">
            <v>43182</v>
          </cell>
          <cell r="X202">
            <v>43182</v>
          </cell>
          <cell r="Y202">
            <v>43182</v>
          </cell>
          <cell r="Z202">
            <v>43182</v>
          </cell>
          <cell r="AA202">
            <v>43183</v>
          </cell>
          <cell r="AB202">
            <v>43231</v>
          </cell>
        </row>
        <row r="203">
          <cell r="A203" t="str">
            <v>17-090</v>
          </cell>
          <cell r="B203" t="str">
            <v>GAF</v>
          </cell>
          <cell r="C203">
            <v>43105</v>
          </cell>
          <cell r="D203">
            <v>0</v>
          </cell>
          <cell r="E203">
            <v>0</v>
          </cell>
          <cell r="F203">
            <v>1</v>
          </cell>
          <cell r="G203">
            <v>1</v>
          </cell>
          <cell r="H203">
            <v>43105</v>
          </cell>
          <cell r="I203">
            <v>43119</v>
          </cell>
          <cell r="J203">
            <v>43126</v>
          </cell>
          <cell r="K203">
            <v>43133</v>
          </cell>
          <cell r="L203">
            <v>43140</v>
          </cell>
          <cell r="M203">
            <v>43147</v>
          </cell>
          <cell r="N203">
            <v>43154</v>
          </cell>
          <cell r="O203">
            <v>43161</v>
          </cell>
          <cell r="P203">
            <v>43119</v>
          </cell>
          <cell r="Q203">
            <v>43119</v>
          </cell>
          <cell r="R203">
            <v>0</v>
          </cell>
          <cell r="S203">
            <v>43121</v>
          </cell>
          <cell r="T203">
            <v>43122</v>
          </cell>
          <cell r="U203">
            <v>43126</v>
          </cell>
          <cell r="V203">
            <v>43133</v>
          </cell>
          <cell r="W203">
            <v>43140</v>
          </cell>
          <cell r="X203">
            <v>43140</v>
          </cell>
          <cell r="Y203">
            <v>43140</v>
          </cell>
          <cell r="Z203">
            <v>43140</v>
          </cell>
          <cell r="AA203">
            <v>43141</v>
          </cell>
          <cell r="AB203">
            <v>43126</v>
          </cell>
        </row>
        <row r="204">
          <cell r="A204" t="str">
            <v>17-091</v>
          </cell>
          <cell r="B204" t="str">
            <v>Mullins</v>
          </cell>
          <cell r="C204">
            <v>43091</v>
          </cell>
          <cell r="D204">
            <v>3</v>
          </cell>
          <cell r="E204">
            <v>4</v>
          </cell>
          <cell r="F204">
            <v>4</v>
          </cell>
          <cell r="G204">
            <v>5</v>
          </cell>
          <cell r="H204">
            <v>43119</v>
          </cell>
          <cell r="I204">
            <v>43124</v>
          </cell>
          <cell r="J204">
            <v>43117</v>
          </cell>
          <cell r="K204">
            <v>43117</v>
          </cell>
          <cell r="L204">
            <v>43124</v>
          </cell>
          <cell r="M204">
            <v>43131</v>
          </cell>
          <cell r="N204">
            <v>43138</v>
          </cell>
          <cell r="O204">
            <v>43145</v>
          </cell>
          <cell r="P204">
            <v>43105</v>
          </cell>
          <cell r="Q204">
            <v>43105</v>
          </cell>
          <cell r="R204">
            <v>0</v>
          </cell>
          <cell r="S204">
            <v>43112</v>
          </cell>
          <cell r="T204">
            <v>43113</v>
          </cell>
          <cell r="U204">
            <v>43117</v>
          </cell>
          <cell r="V204">
            <v>43124</v>
          </cell>
          <cell r="W204">
            <v>43131</v>
          </cell>
          <cell r="X204">
            <v>43131</v>
          </cell>
          <cell r="Y204">
            <v>43131</v>
          </cell>
          <cell r="Z204">
            <v>43131</v>
          </cell>
          <cell r="AA204">
            <v>43132</v>
          </cell>
          <cell r="AB204">
            <v>43145</v>
          </cell>
        </row>
        <row r="205">
          <cell r="A205" t="str">
            <v>17-092</v>
          </cell>
          <cell r="B205" t="str">
            <v>Mullins</v>
          </cell>
          <cell r="C205">
            <v>43098</v>
          </cell>
          <cell r="D205">
            <v>3</v>
          </cell>
          <cell r="E205">
            <v>4</v>
          </cell>
          <cell r="F205">
            <v>6</v>
          </cell>
          <cell r="G205">
            <v>8</v>
          </cell>
          <cell r="H205">
            <v>43126</v>
          </cell>
          <cell r="I205">
            <v>43131</v>
          </cell>
          <cell r="J205">
            <v>43132</v>
          </cell>
          <cell r="K205">
            <v>43139</v>
          </cell>
          <cell r="L205">
            <v>43146</v>
          </cell>
          <cell r="M205">
            <v>43153</v>
          </cell>
          <cell r="N205">
            <v>43160</v>
          </cell>
          <cell r="O205">
            <v>43167</v>
          </cell>
          <cell r="P205">
            <v>43112</v>
          </cell>
          <cell r="Q205">
            <v>43112</v>
          </cell>
          <cell r="R205">
            <v>0</v>
          </cell>
          <cell r="S205">
            <v>43127</v>
          </cell>
          <cell r="T205">
            <v>43128</v>
          </cell>
          <cell r="U205">
            <v>43132</v>
          </cell>
          <cell r="V205">
            <v>43139</v>
          </cell>
          <cell r="W205">
            <v>43146</v>
          </cell>
          <cell r="X205">
            <v>43146</v>
          </cell>
          <cell r="Y205">
            <v>43146</v>
          </cell>
          <cell r="Z205">
            <v>43146</v>
          </cell>
          <cell r="AA205">
            <v>43147</v>
          </cell>
          <cell r="AB205">
            <v>43181</v>
          </cell>
        </row>
        <row r="206">
          <cell r="A206" t="str">
            <v>18-001</v>
          </cell>
          <cell r="B206" t="str">
            <v>Rosenblad</v>
          </cell>
          <cell r="C206">
            <v>43112</v>
          </cell>
          <cell r="D206">
            <v>2</v>
          </cell>
          <cell r="E206">
            <v>3</v>
          </cell>
          <cell r="F206">
            <v>10</v>
          </cell>
          <cell r="G206">
            <v>12</v>
          </cell>
          <cell r="H206">
            <v>43133</v>
          </cell>
          <cell r="I206">
            <v>43152</v>
          </cell>
          <cell r="J206">
            <v>43192</v>
          </cell>
          <cell r="K206">
            <v>43195</v>
          </cell>
          <cell r="L206">
            <v>43202</v>
          </cell>
          <cell r="M206">
            <v>43209</v>
          </cell>
          <cell r="N206">
            <v>43216</v>
          </cell>
          <cell r="O206">
            <v>43223</v>
          </cell>
          <cell r="P206">
            <v>43126</v>
          </cell>
          <cell r="Q206">
            <v>43126</v>
          </cell>
          <cell r="R206">
            <v>0</v>
          </cell>
          <cell r="S206">
            <v>43187</v>
          </cell>
          <cell r="T206">
            <v>43188</v>
          </cell>
          <cell r="U206">
            <v>43192</v>
          </cell>
          <cell r="V206">
            <v>43199</v>
          </cell>
          <cell r="W206">
            <v>43206</v>
          </cell>
          <cell r="X206">
            <v>43206</v>
          </cell>
          <cell r="Y206">
            <v>43206</v>
          </cell>
          <cell r="Z206">
            <v>43206</v>
          </cell>
          <cell r="AA206">
            <v>43207</v>
          </cell>
          <cell r="AB206">
            <v>43269</v>
          </cell>
        </row>
        <row r="207">
          <cell r="A207" t="str">
            <v>18-002</v>
          </cell>
          <cell r="B207" t="str">
            <v>Rosenblad</v>
          </cell>
          <cell r="C207">
            <v>43112</v>
          </cell>
          <cell r="D207">
            <v>2</v>
          </cell>
          <cell r="E207">
            <v>3</v>
          </cell>
          <cell r="F207">
            <v>10</v>
          </cell>
          <cell r="G207">
            <v>12</v>
          </cell>
          <cell r="H207">
            <v>43133</v>
          </cell>
          <cell r="I207">
            <v>43145</v>
          </cell>
          <cell r="J207">
            <v>43146</v>
          </cell>
          <cell r="K207">
            <v>43166</v>
          </cell>
          <cell r="L207">
            <v>43168</v>
          </cell>
          <cell r="M207">
            <v>43175</v>
          </cell>
          <cell r="N207">
            <v>43182</v>
          </cell>
          <cell r="O207">
            <v>43189</v>
          </cell>
          <cell r="P207">
            <v>43126</v>
          </cell>
          <cell r="Q207">
            <v>43126</v>
          </cell>
          <cell r="R207">
            <v>0</v>
          </cell>
          <cell r="S207">
            <v>43163</v>
          </cell>
          <cell r="T207">
            <v>43164</v>
          </cell>
          <cell r="U207">
            <v>43168</v>
          </cell>
          <cell r="V207">
            <v>43175</v>
          </cell>
          <cell r="W207">
            <v>43182</v>
          </cell>
          <cell r="X207">
            <v>43182</v>
          </cell>
          <cell r="Y207">
            <v>43182</v>
          </cell>
          <cell r="Z207">
            <v>43182</v>
          </cell>
          <cell r="AA207">
            <v>43183</v>
          </cell>
          <cell r="AB207">
            <v>43245</v>
          </cell>
        </row>
        <row r="208">
          <cell r="A208" t="str">
            <v>18-003</v>
          </cell>
          <cell r="B208" t="str">
            <v>Rosenblad</v>
          </cell>
          <cell r="C208">
            <v>43112</v>
          </cell>
          <cell r="D208">
            <v>2</v>
          </cell>
          <cell r="E208">
            <v>3</v>
          </cell>
          <cell r="F208">
            <v>10</v>
          </cell>
          <cell r="G208">
            <v>12</v>
          </cell>
          <cell r="H208">
            <v>43133</v>
          </cell>
          <cell r="I208">
            <v>43145</v>
          </cell>
          <cell r="J208">
            <v>43151</v>
          </cell>
          <cell r="K208">
            <v>43164</v>
          </cell>
          <cell r="L208">
            <v>43168</v>
          </cell>
          <cell r="M208">
            <v>43175</v>
          </cell>
          <cell r="N208">
            <v>43182</v>
          </cell>
          <cell r="O208">
            <v>43189</v>
          </cell>
          <cell r="P208">
            <v>43126</v>
          </cell>
          <cell r="Q208">
            <v>43126</v>
          </cell>
          <cell r="R208">
            <v>0</v>
          </cell>
          <cell r="S208">
            <v>43163</v>
          </cell>
          <cell r="T208">
            <v>43164</v>
          </cell>
          <cell r="U208">
            <v>43168</v>
          </cell>
          <cell r="V208">
            <v>43175</v>
          </cell>
          <cell r="W208">
            <v>43182</v>
          </cell>
          <cell r="X208">
            <v>43182</v>
          </cell>
          <cell r="Y208">
            <v>43182</v>
          </cell>
          <cell r="Z208">
            <v>43182</v>
          </cell>
          <cell r="AA208">
            <v>43183</v>
          </cell>
          <cell r="AB208">
            <v>43245</v>
          </cell>
        </row>
        <row r="209">
          <cell r="A209" t="str">
            <v>18-004</v>
          </cell>
          <cell r="B209" t="str">
            <v>Rosenblad</v>
          </cell>
          <cell r="C209">
            <v>43112</v>
          </cell>
          <cell r="D209">
            <v>2</v>
          </cell>
          <cell r="E209">
            <v>3</v>
          </cell>
          <cell r="F209">
            <v>10</v>
          </cell>
          <cell r="G209">
            <v>12</v>
          </cell>
          <cell r="H209">
            <v>43133</v>
          </cell>
          <cell r="I209">
            <v>43147</v>
          </cell>
          <cell r="J209">
            <v>43192</v>
          </cell>
          <cell r="K209">
            <v>43195</v>
          </cell>
          <cell r="L209">
            <v>43202</v>
          </cell>
          <cell r="M209">
            <v>43209</v>
          </cell>
          <cell r="N209">
            <v>43216</v>
          </cell>
          <cell r="O209">
            <v>43223</v>
          </cell>
          <cell r="P209">
            <v>43126</v>
          </cell>
          <cell r="Q209">
            <v>43126</v>
          </cell>
          <cell r="R209">
            <v>0</v>
          </cell>
          <cell r="S209">
            <v>43187</v>
          </cell>
          <cell r="T209">
            <v>43188</v>
          </cell>
          <cell r="U209">
            <v>43192</v>
          </cell>
          <cell r="V209">
            <v>43199</v>
          </cell>
          <cell r="W209">
            <v>43206</v>
          </cell>
          <cell r="X209">
            <v>43206</v>
          </cell>
          <cell r="Y209">
            <v>43206</v>
          </cell>
          <cell r="Z209">
            <v>43206</v>
          </cell>
          <cell r="AA209">
            <v>43207</v>
          </cell>
          <cell r="AB209">
            <v>43269</v>
          </cell>
        </row>
        <row r="210">
          <cell r="A210" t="str">
            <v>18-005.1</v>
          </cell>
          <cell r="B210" t="str">
            <v>IP Savannah</v>
          </cell>
          <cell r="C210">
            <v>43119</v>
          </cell>
          <cell r="D210">
            <v>2</v>
          </cell>
          <cell r="E210">
            <v>3</v>
          </cell>
          <cell r="F210">
            <v>0</v>
          </cell>
          <cell r="G210">
            <v>0</v>
          </cell>
          <cell r="H210">
            <v>43140</v>
          </cell>
          <cell r="I210">
            <v>43174</v>
          </cell>
          <cell r="J210">
            <v>43181</v>
          </cell>
          <cell r="K210">
            <v>43188</v>
          </cell>
          <cell r="L210">
            <v>43195</v>
          </cell>
          <cell r="M210">
            <v>43202</v>
          </cell>
          <cell r="N210">
            <v>43209</v>
          </cell>
          <cell r="O210">
            <v>43216</v>
          </cell>
          <cell r="P210">
            <v>43133</v>
          </cell>
          <cell r="Q210">
            <v>43133</v>
          </cell>
          <cell r="R210">
            <v>0</v>
          </cell>
          <cell r="S210">
            <v>43176</v>
          </cell>
          <cell r="T210">
            <v>43177</v>
          </cell>
          <cell r="U210">
            <v>43181</v>
          </cell>
          <cell r="V210">
            <v>43188</v>
          </cell>
          <cell r="W210">
            <v>43195</v>
          </cell>
          <cell r="X210">
            <v>43195</v>
          </cell>
          <cell r="Y210">
            <v>43195</v>
          </cell>
          <cell r="Z210">
            <v>43195</v>
          </cell>
          <cell r="AA210">
            <v>43196</v>
          </cell>
          <cell r="AB210">
            <v>43174</v>
          </cell>
        </row>
        <row r="211">
          <cell r="A211" t="str">
            <v>18-005.2</v>
          </cell>
          <cell r="B211" t="str">
            <v>IP Savannah</v>
          </cell>
          <cell r="C211">
            <v>43119</v>
          </cell>
          <cell r="D211">
            <v>2</v>
          </cell>
          <cell r="E211">
            <v>3</v>
          </cell>
          <cell r="F211">
            <v>0</v>
          </cell>
          <cell r="G211">
            <v>0</v>
          </cell>
          <cell r="H211">
            <v>43140</v>
          </cell>
          <cell r="I211">
            <v>43174</v>
          </cell>
          <cell r="J211">
            <v>43181</v>
          </cell>
          <cell r="K211">
            <v>43188</v>
          </cell>
          <cell r="L211">
            <v>43195</v>
          </cell>
          <cell r="M211">
            <v>43202</v>
          </cell>
          <cell r="N211">
            <v>43209</v>
          </cell>
          <cell r="O211">
            <v>43216</v>
          </cell>
          <cell r="P211">
            <v>43133</v>
          </cell>
          <cell r="Q211">
            <v>43133</v>
          </cell>
          <cell r="R211">
            <v>0</v>
          </cell>
          <cell r="S211">
            <v>43176</v>
          </cell>
          <cell r="T211">
            <v>43177</v>
          </cell>
          <cell r="U211">
            <v>43181</v>
          </cell>
          <cell r="V211">
            <v>43188</v>
          </cell>
          <cell r="W211">
            <v>43195</v>
          </cell>
          <cell r="X211">
            <v>43195</v>
          </cell>
          <cell r="Y211">
            <v>43195</v>
          </cell>
          <cell r="Z211">
            <v>43195</v>
          </cell>
          <cell r="AA211">
            <v>43196</v>
          </cell>
          <cell r="AB211">
            <v>43174</v>
          </cell>
        </row>
        <row r="212">
          <cell r="A212" t="str">
            <v>18-005.3</v>
          </cell>
          <cell r="B212" t="str">
            <v>IP Savannah</v>
          </cell>
          <cell r="C212">
            <v>43119</v>
          </cell>
          <cell r="D212">
            <v>2</v>
          </cell>
          <cell r="E212">
            <v>4</v>
          </cell>
          <cell r="F212">
            <v>0</v>
          </cell>
          <cell r="G212">
            <v>0</v>
          </cell>
          <cell r="H212">
            <v>43147</v>
          </cell>
          <cell r="I212">
            <v>43174</v>
          </cell>
          <cell r="J212">
            <v>43181</v>
          </cell>
          <cell r="K212">
            <v>43188</v>
          </cell>
          <cell r="L212">
            <v>43195</v>
          </cell>
          <cell r="M212">
            <v>43202</v>
          </cell>
          <cell r="N212">
            <v>43209</v>
          </cell>
          <cell r="O212">
            <v>43216</v>
          </cell>
          <cell r="P212">
            <v>43133</v>
          </cell>
          <cell r="Q212">
            <v>43133</v>
          </cell>
          <cell r="R212">
            <v>0</v>
          </cell>
          <cell r="S212">
            <v>43176</v>
          </cell>
          <cell r="T212">
            <v>43177</v>
          </cell>
          <cell r="U212">
            <v>43181</v>
          </cell>
          <cell r="V212">
            <v>43188</v>
          </cell>
          <cell r="W212">
            <v>43195</v>
          </cell>
          <cell r="X212">
            <v>43195</v>
          </cell>
          <cell r="Y212">
            <v>43195</v>
          </cell>
          <cell r="Z212">
            <v>43195</v>
          </cell>
          <cell r="AA212">
            <v>43196</v>
          </cell>
          <cell r="AB212">
            <v>43174</v>
          </cell>
        </row>
        <row r="213">
          <cell r="A213" t="str">
            <v>18-006</v>
          </cell>
          <cell r="B213" t="str">
            <v>Solvay</v>
          </cell>
          <cell r="C213">
            <v>43139</v>
          </cell>
          <cell r="D213">
            <v>2</v>
          </cell>
          <cell r="E213">
            <v>3</v>
          </cell>
          <cell r="F213">
            <v>10</v>
          </cell>
          <cell r="G213">
            <v>12</v>
          </cell>
          <cell r="H213">
            <v>43160</v>
          </cell>
          <cell r="I213">
            <v>43166</v>
          </cell>
          <cell r="J213">
            <v>43174</v>
          </cell>
          <cell r="K213">
            <v>43181</v>
          </cell>
          <cell r="L213">
            <v>43188</v>
          </cell>
          <cell r="M213">
            <v>43195</v>
          </cell>
          <cell r="N213">
            <v>43202</v>
          </cell>
          <cell r="O213">
            <v>43209</v>
          </cell>
          <cell r="P213">
            <v>43153</v>
          </cell>
          <cell r="Q213">
            <v>43153</v>
          </cell>
          <cell r="R213">
            <v>0</v>
          </cell>
          <cell r="S213">
            <v>43169</v>
          </cell>
          <cell r="T213">
            <v>43170</v>
          </cell>
          <cell r="U213">
            <v>43174</v>
          </cell>
          <cell r="V213">
            <v>43181</v>
          </cell>
          <cell r="W213">
            <v>43188</v>
          </cell>
          <cell r="X213">
            <v>43188</v>
          </cell>
          <cell r="Y213">
            <v>43188</v>
          </cell>
          <cell r="Z213">
            <v>43188</v>
          </cell>
          <cell r="AA213">
            <v>43189</v>
          </cell>
          <cell r="AB213">
            <v>43251</v>
          </cell>
        </row>
        <row r="214">
          <cell r="A214" t="str">
            <v>18-007</v>
          </cell>
          <cell r="B214" t="str">
            <v>Solvay</v>
          </cell>
          <cell r="C214">
            <v>43139</v>
          </cell>
          <cell r="D214">
            <v>2</v>
          </cell>
          <cell r="E214">
            <v>3</v>
          </cell>
          <cell r="F214">
            <v>10</v>
          </cell>
          <cell r="G214">
            <v>12</v>
          </cell>
          <cell r="H214">
            <v>43160</v>
          </cell>
          <cell r="I214">
            <v>43166</v>
          </cell>
          <cell r="J214">
            <v>43174</v>
          </cell>
          <cell r="K214">
            <v>43181</v>
          </cell>
          <cell r="L214">
            <v>43188</v>
          </cell>
          <cell r="M214">
            <v>43195</v>
          </cell>
          <cell r="N214">
            <v>43202</v>
          </cell>
          <cell r="O214">
            <v>43209</v>
          </cell>
          <cell r="P214">
            <v>43153</v>
          </cell>
          <cell r="Q214">
            <v>43153</v>
          </cell>
          <cell r="R214">
            <v>0</v>
          </cell>
          <cell r="S214">
            <v>43169</v>
          </cell>
          <cell r="T214">
            <v>43170</v>
          </cell>
          <cell r="U214">
            <v>43174</v>
          </cell>
          <cell r="V214">
            <v>43181</v>
          </cell>
          <cell r="W214">
            <v>43188</v>
          </cell>
          <cell r="X214">
            <v>43188</v>
          </cell>
          <cell r="Y214">
            <v>43188</v>
          </cell>
          <cell r="Z214">
            <v>43188</v>
          </cell>
          <cell r="AA214">
            <v>43189</v>
          </cell>
          <cell r="AB214">
            <v>43251</v>
          </cell>
        </row>
        <row r="215">
          <cell r="A215" t="str">
            <v>18-008</v>
          </cell>
          <cell r="B215" t="str">
            <v>Solvay</v>
          </cell>
          <cell r="C215">
            <v>43139</v>
          </cell>
          <cell r="D215">
            <v>2</v>
          </cell>
          <cell r="E215">
            <v>3</v>
          </cell>
          <cell r="F215">
            <v>10</v>
          </cell>
          <cell r="G215">
            <v>12</v>
          </cell>
          <cell r="H215">
            <v>43160</v>
          </cell>
          <cell r="I215">
            <v>43166</v>
          </cell>
          <cell r="J215">
            <v>43174</v>
          </cell>
          <cell r="K215">
            <v>43181</v>
          </cell>
          <cell r="L215">
            <v>43188</v>
          </cell>
          <cell r="M215">
            <v>43195</v>
          </cell>
          <cell r="N215">
            <v>43202</v>
          </cell>
          <cell r="O215">
            <v>43209</v>
          </cell>
          <cell r="P215">
            <v>43153</v>
          </cell>
          <cell r="Q215">
            <v>43153</v>
          </cell>
          <cell r="R215">
            <v>0</v>
          </cell>
          <cell r="S215">
            <v>43169</v>
          </cell>
          <cell r="T215">
            <v>43170</v>
          </cell>
          <cell r="U215">
            <v>43174</v>
          </cell>
          <cell r="V215">
            <v>43181</v>
          </cell>
          <cell r="W215">
            <v>43188</v>
          </cell>
          <cell r="X215">
            <v>43188</v>
          </cell>
          <cell r="Y215">
            <v>43188</v>
          </cell>
          <cell r="Z215">
            <v>43188</v>
          </cell>
          <cell r="AA215">
            <v>43189</v>
          </cell>
          <cell r="AB215">
            <v>43251</v>
          </cell>
        </row>
        <row r="216">
          <cell r="A216" t="str">
            <v>18-009</v>
          </cell>
          <cell r="B216" t="str">
            <v>Pinova / DRT</v>
          </cell>
          <cell r="C216">
            <v>43145</v>
          </cell>
          <cell r="D216">
            <v>1</v>
          </cell>
          <cell r="E216">
            <v>2</v>
          </cell>
          <cell r="F216">
            <v>2</v>
          </cell>
          <cell r="G216">
            <v>3</v>
          </cell>
          <cell r="H216">
            <v>43159</v>
          </cell>
          <cell r="I216">
            <v>43171</v>
          </cell>
          <cell r="J216">
            <v>43166</v>
          </cell>
          <cell r="K216">
            <v>43178</v>
          </cell>
          <cell r="L216">
            <v>43185</v>
          </cell>
          <cell r="M216">
            <v>43192</v>
          </cell>
          <cell r="N216">
            <v>43199</v>
          </cell>
          <cell r="O216">
            <v>43206</v>
          </cell>
          <cell r="P216">
            <v>43159</v>
          </cell>
          <cell r="Q216">
            <v>43159</v>
          </cell>
          <cell r="R216">
            <v>0</v>
          </cell>
          <cell r="S216">
            <v>43161</v>
          </cell>
          <cell r="T216">
            <v>43162</v>
          </cell>
          <cell r="U216">
            <v>43166</v>
          </cell>
          <cell r="V216">
            <v>43173</v>
          </cell>
          <cell r="W216">
            <v>43180</v>
          </cell>
          <cell r="X216">
            <v>43180</v>
          </cell>
          <cell r="Y216">
            <v>43180</v>
          </cell>
          <cell r="Z216">
            <v>43180</v>
          </cell>
          <cell r="AA216">
            <v>43181</v>
          </cell>
          <cell r="AB216">
            <v>43180</v>
          </cell>
        </row>
        <row r="217">
          <cell r="A217" t="str">
            <v>18-010</v>
          </cell>
          <cell r="B217" t="str">
            <v>Fuji</v>
          </cell>
          <cell r="C217">
            <v>43146</v>
          </cell>
          <cell r="D217">
            <v>1</v>
          </cell>
          <cell r="E217">
            <v>2</v>
          </cell>
          <cell r="F217">
            <v>8</v>
          </cell>
          <cell r="G217">
            <v>10</v>
          </cell>
          <cell r="H217">
            <v>43160</v>
          </cell>
          <cell r="I217">
            <v>43171</v>
          </cell>
          <cell r="J217">
            <v>43178</v>
          </cell>
          <cell r="K217">
            <v>43178</v>
          </cell>
          <cell r="L217">
            <v>43185</v>
          </cell>
          <cell r="M217">
            <v>43192</v>
          </cell>
          <cell r="N217">
            <v>43199</v>
          </cell>
          <cell r="O217">
            <v>43206</v>
          </cell>
          <cell r="P217">
            <v>43160</v>
          </cell>
          <cell r="Q217">
            <v>43160</v>
          </cell>
          <cell r="R217">
            <v>0</v>
          </cell>
          <cell r="S217">
            <v>43173</v>
          </cell>
          <cell r="T217">
            <v>43174</v>
          </cell>
          <cell r="U217">
            <v>43178</v>
          </cell>
          <cell r="V217">
            <v>43185</v>
          </cell>
          <cell r="W217">
            <v>43192</v>
          </cell>
          <cell r="X217">
            <v>43192</v>
          </cell>
          <cell r="Y217">
            <v>43192</v>
          </cell>
          <cell r="Z217">
            <v>43192</v>
          </cell>
          <cell r="AA217">
            <v>43193</v>
          </cell>
          <cell r="AB217">
            <v>43241</v>
          </cell>
        </row>
        <row r="218">
          <cell r="A218" t="str">
            <v>18-011</v>
          </cell>
          <cell r="B218" t="str">
            <v>Fuji</v>
          </cell>
          <cell r="C218">
            <v>43146</v>
          </cell>
          <cell r="D218">
            <v>1</v>
          </cell>
          <cell r="E218">
            <v>2</v>
          </cell>
          <cell r="F218">
            <v>8</v>
          </cell>
          <cell r="G218">
            <v>10</v>
          </cell>
          <cell r="H218">
            <v>43160</v>
          </cell>
          <cell r="I218">
            <v>43171</v>
          </cell>
          <cell r="J218">
            <v>43178</v>
          </cell>
          <cell r="K218">
            <v>43178</v>
          </cell>
          <cell r="L218">
            <v>43185</v>
          </cell>
          <cell r="M218">
            <v>43192</v>
          </cell>
          <cell r="N218">
            <v>43199</v>
          </cell>
          <cell r="O218">
            <v>43206</v>
          </cell>
          <cell r="P218">
            <v>43160</v>
          </cell>
          <cell r="Q218">
            <v>43160</v>
          </cell>
          <cell r="R218">
            <v>0</v>
          </cell>
          <cell r="S218">
            <v>43173</v>
          </cell>
          <cell r="T218">
            <v>43174</v>
          </cell>
          <cell r="U218">
            <v>43178</v>
          </cell>
          <cell r="V218">
            <v>43185</v>
          </cell>
          <cell r="W218">
            <v>43192</v>
          </cell>
          <cell r="X218">
            <v>43192</v>
          </cell>
          <cell r="Y218">
            <v>43192</v>
          </cell>
          <cell r="Z218">
            <v>43192</v>
          </cell>
          <cell r="AA218">
            <v>43193</v>
          </cell>
          <cell r="AB218">
            <v>43241</v>
          </cell>
        </row>
        <row r="219">
          <cell r="A219" t="str">
            <v>18-013</v>
          </cell>
          <cell r="B219" t="str">
            <v>Domtar</v>
          </cell>
          <cell r="C219">
            <v>43147</v>
          </cell>
          <cell r="D219">
            <v>2</v>
          </cell>
          <cell r="E219">
            <v>3</v>
          </cell>
          <cell r="F219">
            <v>6</v>
          </cell>
          <cell r="G219">
            <v>8</v>
          </cell>
          <cell r="H219">
            <v>43168</v>
          </cell>
          <cell r="I219">
            <v>43178</v>
          </cell>
          <cell r="J219">
            <v>43174</v>
          </cell>
          <cell r="K219">
            <v>43181</v>
          </cell>
          <cell r="L219">
            <v>43188</v>
          </cell>
          <cell r="M219">
            <v>43195</v>
          </cell>
          <cell r="N219">
            <v>43202</v>
          </cell>
          <cell r="O219">
            <v>43209</v>
          </cell>
          <cell r="P219">
            <v>43161</v>
          </cell>
          <cell r="Q219">
            <v>43161</v>
          </cell>
          <cell r="R219">
            <v>0</v>
          </cell>
          <cell r="S219">
            <v>43169</v>
          </cell>
          <cell r="T219">
            <v>43170</v>
          </cell>
          <cell r="U219">
            <v>43174</v>
          </cell>
          <cell r="V219">
            <v>43181</v>
          </cell>
          <cell r="W219">
            <v>43188</v>
          </cell>
          <cell r="X219">
            <v>43188</v>
          </cell>
          <cell r="Y219">
            <v>43188</v>
          </cell>
          <cell r="Z219">
            <v>43188</v>
          </cell>
          <cell r="AA219">
            <v>43189</v>
          </cell>
          <cell r="AB219">
            <v>43223</v>
          </cell>
        </row>
        <row r="220">
          <cell r="A220" t="str">
            <v>18-014</v>
          </cell>
          <cell r="B220" t="str">
            <v>Pinova</v>
          </cell>
          <cell r="C220">
            <v>43150</v>
          </cell>
          <cell r="D220">
            <v>2</v>
          </cell>
          <cell r="E220">
            <v>3</v>
          </cell>
          <cell r="F220">
            <v>8</v>
          </cell>
          <cell r="G220">
            <v>10</v>
          </cell>
          <cell r="H220">
            <v>43171</v>
          </cell>
          <cell r="I220">
            <v>43185</v>
          </cell>
          <cell r="J220">
            <v>43182</v>
          </cell>
          <cell r="K220">
            <v>43189</v>
          </cell>
          <cell r="L220">
            <v>43196</v>
          </cell>
          <cell r="M220">
            <v>43203</v>
          </cell>
          <cell r="N220">
            <v>43210</v>
          </cell>
          <cell r="O220">
            <v>43217</v>
          </cell>
          <cell r="P220">
            <v>43164</v>
          </cell>
          <cell r="Q220">
            <v>43164</v>
          </cell>
          <cell r="R220">
            <v>0</v>
          </cell>
          <cell r="S220">
            <v>43177</v>
          </cell>
          <cell r="T220">
            <v>43178</v>
          </cell>
          <cell r="U220">
            <v>43182</v>
          </cell>
          <cell r="V220">
            <v>43189</v>
          </cell>
          <cell r="W220">
            <v>43196</v>
          </cell>
          <cell r="X220">
            <v>43196</v>
          </cell>
          <cell r="Y220">
            <v>43196</v>
          </cell>
          <cell r="Z220">
            <v>43196</v>
          </cell>
          <cell r="AA220">
            <v>43197</v>
          </cell>
          <cell r="AB220">
            <v>43245</v>
          </cell>
        </row>
        <row r="221">
          <cell r="A221" t="str">
            <v>18-015</v>
          </cell>
          <cell r="B221" t="str">
            <v>Halocarbon</v>
          </cell>
          <cell r="C221">
            <v>43168</v>
          </cell>
          <cell r="D221">
            <v>2</v>
          </cell>
          <cell r="E221">
            <v>3</v>
          </cell>
          <cell r="F221">
            <v>8</v>
          </cell>
          <cell r="G221">
            <v>10</v>
          </cell>
          <cell r="H221">
            <v>43189</v>
          </cell>
          <cell r="I221">
            <v>43187</v>
          </cell>
          <cell r="J221">
            <v>43187</v>
          </cell>
          <cell r="K221">
            <v>43194</v>
          </cell>
          <cell r="L221">
            <v>43201</v>
          </cell>
          <cell r="M221">
            <v>43208</v>
          </cell>
          <cell r="N221">
            <v>43215</v>
          </cell>
          <cell r="O221">
            <v>43222</v>
          </cell>
          <cell r="P221">
            <v>43182</v>
          </cell>
          <cell r="Q221">
            <v>43182</v>
          </cell>
          <cell r="R221">
            <v>0</v>
          </cell>
          <cell r="S221">
            <v>43182</v>
          </cell>
          <cell r="T221">
            <v>43183</v>
          </cell>
          <cell r="U221">
            <v>43187</v>
          </cell>
          <cell r="V221">
            <v>43194</v>
          </cell>
          <cell r="W221">
            <v>43201</v>
          </cell>
          <cell r="X221">
            <v>43201</v>
          </cell>
          <cell r="Y221">
            <v>43201</v>
          </cell>
          <cell r="Z221">
            <v>43201</v>
          </cell>
          <cell r="AA221">
            <v>43202</v>
          </cell>
          <cell r="AB221">
            <v>43250</v>
          </cell>
        </row>
        <row r="222">
          <cell r="A222" t="str">
            <v>18-016</v>
          </cell>
          <cell r="B222" t="str">
            <v>Halocarbon</v>
          </cell>
          <cell r="C222">
            <v>43168</v>
          </cell>
          <cell r="D222">
            <v>2</v>
          </cell>
          <cell r="E222">
            <v>3</v>
          </cell>
          <cell r="F222">
            <v>8</v>
          </cell>
          <cell r="G222">
            <v>10</v>
          </cell>
          <cell r="H222">
            <v>43189</v>
          </cell>
          <cell r="I222">
            <v>43187</v>
          </cell>
          <cell r="J222">
            <v>43187</v>
          </cell>
          <cell r="K222">
            <v>43194</v>
          </cell>
          <cell r="L222">
            <v>43201</v>
          </cell>
          <cell r="M222">
            <v>43208</v>
          </cell>
          <cell r="N222">
            <v>43215</v>
          </cell>
          <cell r="O222">
            <v>43222</v>
          </cell>
          <cell r="P222">
            <v>43182</v>
          </cell>
          <cell r="Q222">
            <v>43182</v>
          </cell>
          <cell r="R222">
            <v>0</v>
          </cell>
          <cell r="S222">
            <v>43182</v>
          </cell>
          <cell r="T222">
            <v>43183</v>
          </cell>
          <cell r="U222">
            <v>43187</v>
          </cell>
          <cell r="V222">
            <v>43194</v>
          </cell>
          <cell r="W222">
            <v>43201</v>
          </cell>
          <cell r="X222">
            <v>43201</v>
          </cell>
          <cell r="Y222">
            <v>43201</v>
          </cell>
          <cell r="Z222">
            <v>43201</v>
          </cell>
          <cell r="AA222">
            <v>43202</v>
          </cell>
          <cell r="AB222">
            <v>43250</v>
          </cell>
        </row>
        <row r="223">
          <cell r="A223" t="str">
            <v>18-017</v>
          </cell>
          <cell r="B223" t="str">
            <v>Halocarbon</v>
          </cell>
          <cell r="C223">
            <v>43168</v>
          </cell>
          <cell r="D223">
            <v>2</v>
          </cell>
          <cell r="E223">
            <v>3</v>
          </cell>
          <cell r="F223">
            <v>8</v>
          </cell>
          <cell r="G223">
            <v>10</v>
          </cell>
          <cell r="H223">
            <v>43189</v>
          </cell>
          <cell r="I223">
            <v>43187</v>
          </cell>
          <cell r="J223">
            <v>43187</v>
          </cell>
          <cell r="K223">
            <v>43194</v>
          </cell>
          <cell r="L223">
            <v>43201</v>
          </cell>
          <cell r="M223">
            <v>43208</v>
          </cell>
          <cell r="N223">
            <v>43215</v>
          </cell>
          <cell r="O223">
            <v>43222</v>
          </cell>
          <cell r="P223">
            <v>43182</v>
          </cell>
          <cell r="Q223">
            <v>43182</v>
          </cell>
          <cell r="R223">
            <v>0</v>
          </cell>
          <cell r="S223">
            <v>43182</v>
          </cell>
          <cell r="T223">
            <v>43183</v>
          </cell>
          <cell r="U223">
            <v>43187</v>
          </cell>
          <cell r="V223">
            <v>43194</v>
          </cell>
          <cell r="W223">
            <v>43201</v>
          </cell>
          <cell r="X223">
            <v>43201</v>
          </cell>
          <cell r="Y223">
            <v>43201</v>
          </cell>
          <cell r="Z223">
            <v>43201</v>
          </cell>
          <cell r="AA223">
            <v>43202</v>
          </cell>
          <cell r="AB223">
            <v>43250</v>
          </cell>
        </row>
        <row r="224">
          <cell r="A224" t="str">
            <v>18-019</v>
          </cell>
          <cell r="B224" t="str">
            <v>SNF Floquip</v>
          </cell>
          <cell r="C224">
            <v>43178</v>
          </cell>
          <cell r="D224">
            <v>2</v>
          </cell>
          <cell r="E224">
            <v>3</v>
          </cell>
          <cell r="F224">
            <v>14</v>
          </cell>
          <cell r="G224">
            <v>16</v>
          </cell>
          <cell r="H224">
            <v>43199</v>
          </cell>
          <cell r="I224">
            <v>43202</v>
          </cell>
          <cell r="J224">
            <v>43203</v>
          </cell>
          <cell r="K224">
            <v>43210</v>
          </cell>
          <cell r="L224">
            <v>43222</v>
          </cell>
          <cell r="M224">
            <v>43224</v>
          </cell>
          <cell r="N224">
            <v>43231</v>
          </cell>
          <cell r="O224">
            <v>43238</v>
          </cell>
          <cell r="P224">
            <v>43192</v>
          </cell>
          <cell r="Q224">
            <v>43192</v>
          </cell>
          <cell r="R224">
            <v>0</v>
          </cell>
          <cell r="S224">
            <v>43217</v>
          </cell>
          <cell r="T224">
            <v>43218</v>
          </cell>
          <cell r="U224">
            <v>43222</v>
          </cell>
          <cell r="V224">
            <v>43229</v>
          </cell>
          <cell r="W224">
            <v>43236</v>
          </cell>
          <cell r="X224">
            <v>43236</v>
          </cell>
          <cell r="Y224">
            <v>43236</v>
          </cell>
          <cell r="Z224">
            <v>43236</v>
          </cell>
          <cell r="AA224">
            <v>43237</v>
          </cell>
          <cell r="AB224">
            <v>43327</v>
          </cell>
        </row>
        <row r="225">
          <cell r="A225" t="str">
            <v>18-020</v>
          </cell>
          <cell r="B225" t="str">
            <v>SNF Floquip</v>
          </cell>
          <cell r="C225">
            <v>43178</v>
          </cell>
          <cell r="D225">
            <v>2</v>
          </cell>
          <cell r="E225">
            <v>3</v>
          </cell>
          <cell r="F225">
            <v>14</v>
          </cell>
          <cell r="G225">
            <v>16</v>
          </cell>
          <cell r="H225">
            <v>43199</v>
          </cell>
          <cell r="I225">
            <v>43202</v>
          </cell>
          <cell r="J225">
            <v>43203</v>
          </cell>
          <cell r="K225">
            <v>43210</v>
          </cell>
          <cell r="L225">
            <v>43222</v>
          </cell>
          <cell r="M225">
            <v>43224</v>
          </cell>
          <cell r="N225">
            <v>43231</v>
          </cell>
          <cell r="O225">
            <v>43238</v>
          </cell>
          <cell r="P225">
            <v>43192</v>
          </cell>
          <cell r="Q225">
            <v>43192</v>
          </cell>
          <cell r="R225">
            <v>0</v>
          </cell>
          <cell r="S225">
            <v>43217</v>
          </cell>
          <cell r="T225">
            <v>43218</v>
          </cell>
          <cell r="U225">
            <v>43222</v>
          </cell>
          <cell r="V225">
            <v>43229</v>
          </cell>
          <cell r="W225">
            <v>43236</v>
          </cell>
          <cell r="X225">
            <v>43236</v>
          </cell>
          <cell r="Y225">
            <v>43236</v>
          </cell>
          <cell r="Z225">
            <v>43236</v>
          </cell>
          <cell r="AA225">
            <v>43237</v>
          </cell>
          <cell r="AB225">
            <v>43327</v>
          </cell>
        </row>
        <row r="226">
          <cell r="A226" t="str">
            <v>18-021</v>
          </cell>
          <cell r="B226" t="str">
            <v>SNF Floquip</v>
          </cell>
          <cell r="C226">
            <v>43178</v>
          </cell>
          <cell r="D226">
            <v>2</v>
          </cell>
          <cell r="E226">
            <v>3</v>
          </cell>
          <cell r="F226">
            <v>14</v>
          </cell>
          <cell r="G226">
            <v>16</v>
          </cell>
          <cell r="H226">
            <v>43199</v>
          </cell>
          <cell r="I226">
            <v>43202</v>
          </cell>
          <cell r="J226">
            <v>43203</v>
          </cell>
          <cell r="K226">
            <v>43210</v>
          </cell>
          <cell r="L226">
            <v>43222</v>
          </cell>
          <cell r="M226">
            <v>43224</v>
          </cell>
          <cell r="N226">
            <v>43231</v>
          </cell>
          <cell r="O226">
            <v>43238</v>
          </cell>
          <cell r="P226">
            <v>43192</v>
          </cell>
          <cell r="Q226">
            <v>43192</v>
          </cell>
          <cell r="R226">
            <v>0</v>
          </cell>
          <cell r="S226">
            <v>43217</v>
          </cell>
          <cell r="T226">
            <v>43218</v>
          </cell>
          <cell r="U226">
            <v>43222</v>
          </cell>
          <cell r="V226">
            <v>43229</v>
          </cell>
          <cell r="W226">
            <v>43236</v>
          </cell>
          <cell r="X226">
            <v>43236</v>
          </cell>
          <cell r="Y226">
            <v>43236</v>
          </cell>
          <cell r="Z226">
            <v>43236</v>
          </cell>
          <cell r="AA226">
            <v>43237</v>
          </cell>
          <cell r="AB226">
            <v>43327</v>
          </cell>
        </row>
        <row r="227">
          <cell r="A227" t="str">
            <v>18-022</v>
          </cell>
          <cell r="B227" t="str">
            <v xml:space="preserve">Irving </v>
          </cell>
          <cell r="C227">
            <v>43182</v>
          </cell>
          <cell r="D227">
            <v>1</v>
          </cell>
          <cell r="E227">
            <v>2</v>
          </cell>
          <cell r="F227">
            <v>8</v>
          </cell>
          <cell r="G227">
            <v>10</v>
          </cell>
          <cell r="H227">
            <v>43196</v>
          </cell>
          <cell r="I227">
            <v>43208</v>
          </cell>
          <cell r="J227">
            <v>43216</v>
          </cell>
          <cell r="K227">
            <v>43220</v>
          </cell>
          <cell r="L227">
            <v>43227</v>
          </cell>
          <cell r="M227">
            <v>43234</v>
          </cell>
          <cell r="N227">
            <v>43241</v>
          </cell>
          <cell r="O227">
            <v>43248</v>
          </cell>
          <cell r="P227">
            <v>43196</v>
          </cell>
          <cell r="Q227">
            <v>43196</v>
          </cell>
          <cell r="R227">
            <v>0</v>
          </cell>
          <cell r="S227">
            <v>43211</v>
          </cell>
          <cell r="T227">
            <v>43212</v>
          </cell>
          <cell r="U227">
            <v>43216</v>
          </cell>
          <cell r="V227">
            <v>43223</v>
          </cell>
          <cell r="W227">
            <v>43230</v>
          </cell>
          <cell r="X227">
            <v>43230</v>
          </cell>
          <cell r="Y227">
            <v>43230</v>
          </cell>
          <cell r="Z227">
            <v>43230</v>
          </cell>
          <cell r="AA227">
            <v>43231</v>
          </cell>
          <cell r="AB227">
            <v>43279</v>
          </cell>
        </row>
        <row r="228">
          <cell r="A228" t="str">
            <v>18-023</v>
          </cell>
          <cell r="B228" t="str">
            <v xml:space="preserve">Irving </v>
          </cell>
          <cell r="C228">
            <v>43182</v>
          </cell>
          <cell r="D228">
            <v>1</v>
          </cell>
          <cell r="E228">
            <v>2</v>
          </cell>
          <cell r="F228">
            <v>8</v>
          </cell>
          <cell r="G228">
            <v>10</v>
          </cell>
          <cell r="H228">
            <v>43196</v>
          </cell>
          <cell r="I228">
            <v>43208</v>
          </cell>
          <cell r="J228">
            <v>43213</v>
          </cell>
          <cell r="K228">
            <v>43214</v>
          </cell>
          <cell r="L228">
            <v>43234</v>
          </cell>
          <cell r="M228">
            <v>43236</v>
          </cell>
          <cell r="N228">
            <v>43243</v>
          </cell>
          <cell r="O228">
            <v>43250</v>
          </cell>
          <cell r="P228">
            <v>43196</v>
          </cell>
          <cell r="Q228">
            <v>43196</v>
          </cell>
          <cell r="R228">
            <v>0</v>
          </cell>
          <cell r="S228">
            <v>43229</v>
          </cell>
          <cell r="T228">
            <v>43230</v>
          </cell>
          <cell r="U228">
            <v>43234</v>
          </cell>
          <cell r="V228">
            <v>43241</v>
          </cell>
          <cell r="W228">
            <v>43248</v>
          </cell>
          <cell r="X228">
            <v>43248</v>
          </cell>
          <cell r="Y228">
            <v>43248</v>
          </cell>
          <cell r="Z228">
            <v>43248</v>
          </cell>
          <cell r="AA228">
            <v>43249</v>
          </cell>
          <cell r="AB228">
            <v>43297</v>
          </cell>
        </row>
        <row r="229">
          <cell r="A229" t="str">
            <v>18-024</v>
          </cell>
          <cell r="B229" t="str">
            <v>IP Savannah</v>
          </cell>
          <cell r="C229">
            <v>43182</v>
          </cell>
          <cell r="D229">
            <v>1</v>
          </cell>
          <cell r="E229">
            <v>2</v>
          </cell>
          <cell r="F229">
            <v>8</v>
          </cell>
          <cell r="G229">
            <v>10</v>
          </cell>
          <cell r="H229">
            <v>43196</v>
          </cell>
          <cell r="I229">
            <v>43145</v>
          </cell>
          <cell r="J229">
            <v>43151</v>
          </cell>
          <cell r="K229">
            <v>43166</v>
          </cell>
          <cell r="L229">
            <v>43221</v>
          </cell>
          <cell r="M229">
            <v>43229</v>
          </cell>
          <cell r="N229">
            <v>43236</v>
          </cell>
          <cell r="O229">
            <v>43243</v>
          </cell>
          <cell r="P229">
            <v>43196</v>
          </cell>
          <cell r="Q229">
            <v>43196</v>
          </cell>
          <cell r="R229">
            <v>0</v>
          </cell>
          <cell r="S229">
            <v>43216</v>
          </cell>
          <cell r="T229">
            <v>43217</v>
          </cell>
          <cell r="U229">
            <v>43221</v>
          </cell>
          <cell r="V229">
            <v>43228</v>
          </cell>
          <cell r="W229">
            <v>43235</v>
          </cell>
          <cell r="X229">
            <v>43235</v>
          </cell>
          <cell r="Y229">
            <v>43235</v>
          </cell>
          <cell r="Z229">
            <v>43235</v>
          </cell>
          <cell r="AA229">
            <v>43236</v>
          </cell>
          <cell r="AB229">
            <v>43284</v>
          </cell>
        </row>
        <row r="230">
          <cell r="A230" t="str">
            <v>18-025</v>
          </cell>
          <cell r="B230" t="str">
            <v>IP Savannah</v>
          </cell>
          <cell r="C230">
            <v>43182</v>
          </cell>
          <cell r="D230">
            <v>1</v>
          </cell>
          <cell r="E230">
            <v>2</v>
          </cell>
          <cell r="F230">
            <v>8</v>
          </cell>
          <cell r="G230">
            <v>10</v>
          </cell>
          <cell r="H230">
            <v>43196</v>
          </cell>
          <cell r="I230">
            <v>43145</v>
          </cell>
          <cell r="J230">
            <v>43151</v>
          </cell>
          <cell r="K230">
            <v>43166</v>
          </cell>
          <cell r="L230">
            <v>43221</v>
          </cell>
          <cell r="M230">
            <v>43229</v>
          </cell>
          <cell r="N230">
            <v>43236</v>
          </cell>
          <cell r="O230">
            <v>43243</v>
          </cell>
          <cell r="P230">
            <v>43196</v>
          </cell>
          <cell r="Q230">
            <v>43196</v>
          </cell>
          <cell r="R230">
            <v>0</v>
          </cell>
          <cell r="S230">
            <v>43216</v>
          </cell>
          <cell r="T230">
            <v>43217</v>
          </cell>
          <cell r="U230">
            <v>43221</v>
          </cell>
          <cell r="V230">
            <v>43228</v>
          </cell>
          <cell r="W230">
            <v>43235</v>
          </cell>
          <cell r="X230">
            <v>43235</v>
          </cell>
          <cell r="Y230">
            <v>43235</v>
          </cell>
          <cell r="Z230">
            <v>43235</v>
          </cell>
          <cell r="AA230">
            <v>43236</v>
          </cell>
          <cell r="AB230">
            <v>43284</v>
          </cell>
        </row>
        <row r="231">
          <cell r="A231" t="str">
            <v>18-026</v>
          </cell>
          <cell r="B231" t="str">
            <v>IP Savannah</v>
          </cell>
          <cell r="C231">
            <v>43182</v>
          </cell>
          <cell r="D231">
            <v>1</v>
          </cell>
          <cell r="E231">
            <v>2</v>
          </cell>
          <cell r="F231">
            <v>8</v>
          </cell>
          <cell r="G231">
            <v>10</v>
          </cell>
          <cell r="H231">
            <v>43196</v>
          </cell>
          <cell r="I231">
            <v>43145</v>
          </cell>
          <cell r="J231">
            <v>43151</v>
          </cell>
          <cell r="K231">
            <v>43166</v>
          </cell>
          <cell r="L231">
            <v>43221</v>
          </cell>
          <cell r="M231">
            <v>43229</v>
          </cell>
          <cell r="N231">
            <v>43236</v>
          </cell>
          <cell r="O231">
            <v>43243</v>
          </cell>
          <cell r="P231">
            <v>43196</v>
          </cell>
          <cell r="Q231">
            <v>43196</v>
          </cell>
          <cell r="R231">
            <v>0</v>
          </cell>
          <cell r="S231">
            <v>43216</v>
          </cell>
          <cell r="T231">
            <v>43217</v>
          </cell>
          <cell r="U231">
            <v>43221</v>
          </cell>
          <cell r="V231">
            <v>43228</v>
          </cell>
          <cell r="W231">
            <v>43235</v>
          </cell>
          <cell r="X231">
            <v>43235</v>
          </cell>
          <cell r="Y231">
            <v>43235</v>
          </cell>
          <cell r="Z231">
            <v>43235</v>
          </cell>
          <cell r="AA231">
            <v>43236</v>
          </cell>
          <cell r="AB231">
            <v>43284</v>
          </cell>
        </row>
        <row r="232">
          <cell r="A232" t="str">
            <v>18-027</v>
          </cell>
          <cell r="B232" t="str">
            <v>Hammermills</v>
          </cell>
          <cell r="C232">
            <v>43186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43186</v>
          </cell>
          <cell r="I232">
            <v>43200</v>
          </cell>
          <cell r="J232">
            <v>43207</v>
          </cell>
          <cell r="K232">
            <v>43214</v>
          </cell>
          <cell r="L232">
            <v>43221</v>
          </cell>
          <cell r="M232">
            <v>43228</v>
          </cell>
          <cell r="N232">
            <v>43235</v>
          </cell>
          <cell r="O232">
            <v>43242</v>
          </cell>
          <cell r="P232">
            <v>43200</v>
          </cell>
          <cell r="Q232">
            <v>43200</v>
          </cell>
          <cell r="R232">
            <v>0</v>
          </cell>
          <cell r="S232">
            <v>43202</v>
          </cell>
          <cell r="T232">
            <v>43203</v>
          </cell>
          <cell r="U232">
            <v>43207</v>
          </cell>
          <cell r="V232">
            <v>43214</v>
          </cell>
          <cell r="W232">
            <v>43221</v>
          </cell>
          <cell r="X232">
            <v>43221</v>
          </cell>
          <cell r="Y232">
            <v>43221</v>
          </cell>
          <cell r="Z232">
            <v>43221</v>
          </cell>
          <cell r="AA232">
            <v>43222</v>
          </cell>
          <cell r="AB232">
            <v>43200</v>
          </cell>
        </row>
        <row r="233">
          <cell r="A233" t="str">
            <v>18-028</v>
          </cell>
          <cell r="B233" t="str">
            <v>Harper Love</v>
          </cell>
          <cell r="C233">
            <v>43186</v>
          </cell>
          <cell r="D233">
            <v>2</v>
          </cell>
          <cell r="E233">
            <v>3</v>
          </cell>
          <cell r="F233">
            <v>12</v>
          </cell>
          <cell r="G233">
            <v>14</v>
          </cell>
          <cell r="H233">
            <v>43207</v>
          </cell>
          <cell r="I233">
            <v>43221</v>
          </cell>
          <cell r="J233">
            <v>43223</v>
          </cell>
          <cell r="K233">
            <v>43231</v>
          </cell>
          <cell r="L233">
            <v>43237</v>
          </cell>
          <cell r="M233">
            <v>43249</v>
          </cell>
          <cell r="N233">
            <v>43256</v>
          </cell>
          <cell r="O233">
            <v>43263</v>
          </cell>
          <cell r="P233">
            <v>43200</v>
          </cell>
          <cell r="Q233">
            <v>43200</v>
          </cell>
          <cell r="R233">
            <v>0</v>
          </cell>
          <cell r="S233">
            <v>43232</v>
          </cell>
          <cell r="T233">
            <v>43233</v>
          </cell>
          <cell r="U233">
            <v>43237</v>
          </cell>
          <cell r="V233">
            <v>43244</v>
          </cell>
          <cell r="W233">
            <v>43251</v>
          </cell>
          <cell r="X233">
            <v>43251</v>
          </cell>
          <cell r="Y233">
            <v>43251</v>
          </cell>
          <cell r="Z233">
            <v>43251</v>
          </cell>
          <cell r="AA233">
            <v>43252</v>
          </cell>
          <cell r="AB233">
            <v>43328</v>
          </cell>
        </row>
        <row r="234">
          <cell r="A234" t="str">
            <v>18-029</v>
          </cell>
          <cell r="B234" t="str">
            <v>Harper Love</v>
          </cell>
          <cell r="C234">
            <v>43186</v>
          </cell>
          <cell r="D234">
            <v>2</v>
          </cell>
          <cell r="E234">
            <v>3</v>
          </cell>
          <cell r="F234">
            <v>12</v>
          </cell>
          <cell r="G234">
            <v>14</v>
          </cell>
          <cell r="H234">
            <v>43207</v>
          </cell>
          <cell r="I234">
            <v>43221</v>
          </cell>
          <cell r="J234">
            <v>43223</v>
          </cell>
          <cell r="K234">
            <v>43231</v>
          </cell>
          <cell r="L234">
            <v>43237</v>
          </cell>
          <cell r="M234">
            <v>43249</v>
          </cell>
          <cell r="N234">
            <v>43256</v>
          </cell>
          <cell r="O234">
            <v>43263</v>
          </cell>
          <cell r="P234">
            <v>43200</v>
          </cell>
          <cell r="Q234">
            <v>43200</v>
          </cell>
          <cell r="R234">
            <v>0</v>
          </cell>
          <cell r="S234">
            <v>43232</v>
          </cell>
          <cell r="T234">
            <v>43233</v>
          </cell>
          <cell r="U234">
            <v>43237</v>
          </cell>
          <cell r="V234">
            <v>43244</v>
          </cell>
          <cell r="W234">
            <v>43251</v>
          </cell>
          <cell r="X234">
            <v>43251</v>
          </cell>
          <cell r="Y234">
            <v>43251</v>
          </cell>
          <cell r="Z234">
            <v>43251</v>
          </cell>
          <cell r="AA234">
            <v>43252</v>
          </cell>
          <cell r="AB234">
            <v>43328</v>
          </cell>
        </row>
        <row r="235">
          <cell r="A235" t="str">
            <v>18-030</v>
          </cell>
          <cell r="B235" t="str">
            <v>Harper Love</v>
          </cell>
          <cell r="C235">
            <v>43186</v>
          </cell>
          <cell r="D235">
            <v>2</v>
          </cell>
          <cell r="E235">
            <v>3</v>
          </cell>
          <cell r="F235">
            <v>12</v>
          </cell>
          <cell r="G235">
            <v>14</v>
          </cell>
          <cell r="H235">
            <v>43207</v>
          </cell>
          <cell r="I235">
            <v>43221</v>
          </cell>
          <cell r="J235">
            <v>43223</v>
          </cell>
          <cell r="K235">
            <v>43230</v>
          </cell>
          <cell r="L235">
            <v>43237</v>
          </cell>
          <cell r="M235">
            <v>43244</v>
          </cell>
          <cell r="N235">
            <v>43251</v>
          </cell>
          <cell r="O235">
            <v>43258</v>
          </cell>
          <cell r="P235">
            <v>43200</v>
          </cell>
          <cell r="Q235">
            <v>43200</v>
          </cell>
          <cell r="R235">
            <v>0</v>
          </cell>
          <cell r="S235">
            <v>43218</v>
          </cell>
          <cell r="T235">
            <v>43219</v>
          </cell>
          <cell r="U235">
            <v>43223</v>
          </cell>
          <cell r="V235">
            <v>43230</v>
          </cell>
          <cell r="W235">
            <v>43237</v>
          </cell>
          <cell r="X235">
            <v>43237</v>
          </cell>
          <cell r="Y235">
            <v>43237</v>
          </cell>
          <cell r="Z235">
            <v>43237</v>
          </cell>
          <cell r="AA235">
            <v>43238</v>
          </cell>
          <cell r="AB235">
            <v>43314</v>
          </cell>
        </row>
        <row r="236">
          <cell r="A236" t="str">
            <v>18-031</v>
          </cell>
          <cell r="B236" t="str">
            <v>Halocarbon</v>
          </cell>
          <cell r="C236">
            <v>43194</v>
          </cell>
          <cell r="D236">
            <v>2</v>
          </cell>
          <cell r="E236">
            <v>3</v>
          </cell>
          <cell r="F236">
            <v>12</v>
          </cell>
          <cell r="G236">
            <v>14</v>
          </cell>
          <cell r="H236">
            <v>43215</v>
          </cell>
          <cell r="I236">
            <v>43234</v>
          </cell>
          <cell r="J236">
            <v>43228</v>
          </cell>
          <cell r="K236">
            <v>43235</v>
          </cell>
          <cell r="L236">
            <v>43242</v>
          </cell>
          <cell r="M236">
            <v>43249</v>
          </cell>
          <cell r="N236">
            <v>43256</v>
          </cell>
          <cell r="O236">
            <v>43263</v>
          </cell>
          <cell r="P236">
            <v>43208</v>
          </cell>
          <cell r="Q236">
            <v>43208</v>
          </cell>
          <cell r="R236">
            <v>0</v>
          </cell>
          <cell r="S236">
            <v>43223</v>
          </cell>
          <cell r="T236">
            <v>43224</v>
          </cell>
          <cell r="U236">
            <v>43228</v>
          </cell>
          <cell r="V236">
            <v>43235</v>
          </cell>
          <cell r="W236">
            <v>43242</v>
          </cell>
          <cell r="X236">
            <v>43242</v>
          </cell>
          <cell r="Y236">
            <v>43242</v>
          </cell>
          <cell r="Z236">
            <v>43242</v>
          </cell>
          <cell r="AA236">
            <v>43243</v>
          </cell>
          <cell r="AB236">
            <v>43319</v>
          </cell>
        </row>
        <row r="237">
          <cell r="A237" t="str">
            <v>18-032</v>
          </cell>
          <cell r="B237" t="str">
            <v>Airco Industrial</v>
          </cell>
          <cell r="C237">
            <v>43207</v>
          </cell>
          <cell r="D237">
            <v>1</v>
          </cell>
          <cell r="E237">
            <v>1</v>
          </cell>
          <cell r="F237">
            <v>1</v>
          </cell>
          <cell r="G237">
            <v>1</v>
          </cell>
          <cell r="H237">
            <v>43214</v>
          </cell>
          <cell r="I237">
            <v>43228</v>
          </cell>
          <cell r="J237">
            <v>43235</v>
          </cell>
          <cell r="K237">
            <v>43242</v>
          </cell>
          <cell r="L237">
            <v>43249</v>
          </cell>
          <cell r="M237">
            <v>43256</v>
          </cell>
          <cell r="N237">
            <v>43263</v>
          </cell>
          <cell r="O237">
            <v>43270</v>
          </cell>
          <cell r="P237">
            <v>43221</v>
          </cell>
          <cell r="Q237">
            <v>43221</v>
          </cell>
          <cell r="R237">
            <v>0</v>
          </cell>
          <cell r="S237">
            <v>43230</v>
          </cell>
          <cell r="T237">
            <v>43231</v>
          </cell>
          <cell r="U237">
            <v>43235</v>
          </cell>
          <cell r="V237">
            <v>43242</v>
          </cell>
          <cell r="W237">
            <v>43249</v>
          </cell>
          <cell r="X237">
            <v>43249</v>
          </cell>
          <cell r="Y237">
            <v>43249</v>
          </cell>
          <cell r="Z237">
            <v>43249</v>
          </cell>
          <cell r="AA237">
            <v>43250</v>
          </cell>
          <cell r="AB237">
            <v>43235</v>
          </cell>
        </row>
        <row r="238">
          <cell r="A238" t="str">
            <v>18-033</v>
          </cell>
          <cell r="B238" t="str">
            <v>Milliken</v>
          </cell>
          <cell r="C238">
            <v>43215</v>
          </cell>
          <cell r="D238">
            <v>2</v>
          </cell>
          <cell r="E238">
            <v>3</v>
          </cell>
          <cell r="F238">
            <v>12</v>
          </cell>
          <cell r="G238">
            <v>14</v>
          </cell>
          <cell r="H238">
            <v>43236</v>
          </cell>
          <cell r="I238">
            <v>43241</v>
          </cell>
          <cell r="J238">
            <v>43243</v>
          </cell>
          <cell r="K238">
            <v>43245</v>
          </cell>
          <cell r="L238">
            <v>43251</v>
          </cell>
          <cell r="M238">
            <v>43258</v>
          </cell>
          <cell r="N238">
            <v>43265</v>
          </cell>
          <cell r="O238">
            <v>43272</v>
          </cell>
          <cell r="P238">
            <v>43229</v>
          </cell>
          <cell r="Q238">
            <v>43229</v>
          </cell>
          <cell r="R238">
            <v>0</v>
          </cell>
          <cell r="S238">
            <v>43246</v>
          </cell>
          <cell r="T238">
            <v>43247</v>
          </cell>
          <cell r="U238">
            <v>43251</v>
          </cell>
          <cell r="V238">
            <v>43258</v>
          </cell>
          <cell r="W238">
            <v>43265</v>
          </cell>
          <cell r="X238">
            <v>43265</v>
          </cell>
          <cell r="Y238">
            <v>43265</v>
          </cell>
          <cell r="Z238">
            <v>43265</v>
          </cell>
          <cell r="AA238">
            <v>43266</v>
          </cell>
          <cell r="AB238">
            <v>43342</v>
          </cell>
        </row>
        <row r="239">
          <cell r="A239" t="str">
            <v>18-035</v>
          </cell>
          <cell r="B239" t="str">
            <v>Airco Industrial</v>
          </cell>
          <cell r="C239">
            <v>43227</v>
          </cell>
          <cell r="D239">
            <v>1</v>
          </cell>
          <cell r="E239">
            <v>1</v>
          </cell>
          <cell r="F239">
            <v>2</v>
          </cell>
          <cell r="G239">
            <v>3</v>
          </cell>
          <cell r="H239">
            <v>43234</v>
          </cell>
          <cell r="I239">
            <v>43248</v>
          </cell>
          <cell r="J239">
            <v>43255</v>
          </cell>
          <cell r="K239">
            <v>43262</v>
          </cell>
          <cell r="L239">
            <v>43269</v>
          </cell>
          <cell r="M239">
            <v>43276</v>
          </cell>
          <cell r="N239">
            <v>43283</v>
          </cell>
          <cell r="O239">
            <v>43290</v>
          </cell>
          <cell r="P239">
            <v>43241</v>
          </cell>
          <cell r="Q239">
            <v>43241</v>
          </cell>
          <cell r="R239">
            <v>0</v>
          </cell>
          <cell r="S239">
            <v>43250</v>
          </cell>
          <cell r="T239">
            <v>43251</v>
          </cell>
          <cell r="U239">
            <v>43255</v>
          </cell>
          <cell r="V239">
            <v>43262</v>
          </cell>
          <cell r="W239">
            <v>43269</v>
          </cell>
          <cell r="X239">
            <v>43269</v>
          </cell>
          <cell r="Y239">
            <v>43269</v>
          </cell>
          <cell r="Z239">
            <v>43269</v>
          </cell>
          <cell r="AA239">
            <v>43270</v>
          </cell>
          <cell r="AB239">
            <v>43269</v>
          </cell>
        </row>
        <row r="240">
          <cell r="A240" t="str">
            <v>18-037</v>
          </cell>
          <cell r="B240" t="str">
            <v>WestRock</v>
          </cell>
          <cell r="C240">
            <v>43229</v>
          </cell>
          <cell r="D240">
            <v>1</v>
          </cell>
          <cell r="E240">
            <v>2</v>
          </cell>
          <cell r="F240">
            <v>12</v>
          </cell>
          <cell r="G240">
            <v>14</v>
          </cell>
          <cell r="H240">
            <v>43243</v>
          </cell>
          <cell r="I240">
            <v>43249</v>
          </cell>
          <cell r="J240">
            <v>43250</v>
          </cell>
          <cell r="K240">
            <v>43252</v>
          </cell>
          <cell r="L240">
            <v>43276</v>
          </cell>
          <cell r="M240">
            <v>43276</v>
          </cell>
          <cell r="N240">
            <v>43283</v>
          </cell>
          <cell r="O240">
            <v>43290</v>
          </cell>
          <cell r="P240">
            <v>43243</v>
          </cell>
          <cell r="Q240">
            <v>43243</v>
          </cell>
          <cell r="R240">
            <v>0</v>
          </cell>
          <cell r="S240">
            <v>43271</v>
          </cell>
          <cell r="T240">
            <v>43272</v>
          </cell>
          <cell r="U240">
            <v>43276</v>
          </cell>
          <cell r="V240">
            <v>43283</v>
          </cell>
          <cell r="W240">
            <v>43290</v>
          </cell>
          <cell r="X240">
            <v>43290</v>
          </cell>
          <cell r="Y240">
            <v>43290</v>
          </cell>
          <cell r="Z240">
            <v>43290</v>
          </cell>
          <cell r="AA240">
            <v>43291</v>
          </cell>
          <cell r="AB240">
            <v>43367</v>
          </cell>
        </row>
        <row r="241">
          <cell r="A241" t="str">
            <v>18-038</v>
          </cell>
          <cell r="B241" t="str">
            <v>Andritz</v>
          </cell>
          <cell r="C241">
            <v>43230</v>
          </cell>
          <cell r="D241">
            <v>3</v>
          </cell>
          <cell r="E241">
            <v>4</v>
          </cell>
          <cell r="F241">
            <v>14</v>
          </cell>
          <cell r="G241">
            <v>16</v>
          </cell>
          <cell r="H241">
            <v>43258</v>
          </cell>
          <cell r="I241">
            <v>43283</v>
          </cell>
          <cell r="J241">
            <v>43278</v>
          </cell>
          <cell r="K241">
            <v>43287</v>
          </cell>
          <cell r="L241">
            <v>43294</v>
          </cell>
          <cell r="M241">
            <v>43301</v>
          </cell>
          <cell r="N241">
            <v>43308</v>
          </cell>
          <cell r="O241">
            <v>43315</v>
          </cell>
          <cell r="P241">
            <v>43244</v>
          </cell>
          <cell r="Q241">
            <v>43244</v>
          </cell>
          <cell r="R241">
            <v>0</v>
          </cell>
          <cell r="S241">
            <v>43273</v>
          </cell>
          <cell r="T241">
            <v>43274</v>
          </cell>
          <cell r="U241">
            <v>43278</v>
          </cell>
          <cell r="V241">
            <v>43285</v>
          </cell>
          <cell r="W241">
            <v>43292</v>
          </cell>
          <cell r="X241">
            <v>43292</v>
          </cell>
          <cell r="Y241">
            <v>43292</v>
          </cell>
          <cell r="Z241">
            <v>43292</v>
          </cell>
          <cell r="AA241">
            <v>43293</v>
          </cell>
          <cell r="AB241">
            <v>43383</v>
          </cell>
        </row>
        <row r="242">
          <cell r="A242" t="str">
            <v>18-039</v>
          </cell>
          <cell r="B242" t="str">
            <v>B&amp;Z Insulation</v>
          </cell>
          <cell r="C242">
            <v>43230</v>
          </cell>
          <cell r="D242">
            <v>2</v>
          </cell>
          <cell r="E242">
            <v>3</v>
          </cell>
          <cell r="F242">
            <v>10</v>
          </cell>
          <cell r="G242">
            <v>12</v>
          </cell>
          <cell r="H242">
            <v>43251</v>
          </cell>
          <cell r="I242">
            <v>43265</v>
          </cell>
          <cell r="J242">
            <v>43272</v>
          </cell>
          <cell r="K242">
            <v>43279</v>
          </cell>
          <cell r="L242">
            <v>43286</v>
          </cell>
          <cell r="M242">
            <v>43293</v>
          </cell>
          <cell r="N242">
            <v>43300</v>
          </cell>
          <cell r="O242">
            <v>43307</v>
          </cell>
          <cell r="P242">
            <v>43244</v>
          </cell>
          <cell r="Q242">
            <v>43244</v>
          </cell>
          <cell r="R242">
            <v>0</v>
          </cell>
          <cell r="S242">
            <v>43267</v>
          </cell>
          <cell r="T242">
            <v>43268</v>
          </cell>
          <cell r="U242">
            <v>43272</v>
          </cell>
          <cell r="V242">
            <v>43279</v>
          </cell>
          <cell r="W242">
            <v>43286</v>
          </cell>
          <cell r="X242">
            <v>43286</v>
          </cell>
          <cell r="Y242">
            <v>43286</v>
          </cell>
          <cell r="Z242">
            <v>43286</v>
          </cell>
          <cell r="AA242">
            <v>43287</v>
          </cell>
          <cell r="AB242">
            <v>43349</v>
          </cell>
        </row>
        <row r="243">
          <cell r="A243" t="str">
            <v>18-040</v>
          </cell>
          <cell r="B243" t="str">
            <v>Zachry</v>
          </cell>
          <cell r="C243">
            <v>43234</v>
          </cell>
          <cell r="D243">
            <v>1</v>
          </cell>
          <cell r="E243">
            <v>2</v>
          </cell>
          <cell r="F243">
            <v>8</v>
          </cell>
          <cell r="G243">
            <v>10</v>
          </cell>
          <cell r="H243">
            <v>43248</v>
          </cell>
          <cell r="I243">
            <v>43259</v>
          </cell>
          <cell r="J243">
            <v>43266</v>
          </cell>
          <cell r="K243">
            <v>43273</v>
          </cell>
          <cell r="L243">
            <v>43280</v>
          </cell>
          <cell r="M243">
            <v>43287</v>
          </cell>
          <cell r="N243">
            <v>43294</v>
          </cell>
          <cell r="O243">
            <v>43301</v>
          </cell>
          <cell r="P243">
            <v>43248</v>
          </cell>
          <cell r="Q243">
            <v>43248</v>
          </cell>
          <cell r="R243">
            <v>0</v>
          </cell>
          <cell r="S243">
            <v>43261</v>
          </cell>
          <cell r="T243">
            <v>43262</v>
          </cell>
          <cell r="U243">
            <v>43266</v>
          </cell>
          <cell r="V243">
            <v>43273</v>
          </cell>
          <cell r="W243">
            <v>43280</v>
          </cell>
          <cell r="X243">
            <v>43280</v>
          </cell>
          <cell r="Y243">
            <v>43280</v>
          </cell>
          <cell r="Z243">
            <v>43280</v>
          </cell>
          <cell r="AA243">
            <v>43281</v>
          </cell>
          <cell r="AB243">
            <v>43329</v>
          </cell>
        </row>
        <row r="244">
          <cell r="A244" t="str">
            <v>18-041</v>
          </cell>
          <cell r="B244" t="str">
            <v>Domtar</v>
          </cell>
          <cell r="C244">
            <v>43236</v>
          </cell>
          <cell r="D244">
            <v>2</v>
          </cell>
          <cell r="E244">
            <v>3</v>
          </cell>
          <cell r="F244">
            <v>12</v>
          </cell>
          <cell r="G244">
            <v>14</v>
          </cell>
          <cell r="H244">
            <v>43257</v>
          </cell>
          <cell r="I244">
            <v>43264</v>
          </cell>
          <cell r="J244">
            <v>43395</v>
          </cell>
          <cell r="K244">
            <v>43399</v>
          </cell>
          <cell r="L244">
            <v>43406</v>
          </cell>
          <cell r="M244">
            <v>43413</v>
          </cell>
          <cell r="N244">
            <v>43420</v>
          </cell>
          <cell r="O244">
            <v>43427</v>
          </cell>
          <cell r="P244">
            <v>43250</v>
          </cell>
          <cell r="Q244">
            <v>43250</v>
          </cell>
          <cell r="R244">
            <v>0</v>
          </cell>
          <cell r="S244">
            <v>43390</v>
          </cell>
          <cell r="T244">
            <v>43391</v>
          </cell>
          <cell r="U244">
            <v>43395</v>
          </cell>
          <cell r="V244">
            <v>43402</v>
          </cell>
          <cell r="W244">
            <v>43409</v>
          </cell>
          <cell r="X244">
            <v>43409</v>
          </cell>
          <cell r="Y244">
            <v>43409</v>
          </cell>
          <cell r="Z244">
            <v>43409</v>
          </cell>
          <cell r="AA244">
            <v>43410</v>
          </cell>
          <cell r="AB244">
            <v>43486</v>
          </cell>
        </row>
        <row r="245">
          <cell r="A245" t="str">
            <v>18-042</v>
          </cell>
          <cell r="B245" t="str">
            <v>S&amp;S Technical</v>
          </cell>
          <cell r="C245">
            <v>43243</v>
          </cell>
          <cell r="D245">
            <v>2</v>
          </cell>
          <cell r="E245">
            <v>3</v>
          </cell>
          <cell r="F245">
            <v>14</v>
          </cell>
          <cell r="G245">
            <v>16</v>
          </cell>
          <cell r="H245">
            <v>43264</v>
          </cell>
          <cell r="I245">
            <v>43270</v>
          </cell>
          <cell r="J245">
            <v>43264</v>
          </cell>
          <cell r="K245">
            <v>43270</v>
          </cell>
          <cell r="L245">
            <v>43277</v>
          </cell>
          <cell r="M245">
            <v>43284</v>
          </cell>
          <cell r="N245">
            <v>43291</v>
          </cell>
          <cell r="O245">
            <v>43298</v>
          </cell>
          <cell r="P245">
            <v>43257</v>
          </cell>
          <cell r="Q245">
            <v>43257</v>
          </cell>
          <cell r="R245">
            <v>0</v>
          </cell>
          <cell r="S245">
            <v>43259</v>
          </cell>
          <cell r="T245">
            <v>43260</v>
          </cell>
          <cell r="U245">
            <v>43264</v>
          </cell>
          <cell r="V245">
            <v>43271</v>
          </cell>
          <cell r="W245">
            <v>43278</v>
          </cell>
          <cell r="X245">
            <v>43278</v>
          </cell>
          <cell r="Y245">
            <v>43278</v>
          </cell>
          <cell r="Z245">
            <v>43278</v>
          </cell>
          <cell r="AA245">
            <v>43279</v>
          </cell>
          <cell r="AB245">
            <v>43369</v>
          </cell>
        </row>
        <row r="246">
          <cell r="A246" t="str">
            <v>18-043</v>
          </cell>
          <cell r="B246" t="str">
            <v>Rosenblad</v>
          </cell>
          <cell r="C246">
            <v>43243</v>
          </cell>
          <cell r="D246">
            <v>2</v>
          </cell>
          <cell r="E246">
            <v>3</v>
          </cell>
          <cell r="F246">
            <v>10</v>
          </cell>
          <cell r="G246">
            <v>12</v>
          </cell>
          <cell r="H246">
            <v>43264</v>
          </cell>
          <cell r="I246">
            <v>43321</v>
          </cell>
          <cell r="J246">
            <v>43332</v>
          </cell>
          <cell r="K246">
            <v>43340</v>
          </cell>
          <cell r="L246">
            <v>43347</v>
          </cell>
          <cell r="M246">
            <v>43354</v>
          </cell>
          <cell r="N246">
            <v>43361</v>
          </cell>
          <cell r="O246">
            <v>43368</v>
          </cell>
          <cell r="P246">
            <v>43257</v>
          </cell>
          <cell r="Q246">
            <v>43257</v>
          </cell>
          <cell r="R246">
            <v>0</v>
          </cell>
          <cell r="S246">
            <v>43327</v>
          </cell>
          <cell r="T246">
            <v>43328</v>
          </cell>
          <cell r="U246">
            <v>43332</v>
          </cell>
          <cell r="V246">
            <v>43339</v>
          </cell>
          <cell r="W246">
            <v>43346</v>
          </cell>
          <cell r="X246">
            <v>43346</v>
          </cell>
          <cell r="Y246">
            <v>43346</v>
          </cell>
          <cell r="Z246">
            <v>43346</v>
          </cell>
          <cell r="AA246">
            <v>43347</v>
          </cell>
          <cell r="AB246">
            <v>43409</v>
          </cell>
        </row>
        <row r="247">
          <cell r="A247" t="str">
            <v>18-045</v>
          </cell>
          <cell r="B247" t="str">
            <v>DS Smith</v>
          </cell>
          <cell r="C247">
            <v>43270</v>
          </cell>
          <cell r="D247">
            <v>2</v>
          </cell>
          <cell r="E247">
            <v>3</v>
          </cell>
          <cell r="F247">
            <v>8</v>
          </cell>
          <cell r="G247">
            <v>10</v>
          </cell>
          <cell r="H247">
            <v>43291</v>
          </cell>
          <cell r="I247">
            <v>43301</v>
          </cell>
          <cell r="J247">
            <v>43294</v>
          </cell>
          <cell r="K247">
            <v>43299</v>
          </cell>
          <cell r="L247">
            <v>43306</v>
          </cell>
          <cell r="M247">
            <v>43313</v>
          </cell>
          <cell r="N247">
            <v>43320</v>
          </cell>
          <cell r="O247">
            <v>43327</v>
          </cell>
          <cell r="P247">
            <v>43284</v>
          </cell>
          <cell r="Q247">
            <v>43284</v>
          </cell>
          <cell r="R247">
            <v>0</v>
          </cell>
          <cell r="S247">
            <v>43289</v>
          </cell>
          <cell r="T247">
            <v>43290</v>
          </cell>
          <cell r="U247">
            <v>43294</v>
          </cell>
          <cell r="V247">
            <v>43301</v>
          </cell>
          <cell r="W247">
            <v>43308</v>
          </cell>
          <cell r="X247">
            <v>43308</v>
          </cell>
          <cell r="Y247">
            <v>43308</v>
          </cell>
          <cell r="Z247">
            <v>43308</v>
          </cell>
          <cell r="AA247">
            <v>43309</v>
          </cell>
          <cell r="AB247">
            <v>43357</v>
          </cell>
        </row>
        <row r="248">
          <cell r="A248" t="str">
            <v>18-046</v>
          </cell>
          <cell r="B248" t="str">
            <v>Nutrien</v>
          </cell>
          <cell r="C248">
            <v>43271</v>
          </cell>
          <cell r="D248">
            <v>1</v>
          </cell>
          <cell r="E248">
            <v>2</v>
          </cell>
          <cell r="F248">
            <v>8</v>
          </cell>
          <cell r="G248">
            <v>10</v>
          </cell>
          <cell r="H248">
            <v>43285</v>
          </cell>
          <cell r="I248">
            <v>43297</v>
          </cell>
          <cell r="J248">
            <v>43300</v>
          </cell>
          <cell r="K248">
            <v>43307</v>
          </cell>
          <cell r="L248">
            <v>43314</v>
          </cell>
          <cell r="M248">
            <v>43321</v>
          </cell>
          <cell r="N248">
            <v>43328</v>
          </cell>
          <cell r="O248">
            <v>43335</v>
          </cell>
          <cell r="P248">
            <v>43285</v>
          </cell>
          <cell r="Q248">
            <v>43285</v>
          </cell>
          <cell r="R248">
            <v>0</v>
          </cell>
          <cell r="S248">
            <v>43295</v>
          </cell>
          <cell r="T248">
            <v>43296</v>
          </cell>
          <cell r="U248">
            <v>43300</v>
          </cell>
          <cell r="V248">
            <v>43307</v>
          </cell>
          <cell r="W248">
            <v>43314</v>
          </cell>
          <cell r="X248">
            <v>43314</v>
          </cell>
          <cell r="Y248">
            <v>43314</v>
          </cell>
          <cell r="Z248">
            <v>43314</v>
          </cell>
          <cell r="AA248">
            <v>43315</v>
          </cell>
          <cell r="AB248">
            <v>43363</v>
          </cell>
        </row>
        <row r="249">
          <cell r="A249" t="str">
            <v>18-047</v>
          </cell>
          <cell r="B249" t="str">
            <v>US Sugar</v>
          </cell>
          <cell r="C249">
            <v>43277</v>
          </cell>
          <cell r="D249">
            <v>1</v>
          </cell>
          <cell r="E249">
            <v>2</v>
          </cell>
          <cell r="F249">
            <v>10</v>
          </cell>
          <cell r="G249">
            <v>12</v>
          </cell>
          <cell r="H249">
            <v>43291</v>
          </cell>
          <cell r="I249">
            <v>43304</v>
          </cell>
          <cell r="J249">
            <v>43325</v>
          </cell>
          <cell r="K249">
            <v>43327</v>
          </cell>
          <cell r="L249">
            <v>43334</v>
          </cell>
          <cell r="M249">
            <v>43341</v>
          </cell>
          <cell r="N249">
            <v>43348</v>
          </cell>
          <cell r="O249">
            <v>43355</v>
          </cell>
          <cell r="P249">
            <v>43291</v>
          </cell>
          <cell r="Q249">
            <v>43291</v>
          </cell>
          <cell r="R249">
            <v>0</v>
          </cell>
          <cell r="S249">
            <v>43320</v>
          </cell>
          <cell r="T249">
            <v>43321</v>
          </cell>
          <cell r="U249">
            <v>43325</v>
          </cell>
          <cell r="V249">
            <v>43332</v>
          </cell>
          <cell r="W249">
            <v>43339</v>
          </cell>
          <cell r="X249">
            <v>43339</v>
          </cell>
          <cell r="Y249">
            <v>43339</v>
          </cell>
          <cell r="Z249">
            <v>43339</v>
          </cell>
          <cell r="AA249">
            <v>43340</v>
          </cell>
          <cell r="AB249">
            <v>43402</v>
          </cell>
        </row>
        <row r="250">
          <cell r="A250" t="str">
            <v>18-048</v>
          </cell>
          <cell r="B250" t="str">
            <v>O'Neal</v>
          </cell>
          <cell r="C250">
            <v>43298</v>
          </cell>
          <cell r="D250">
            <v>1</v>
          </cell>
          <cell r="E250">
            <v>2</v>
          </cell>
          <cell r="F250">
            <v>12</v>
          </cell>
          <cell r="G250">
            <v>14</v>
          </cell>
          <cell r="H250">
            <v>43312</v>
          </cell>
          <cell r="I250">
            <v>43327</v>
          </cell>
          <cell r="J250">
            <v>43334</v>
          </cell>
          <cell r="K250">
            <v>43341</v>
          </cell>
          <cell r="L250">
            <v>43348</v>
          </cell>
          <cell r="M250">
            <v>43355</v>
          </cell>
          <cell r="N250">
            <v>43362</v>
          </cell>
          <cell r="O250">
            <v>43369</v>
          </cell>
          <cell r="P250">
            <v>43312</v>
          </cell>
          <cell r="Q250">
            <v>43312</v>
          </cell>
          <cell r="R250">
            <v>0</v>
          </cell>
          <cell r="S250">
            <v>43329</v>
          </cell>
          <cell r="T250">
            <v>43330</v>
          </cell>
          <cell r="U250">
            <v>43334</v>
          </cell>
          <cell r="V250">
            <v>43341</v>
          </cell>
          <cell r="W250">
            <v>43348</v>
          </cell>
          <cell r="X250">
            <v>43348</v>
          </cell>
          <cell r="Y250">
            <v>43348</v>
          </cell>
          <cell r="Z250">
            <v>43348</v>
          </cell>
          <cell r="AA250">
            <v>43349</v>
          </cell>
          <cell r="AB250">
            <v>43425</v>
          </cell>
        </row>
        <row r="251">
          <cell r="A251" t="str">
            <v>18-049</v>
          </cell>
          <cell r="B251" t="str">
            <v>O'Neal</v>
          </cell>
          <cell r="C251">
            <v>43300</v>
          </cell>
          <cell r="D251">
            <v>2</v>
          </cell>
          <cell r="E251">
            <v>3</v>
          </cell>
          <cell r="F251">
            <v>10</v>
          </cell>
          <cell r="G251">
            <v>12</v>
          </cell>
          <cell r="H251">
            <v>43321</v>
          </cell>
          <cell r="I251">
            <v>43335</v>
          </cell>
          <cell r="J251">
            <v>43341</v>
          </cell>
          <cell r="K251">
            <v>43348</v>
          </cell>
          <cell r="L251">
            <v>43355</v>
          </cell>
          <cell r="M251">
            <v>43362</v>
          </cell>
          <cell r="N251">
            <v>43369</v>
          </cell>
          <cell r="O251">
            <v>43376</v>
          </cell>
          <cell r="P251">
            <v>43314</v>
          </cell>
          <cell r="Q251">
            <v>43314</v>
          </cell>
          <cell r="R251">
            <v>0</v>
          </cell>
          <cell r="S251">
            <v>43336</v>
          </cell>
          <cell r="T251">
            <v>43337</v>
          </cell>
          <cell r="U251">
            <v>43341</v>
          </cell>
          <cell r="V251">
            <v>43348</v>
          </cell>
          <cell r="W251">
            <v>43355</v>
          </cell>
          <cell r="X251">
            <v>43355</v>
          </cell>
          <cell r="Y251">
            <v>43355</v>
          </cell>
          <cell r="Z251">
            <v>43355</v>
          </cell>
          <cell r="AA251">
            <v>43356</v>
          </cell>
          <cell r="AB251">
            <v>43418</v>
          </cell>
        </row>
        <row r="252">
          <cell r="A252" t="str">
            <v>18-050</v>
          </cell>
          <cell r="B252" t="str">
            <v>O'Neal</v>
          </cell>
          <cell r="C252">
            <v>43300</v>
          </cell>
          <cell r="D252">
            <v>2</v>
          </cell>
          <cell r="E252">
            <v>3</v>
          </cell>
          <cell r="F252">
            <v>10</v>
          </cell>
          <cell r="G252">
            <v>12</v>
          </cell>
          <cell r="H252">
            <v>43321</v>
          </cell>
          <cell r="I252">
            <v>43335</v>
          </cell>
          <cell r="J252">
            <v>43341</v>
          </cell>
          <cell r="K252">
            <v>43348</v>
          </cell>
          <cell r="L252">
            <v>43355</v>
          </cell>
          <cell r="M252">
            <v>43362</v>
          </cell>
          <cell r="N252">
            <v>43369</v>
          </cell>
          <cell r="O252">
            <v>43376</v>
          </cell>
          <cell r="P252">
            <v>43314</v>
          </cell>
          <cell r="Q252">
            <v>43314</v>
          </cell>
          <cell r="R252">
            <v>0</v>
          </cell>
          <cell r="S252">
            <v>43336</v>
          </cell>
          <cell r="T252">
            <v>43337</v>
          </cell>
          <cell r="U252">
            <v>43341</v>
          </cell>
          <cell r="V252">
            <v>43348</v>
          </cell>
          <cell r="W252">
            <v>43355</v>
          </cell>
          <cell r="X252">
            <v>43355</v>
          </cell>
          <cell r="Y252">
            <v>43355</v>
          </cell>
          <cell r="Z252">
            <v>43355</v>
          </cell>
          <cell r="AA252">
            <v>43356</v>
          </cell>
          <cell r="AB252">
            <v>43418</v>
          </cell>
        </row>
        <row r="253">
          <cell r="A253" t="str">
            <v>18-051</v>
          </cell>
          <cell r="B253" t="str">
            <v>O'Neal</v>
          </cell>
          <cell r="C253">
            <v>43300</v>
          </cell>
          <cell r="D253">
            <v>2</v>
          </cell>
          <cell r="E253">
            <v>3</v>
          </cell>
          <cell r="F253">
            <v>10</v>
          </cell>
          <cell r="G253">
            <v>12</v>
          </cell>
          <cell r="H253">
            <v>43321</v>
          </cell>
          <cell r="I253">
            <v>43335</v>
          </cell>
          <cell r="J253">
            <v>43341</v>
          </cell>
          <cell r="K253">
            <v>43350</v>
          </cell>
          <cell r="L253">
            <v>43357</v>
          </cell>
          <cell r="M253">
            <v>43364</v>
          </cell>
          <cell r="N253">
            <v>43371</v>
          </cell>
          <cell r="O253">
            <v>43378</v>
          </cell>
          <cell r="P253">
            <v>43314</v>
          </cell>
          <cell r="Q253">
            <v>43314</v>
          </cell>
          <cell r="R253">
            <v>0</v>
          </cell>
          <cell r="S253">
            <v>43336</v>
          </cell>
          <cell r="T253">
            <v>43337</v>
          </cell>
          <cell r="U253">
            <v>43341</v>
          </cell>
          <cell r="V253">
            <v>43348</v>
          </cell>
          <cell r="W253">
            <v>43355</v>
          </cell>
          <cell r="X253">
            <v>43355</v>
          </cell>
          <cell r="Y253">
            <v>43355</v>
          </cell>
          <cell r="Z253">
            <v>43355</v>
          </cell>
          <cell r="AA253">
            <v>43356</v>
          </cell>
          <cell r="AB253">
            <v>43418</v>
          </cell>
        </row>
        <row r="254">
          <cell r="A254" t="str">
            <v>18-052</v>
          </cell>
          <cell r="B254" t="str">
            <v>O'Neal</v>
          </cell>
          <cell r="C254">
            <v>43300</v>
          </cell>
          <cell r="D254">
            <v>2</v>
          </cell>
          <cell r="E254">
            <v>3</v>
          </cell>
          <cell r="F254">
            <v>10</v>
          </cell>
          <cell r="G254">
            <v>12</v>
          </cell>
          <cell r="H254">
            <v>43321</v>
          </cell>
          <cell r="I254">
            <v>43335</v>
          </cell>
          <cell r="J254">
            <v>43341</v>
          </cell>
          <cell r="K254">
            <v>43350</v>
          </cell>
          <cell r="L254">
            <v>43357</v>
          </cell>
          <cell r="M254">
            <v>43364</v>
          </cell>
          <cell r="N254">
            <v>43371</v>
          </cell>
          <cell r="O254">
            <v>43378</v>
          </cell>
          <cell r="P254">
            <v>43314</v>
          </cell>
          <cell r="Q254">
            <v>43314</v>
          </cell>
          <cell r="R254">
            <v>0</v>
          </cell>
          <cell r="S254">
            <v>43336</v>
          </cell>
          <cell r="T254">
            <v>43337</v>
          </cell>
          <cell r="U254">
            <v>43341</v>
          </cell>
          <cell r="V254">
            <v>43348</v>
          </cell>
          <cell r="W254">
            <v>43355</v>
          </cell>
          <cell r="X254">
            <v>43355</v>
          </cell>
          <cell r="Y254">
            <v>43355</v>
          </cell>
          <cell r="Z254">
            <v>43355</v>
          </cell>
          <cell r="AA254">
            <v>43356</v>
          </cell>
          <cell r="AB254">
            <v>43418</v>
          </cell>
        </row>
        <row r="255">
          <cell r="A255" t="str">
            <v>18-053</v>
          </cell>
          <cell r="B255" t="str">
            <v>O'Neal</v>
          </cell>
          <cell r="C255">
            <v>43300</v>
          </cell>
          <cell r="D255">
            <v>2</v>
          </cell>
          <cell r="E255">
            <v>3</v>
          </cell>
          <cell r="F255">
            <v>10</v>
          </cell>
          <cell r="G255">
            <v>12</v>
          </cell>
          <cell r="H255">
            <v>43321</v>
          </cell>
          <cell r="I255">
            <v>43335</v>
          </cell>
          <cell r="J255">
            <v>43341</v>
          </cell>
          <cell r="K255">
            <v>43350</v>
          </cell>
          <cell r="L255">
            <v>43357</v>
          </cell>
          <cell r="M255">
            <v>43364</v>
          </cell>
          <cell r="N255">
            <v>43371</v>
          </cell>
          <cell r="O255">
            <v>43378</v>
          </cell>
          <cell r="P255">
            <v>43314</v>
          </cell>
          <cell r="Q255">
            <v>43314</v>
          </cell>
          <cell r="R255">
            <v>0</v>
          </cell>
          <cell r="S255">
            <v>43336</v>
          </cell>
          <cell r="T255">
            <v>43337</v>
          </cell>
          <cell r="U255">
            <v>43341</v>
          </cell>
          <cell r="V255">
            <v>43348</v>
          </cell>
          <cell r="W255">
            <v>43355</v>
          </cell>
          <cell r="X255">
            <v>43355</v>
          </cell>
          <cell r="Y255">
            <v>43355</v>
          </cell>
          <cell r="Z255">
            <v>43355</v>
          </cell>
          <cell r="AA255">
            <v>43356</v>
          </cell>
          <cell r="AB255">
            <v>43418</v>
          </cell>
        </row>
        <row r="256">
          <cell r="A256" t="str">
            <v>18-054</v>
          </cell>
          <cell r="B256" t="str">
            <v>O'Neal</v>
          </cell>
          <cell r="C256">
            <v>43300</v>
          </cell>
          <cell r="D256">
            <v>2</v>
          </cell>
          <cell r="E256">
            <v>3</v>
          </cell>
          <cell r="F256">
            <v>10</v>
          </cell>
          <cell r="G256">
            <v>12</v>
          </cell>
          <cell r="H256">
            <v>43321</v>
          </cell>
          <cell r="I256">
            <v>43335</v>
          </cell>
          <cell r="J256">
            <v>43341</v>
          </cell>
          <cell r="K256">
            <v>43350</v>
          </cell>
          <cell r="L256">
            <v>43357</v>
          </cell>
          <cell r="M256">
            <v>43364</v>
          </cell>
          <cell r="N256">
            <v>43371</v>
          </cell>
          <cell r="O256">
            <v>43378</v>
          </cell>
          <cell r="P256">
            <v>43314</v>
          </cell>
          <cell r="Q256">
            <v>43314</v>
          </cell>
          <cell r="R256">
            <v>0</v>
          </cell>
          <cell r="S256">
            <v>43336</v>
          </cell>
          <cell r="T256">
            <v>43337</v>
          </cell>
          <cell r="U256">
            <v>43341</v>
          </cell>
          <cell r="V256">
            <v>43348</v>
          </cell>
          <cell r="W256">
            <v>43355</v>
          </cell>
          <cell r="X256">
            <v>43355</v>
          </cell>
          <cell r="Y256">
            <v>43355</v>
          </cell>
          <cell r="Z256">
            <v>43355</v>
          </cell>
          <cell r="AA256">
            <v>43356</v>
          </cell>
          <cell r="AB256">
            <v>43418</v>
          </cell>
        </row>
        <row r="257">
          <cell r="A257" t="str">
            <v>18-055</v>
          </cell>
          <cell r="B257" t="str">
            <v>O'Neal</v>
          </cell>
          <cell r="C257">
            <v>43300</v>
          </cell>
          <cell r="D257">
            <v>2</v>
          </cell>
          <cell r="E257">
            <v>3</v>
          </cell>
          <cell r="F257">
            <v>10</v>
          </cell>
          <cell r="G257">
            <v>12</v>
          </cell>
          <cell r="H257">
            <v>43321</v>
          </cell>
          <cell r="I257">
            <v>43335</v>
          </cell>
          <cell r="J257">
            <v>43342</v>
          </cell>
          <cell r="K257">
            <v>43349</v>
          </cell>
          <cell r="L257">
            <v>43356</v>
          </cell>
          <cell r="M257">
            <v>43363</v>
          </cell>
          <cell r="N257">
            <v>43370</v>
          </cell>
          <cell r="O257">
            <v>43377</v>
          </cell>
          <cell r="P257">
            <v>43314</v>
          </cell>
          <cell r="Q257">
            <v>43314</v>
          </cell>
          <cell r="R257">
            <v>0</v>
          </cell>
          <cell r="S257">
            <v>43337</v>
          </cell>
          <cell r="T257">
            <v>43338</v>
          </cell>
          <cell r="U257">
            <v>43342</v>
          </cell>
          <cell r="V257">
            <v>43349</v>
          </cell>
          <cell r="W257">
            <v>43356</v>
          </cell>
          <cell r="X257">
            <v>43356</v>
          </cell>
          <cell r="Y257">
            <v>43356</v>
          </cell>
          <cell r="Z257">
            <v>43356</v>
          </cell>
          <cell r="AA257">
            <v>43357</v>
          </cell>
          <cell r="AB257">
            <v>43419</v>
          </cell>
        </row>
        <row r="258">
          <cell r="A258" t="str">
            <v>18-056</v>
          </cell>
          <cell r="B258" t="str">
            <v>O'Neal</v>
          </cell>
          <cell r="C258">
            <v>43300</v>
          </cell>
          <cell r="D258">
            <v>2</v>
          </cell>
          <cell r="E258">
            <v>3</v>
          </cell>
          <cell r="F258">
            <v>10</v>
          </cell>
          <cell r="G258">
            <v>12</v>
          </cell>
          <cell r="H258">
            <v>43321</v>
          </cell>
          <cell r="I258">
            <v>43342</v>
          </cell>
          <cell r="J258">
            <v>43362</v>
          </cell>
          <cell r="K258">
            <v>43376</v>
          </cell>
          <cell r="L258">
            <v>43383</v>
          </cell>
          <cell r="M258">
            <v>43390</v>
          </cell>
          <cell r="N258">
            <v>43397</v>
          </cell>
          <cell r="O258">
            <v>43404</v>
          </cell>
          <cell r="P258">
            <v>43314</v>
          </cell>
          <cell r="Q258">
            <v>43314</v>
          </cell>
          <cell r="R258">
            <v>0</v>
          </cell>
          <cell r="S258">
            <v>43357</v>
          </cell>
          <cell r="T258">
            <v>43358</v>
          </cell>
          <cell r="U258">
            <v>43362</v>
          </cell>
          <cell r="V258">
            <v>43369</v>
          </cell>
          <cell r="W258">
            <v>43376</v>
          </cell>
          <cell r="X258">
            <v>43376</v>
          </cell>
          <cell r="Y258">
            <v>43376</v>
          </cell>
          <cell r="Z258">
            <v>43376</v>
          </cell>
          <cell r="AA258">
            <v>43377</v>
          </cell>
          <cell r="AB258">
            <v>43439</v>
          </cell>
        </row>
        <row r="259">
          <cell r="A259" t="str">
            <v>18-057</v>
          </cell>
          <cell r="B259" t="str">
            <v>S&amp;S Technical</v>
          </cell>
          <cell r="C259">
            <v>43301</v>
          </cell>
          <cell r="D259">
            <v>1</v>
          </cell>
          <cell r="E259">
            <v>2</v>
          </cell>
          <cell r="F259">
            <v>10</v>
          </cell>
          <cell r="G259">
            <v>12</v>
          </cell>
          <cell r="H259">
            <v>43315</v>
          </cell>
          <cell r="I259">
            <v>43327</v>
          </cell>
          <cell r="J259">
            <v>43320</v>
          </cell>
          <cell r="K259">
            <v>43321</v>
          </cell>
          <cell r="L259">
            <v>43328</v>
          </cell>
          <cell r="M259">
            <v>43335</v>
          </cell>
          <cell r="N259">
            <v>43342</v>
          </cell>
          <cell r="O259">
            <v>43349</v>
          </cell>
          <cell r="P259">
            <v>43315</v>
          </cell>
          <cell r="Q259">
            <v>43315</v>
          </cell>
          <cell r="R259">
            <v>0</v>
          </cell>
          <cell r="S259">
            <v>43315</v>
          </cell>
          <cell r="T259">
            <v>43316</v>
          </cell>
          <cell r="U259">
            <v>43320</v>
          </cell>
          <cell r="V259">
            <v>43327</v>
          </cell>
          <cell r="W259">
            <v>43334</v>
          </cell>
          <cell r="X259">
            <v>43334</v>
          </cell>
          <cell r="Y259">
            <v>43334</v>
          </cell>
          <cell r="Z259">
            <v>43334</v>
          </cell>
          <cell r="AA259">
            <v>43335</v>
          </cell>
          <cell r="AB259">
            <v>43397</v>
          </cell>
        </row>
        <row r="260">
          <cell r="A260" t="str">
            <v>18-058</v>
          </cell>
          <cell r="B260" t="str">
            <v>Venator</v>
          </cell>
          <cell r="C260">
            <v>43304</v>
          </cell>
          <cell r="D260">
            <v>2</v>
          </cell>
          <cell r="E260">
            <v>3</v>
          </cell>
          <cell r="F260">
            <v>10</v>
          </cell>
          <cell r="G260">
            <v>12</v>
          </cell>
          <cell r="H260">
            <v>43325</v>
          </cell>
          <cell r="I260">
            <v>43340</v>
          </cell>
          <cell r="J260">
            <v>43335</v>
          </cell>
          <cell r="K260">
            <v>43339</v>
          </cell>
          <cell r="L260">
            <v>43346</v>
          </cell>
          <cell r="M260">
            <v>43353</v>
          </cell>
          <cell r="N260">
            <v>43360</v>
          </cell>
          <cell r="O260">
            <v>43367</v>
          </cell>
          <cell r="P260">
            <v>43318</v>
          </cell>
          <cell r="Q260">
            <v>43318</v>
          </cell>
          <cell r="R260">
            <v>0</v>
          </cell>
          <cell r="S260">
            <v>43330</v>
          </cell>
          <cell r="T260">
            <v>43331</v>
          </cell>
          <cell r="U260">
            <v>43335</v>
          </cell>
          <cell r="V260">
            <v>43342</v>
          </cell>
          <cell r="W260">
            <v>43349</v>
          </cell>
          <cell r="X260">
            <v>43349</v>
          </cell>
          <cell r="Y260">
            <v>43349</v>
          </cell>
          <cell r="Z260">
            <v>43349</v>
          </cell>
          <cell r="AA260">
            <v>43350</v>
          </cell>
          <cell r="AB260">
            <v>43412</v>
          </cell>
        </row>
        <row r="261">
          <cell r="A261" t="str">
            <v>18-059</v>
          </cell>
          <cell r="B261" t="str">
            <v>Venator</v>
          </cell>
          <cell r="C261">
            <v>43304</v>
          </cell>
          <cell r="D261">
            <v>2</v>
          </cell>
          <cell r="E261">
            <v>3</v>
          </cell>
          <cell r="F261">
            <v>10</v>
          </cell>
          <cell r="G261">
            <v>12</v>
          </cell>
          <cell r="H261">
            <v>43325</v>
          </cell>
          <cell r="I261">
            <v>43340</v>
          </cell>
          <cell r="J261">
            <v>43335</v>
          </cell>
          <cell r="K261">
            <v>43339</v>
          </cell>
          <cell r="L261">
            <v>43346</v>
          </cell>
          <cell r="M261">
            <v>43353</v>
          </cell>
          <cell r="N261">
            <v>43360</v>
          </cell>
          <cell r="O261">
            <v>43367</v>
          </cell>
          <cell r="P261">
            <v>43318</v>
          </cell>
          <cell r="Q261">
            <v>43318</v>
          </cell>
          <cell r="R261">
            <v>0</v>
          </cell>
          <cell r="S261">
            <v>43330</v>
          </cell>
          <cell r="T261">
            <v>43331</v>
          </cell>
          <cell r="U261">
            <v>43335</v>
          </cell>
          <cell r="V261">
            <v>43342</v>
          </cell>
          <cell r="W261">
            <v>43349</v>
          </cell>
          <cell r="X261">
            <v>43349</v>
          </cell>
          <cell r="Y261">
            <v>43349</v>
          </cell>
          <cell r="Z261">
            <v>43349</v>
          </cell>
          <cell r="AA261">
            <v>43350</v>
          </cell>
          <cell r="AB261">
            <v>43412</v>
          </cell>
        </row>
        <row r="262">
          <cell r="A262" t="str">
            <v>18-060</v>
          </cell>
          <cell r="B262" t="str">
            <v>Garrett</v>
          </cell>
          <cell r="C262">
            <v>43334</v>
          </cell>
          <cell r="D262">
            <v>1</v>
          </cell>
          <cell r="E262">
            <v>1</v>
          </cell>
          <cell r="F262">
            <v>2</v>
          </cell>
          <cell r="G262">
            <v>3</v>
          </cell>
          <cell r="H262">
            <v>43341</v>
          </cell>
          <cell r="I262">
            <v>43355</v>
          </cell>
          <cell r="J262">
            <v>43362</v>
          </cell>
          <cell r="K262">
            <v>43369</v>
          </cell>
          <cell r="L262">
            <v>43376</v>
          </cell>
          <cell r="M262">
            <v>43383</v>
          </cell>
          <cell r="N262">
            <v>43390</v>
          </cell>
          <cell r="O262">
            <v>43397</v>
          </cell>
          <cell r="P262">
            <v>43348</v>
          </cell>
          <cell r="Q262">
            <v>43348</v>
          </cell>
          <cell r="R262">
            <v>0</v>
          </cell>
          <cell r="S262">
            <v>43357</v>
          </cell>
          <cell r="T262">
            <v>43358</v>
          </cell>
          <cell r="U262">
            <v>43362</v>
          </cell>
          <cell r="V262">
            <v>43369</v>
          </cell>
          <cell r="W262">
            <v>43376</v>
          </cell>
          <cell r="X262">
            <v>43376</v>
          </cell>
          <cell r="Y262">
            <v>43376</v>
          </cell>
          <cell r="Z262">
            <v>43376</v>
          </cell>
          <cell r="AA262">
            <v>43377</v>
          </cell>
          <cell r="AB262">
            <v>43376</v>
          </cell>
        </row>
        <row r="263">
          <cell r="A263" t="str">
            <v>18-061</v>
          </cell>
          <cell r="B263" t="str">
            <v>Bulk Chemical</v>
          </cell>
          <cell r="C263">
            <v>43336</v>
          </cell>
          <cell r="D263">
            <v>2</v>
          </cell>
          <cell r="E263">
            <v>3</v>
          </cell>
          <cell r="F263">
            <v>10</v>
          </cell>
          <cell r="G263">
            <v>12</v>
          </cell>
          <cell r="H263">
            <v>43357</v>
          </cell>
          <cell r="I263">
            <v>43357</v>
          </cell>
          <cell r="J263">
            <v>43364</v>
          </cell>
          <cell r="K263">
            <v>43370</v>
          </cell>
          <cell r="L263">
            <v>43377</v>
          </cell>
          <cell r="M263">
            <v>43384</v>
          </cell>
          <cell r="N263">
            <v>43391</v>
          </cell>
          <cell r="O263">
            <v>43398</v>
          </cell>
          <cell r="P263">
            <v>43350</v>
          </cell>
          <cell r="Q263">
            <v>43350</v>
          </cell>
          <cell r="R263">
            <v>0</v>
          </cell>
          <cell r="S263">
            <v>43359</v>
          </cell>
          <cell r="T263">
            <v>43360</v>
          </cell>
          <cell r="U263">
            <v>43364</v>
          </cell>
          <cell r="V263">
            <v>43371</v>
          </cell>
          <cell r="W263">
            <v>43378</v>
          </cell>
          <cell r="X263">
            <v>43378</v>
          </cell>
          <cell r="Y263">
            <v>43378</v>
          </cell>
          <cell r="Z263">
            <v>43378</v>
          </cell>
          <cell r="AA263">
            <v>43379</v>
          </cell>
          <cell r="AB263">
            <v>43441</v>
          </cell>
        </row>
        <row r="264">
          <cell r="A264" t="str">
            <v>18-062</v>
          </cell>
          <cell r="B264" t="str">
            <v xml:space="preserve">Irving </v>
          </cell>
          <cell r="C264">
            <v>43339</v>
          </cell>
          <cell r="D264">
            <v>2</v>
          </cell>
          <cell r="E264">
            <v>3</v>
          </cell>
          <cell r="F264">
            <v>14</v>
          </cell>
          <cell r="G264">
            <v>16</v>
          </cell>
          <cell r="H264">
            <v>43360</v>
          </cell>
          <cell r="I264">
            <v>43369</v>
          </cell>
          <cell r="J264">
            <v>43376</v>
          </cell>
          <cell r="K264">
            <v>43381</v>
          </cell>
          <cell r="L264">
            <v>43396</v>
          </cell>
          <cell r="M264">
            <v>43399</v>
          </cell>
          <cell r="N264">
            <v>43406</v>
          </cell>
          <cell r="O264">
            <v>43413</v>
          </cell>
          <cell r="P264">
            <v>43353</v>
          </cell>
          <cell r="Q264">
            <v>43353</v>
          </cell>
          <cell r="R264">
            <v>0</v>
          </cell>
          <cell r="S264">
            <v>43391</v>
          </cell>
          <cell r="T264">
            <v>43392</v>
          </cell>
          <cell r="U264">
            <v>43396</v>
          </cell>
          <cell r="V264">
            <v>43403</v>
          </cell>
          <cell r="W264">
            <v>43410</v>
          </cell>
          <cell r="X264">
            <v>43410</v>
          </cell>
          <cell r="Y264">
            <v>43410</v>
          </cell>
          <cell r="Z264">
            <v>43410</v>
          </cell>
          <cell r="AA264">
            <v>43411</v>
          </cell>
          <cell r="AB264">
            <v>43501</v>
          </cell>
        </row>
        <row r="265">
          <cell r="A265" t="str">
            <v>18-063</v>
          </cell>
          <cell r="B265" t="str">
            <v xml:space="preserve">Irving </v>
          </cell>
          <cell r="C265">
            <v>43339</v>
          </cell>
          <cell r="D265">
            <v>2</v>
          </cell>
          <cell r="E265">
            <v>3</v>
          </cell>
          <cell r="F265">
            <v>14</v>
          </cell>
          <cell r="G265">
            <v>16</v>
          </cell>
          <cell r="H265">
            <v>43360</v>
          </cell>
          <cell r="I265">
            <v>43368</v>
          </cell>
          <cell r="J265">
            <v>43368</v>
          </cell>
          <cell r="K265">
            <v>43374</v>
          </cell>
          <cell r="L265">
            <v>43389</v>
          </cell>
          <cell r="M265">
            <v>43389</v>
          </cell>
          <cell r="N265">
            <v>43396</v>
          </cell>
          <cell r="O265">
            <v>43403</v>
          </cell>
          <cell r="P265">
            <v>43353</v>
          </cell>
          <cell r="Q265">
            <v>43353</v>
          </cell>
          <cell r="R265">
            <v>0</v>
          </cell>
          <cell r="S265">
            <v>43384</v>
          </cell>
          <cell r="T265">
            <v>43385</v>
          </cell>
          <cell r="U265">
            <v>43389</v>
          </cell>
          <cell r="V265">
            <v>43396</v>
          </cell>
          <cell r="W265">
            <v>43403</v>
          </cell>
          <cell r="X265">
            <v>43403</v>
          </cell>
          <cell r="Y265">
            <v>43403</v>
          </cell>
          <cell r="Z265">
            <v>43403</v>
          </cell>
          <cell r="AA265">
            <v>43404</v>
          </cell>
          <cell r="AB265">
            <v>43494</v>
          </cell>
        </row>
        <row r="266">
          <cell r="A266" t="str">
            <v>18-064</v>
          </cell>
          <cell r="B266" t="str">
            <v xml:space="preserve">Irving </v>
          </cell>
          <cell r="C266">
            <v>43339</v>
          </cell>
          <cell r="D266">
            <v>2</v>
          </cell>
          <cell r="E266">
            <v>3</v>
          </cell>
          <cell r="F266">
            <v>14</v>
          </cell>
          <cell r="G266">
            <v>16</v>
          </cell>
          <cell r="H266">
            <v>43360</v>
          </cell>
          <cell r="I266">
            <v>43364</v>
          </cell>
          <cell r="J266">
            <v>43370</v>
          </cell>
          <cell r="K266">
            <v>43374</v>
          </cell>
          <cell r="L266">
            <v>43390</v>
          </cell>
          <cell r="M266">
            <v>43390</v>
          </cell>
          <cell r="N266">
            <v>43397</v>
          </cell>
          <cell r="O266">
            <v>43404</v>
          </cell>
          <cell r="P266">
            <v>43353</v>
          </cell>
          <cell r="Q266">
            <v>43353</v>
          </cell>
          <cell r="R266">
            <v>0</v>
          </cell>
          <cell r="S266">
            <v>43385</v>
          </cell>
          <cell r="T266">
            <v>43386</v>
          </cell>
          <cell r="U266">
            <v>43390</v>
          </cell>
          <cell r="V266">
            <v>43397</v>
          </cell>
          <cell r="W266">
            <v>43404</v>
          </cell>
          <cell r="X266">
            <v>43404</v>
          </cell>
          <cell r="Y266">
            <v>43404</v>
          </cell>
          <cell r="Z266">
            <v>43404</v>
          </cell>
          <cell r="AA266">
            <v>43405</v>
          </cell>
          <cell r="AB266">
            <v>43495</v>
          </cell>
        </row>
        <row r="267">
          <cell r="A267" t="str">
            <v>18-065</v>
          </cell>
          <cell r="B267" t="str">
            <v>Kimberly Clark</v>
          </cell>
          <cell r="C267">
            <v>43340</v>
          </cell>
          <cell r="D267">
            <v>2</v>
          </cell>
          <cell r="E267">
            <v>3</v>
          </cell>
          <cell r="F267">
            <v>18</v>
          </cell>
          <cell r="G267">
            <v>22</v>
          </cell>
          <cell r="H267">
            <v>43361</v>
          </cell>
          <cell r="I267">
            <v>43376</v>
          </cell>
          <cell r="J267">
            <v>43384</v>
          </cell>
          <cell r="K267">
            <v>43431</v>
          </cell>
          <cell r="L267">
            <v>43441</v>
          </cell>
          <cell r="M267">
            <v>43451</v>
          </cell>
          <cell r="N267">
            <v>43458</v>
          </cell>
          <cell r="O267">
            <v>43465</v>
          </cell>
          <cell r="P267">
            <v>43354</v>
          </cell>
          <cell r="Q267">
            <v>43354</v>
          </cell>
          <cell r="R267">
            <v>0</v>
          </cell>
          <cell r="S267">
            <v>43436</v>
          </cell>
          <cell r="T267">
            <v>43437</v>
          </cell>
          <cell r="U267">
            <v>43441</v>
          </cell>
          <cell r="V267">
            <v>43448</v>
          </cell>
          <cell r="W267">
            <v>43455</v>
          </cell>
          <cell r="X267">
            <v>43455</v>
          </cell>
          <cell r="Y267">
            <v>43455</v>
          </cell>
          <cell r="Z267">
            <v>43455</v>
          </cell>
          <cell r="AA267">
            <v>43456</v>
          </cell>
          <cell r="AB267">
            <v>43588</v>
          </cell>
        </row>
        <row r="268">
          <cell r="A268" t="str">
            <v>18-066</v>
          </cell>
          <cell r="B268" t="str">
            <v>Kimberly Clark</v>
          </cell>
          <cell r="C268">
            <v>43340</v>
          </cell>
          <cell r="D268">
            <v>2</v>
          </cell>
          <cell r="E268">
            <v>3</v>
          </cell>
          <cell r="F268">
            <v>18</v>
          </cell>
          <cell r="G268">
            <v>22</v>
          </cell>
          <cell r="H268">
            <v>43361</v>
          </cell>
          <cell r="I268">
            <v>43376</v>
          </cell>
          <cell r="J268">
            <v>43384</v>
          </cell>
          <cell r="K268">
            <v>43431</v>
          </cell>
          <cell r="L268">
            <v>43441</v>
          </cell>
          <cell r="M268">
            <v>43451</v>
          </cell>
          <cell r="N268">
            <v>43458</v>
          </cell>
          <cell r="O268">
            <v>43465</v>
          </cell>
          <cell r="P268">
            <v>43354</v>
          </cell>
          <cell r="Q268">
            <v>43354</v>
          </cell>
          <cell r="R268">
            <v>0</v>
          </cell>
          <cell r="S268">
            <v>43436</v>
          </cell>
          <cell r="T268">
            <v>43437</v>
          </cell>
          <cell r="U268">
            <v>43441</v>
          </cell>
          <cell r="V268">
            <v>43448</v>
          </cell>
          <cell r="W268">
            <v>43455</v>
          </cell>
          <cell r="X268">
            <v>43455</v>
          </cell>
          <cell r="Y268">
            <v>43455</v>
          </cell>
          <cell r="Z268">
            <v>43455</v>
          </cell>
          <cell r="AA268">
            <v>43456</v>
          </cell>
          <cell r="AB268">
            <v>43588</v>
          </cell>
        </row>
        <row r="269">
          <cell r="A269" t="str">
            <v>18-067</v>
          </cell>
          <cell r="B269" t="str">
            <v>Kimberly Clark</v>
          </cell>
          <cell r="C269">
            <v>43340</v>
          </cell>
          <cell r="D269">
            <v>2</v>
          </cell>
          <cell r="E269">
            <v>3</v>
          </cell>
          <cell r="F269">
            <v>18</v>
          </cell>
          <cell r="G269">
            <v>22</v>
          </cell>
          <cell r="H269">
            <v>43361</v>
          </cell>
          <cell r="I269">
            <v>43376</v>
          </cell>
          <cell r="J269">
            <v>43384</v>
          </cell>
          <cell r="K269">
            <v>43431</v>
          </cell>
          <cell r="L269">
            <v>43441</v>
          </cell>
          <cell r="M269">
            <v>43451</v>
          </cell>
          <cell r="N269">
            <v>43458</v>
          </cell>
          <cell r="O269">
            <v>43465</v>
          </cell>
          <cell r="P269">
            <v>43354</v>
          </cell>
          <cell r="Q269">
            <v>43354</v>
          </cell>
          <cell r="R269">
            <v>0</v>
          </cell>
          <cell r="S269">
            <v>43436</v>
          </cell>
          <cell r="T269">
            <v>43437</v>
          </cell>
          <cell r="U269">
            <v>43441</v>
          </cell>
          <cell r="V269">
            <v>43448</v>
          </cell>
          <cell r="W269">
            <v>43455</v>
          </cell>
          <cell r="X269">
            <v>43455</v>
          </cell>
          <cell r="Y269">
            <v>43455</v>
          </cell>
          <cell r="Z269">
            <v>43455</v>
          </cell>
          <cell r="AA269">
            <v>43456</v>
          </cell>
          <cell r="AB269">
            <v>43588</v>
          </cell>
        </row>
        <row r="270">
          <cell r="A270" t="str">
            <v>18-068</v>
          </cell>
          <cell r="B270" t="str">
            <v>Kimberly Clark</v>
          </cell>
          <cell r="C270">
            <v>43340</v>
          </cell>
          <cell r="D270">
            <v>2</v>
          </cell>
          <cell r="E270">
            <v>3</v>
          </cell>
          <cell r="F270">
            <v>18</v>
          </cell>
          <cell r="G270">
            <v>22</v>
          </cell>
          <cell r="H270">
            <v>43361</v>
          </cell>
          <cell r="I270">
            <v>43374</v>
          </cell>
          <cell r="J270">
            <v>43384</v>
          </cell>
          <cell r="K270">
            <v>43431</v>
          </cell>
          <cell r="L270">
            <v>43441</v>
          </cell>
          <cell r="M270">
            <v>43451</v>
          </cell>
          <cell r="N270">
            <v>43458</v>
          </cell>
          <cell r="O270">
            <v>43465</v>
          </cell>
          <cell r="P270">
            <v>43354</v>
          </cell>
          <cell r="Q270">
            <v>43354</v>
          </cell>
          <cell r="R270">
            <v>0</v>
          </cell>
          <cell r="S270">
            <v>43436</v>
          </cell>
          <cell r="T270">
            <v>43437</v>
          </cell>
          <cell r="U270">
            <v>43441</v>
          </cell>
          <cell r="V270">
            <v>43448</v>
          </cell>
          <cell r="W270">
            <v>43455</v>
          </cell>
          <cell r="X270">
            <v>43455</v>
          </cell>
          <cell r="Y270">
            <v>43455</v>
          </cell>
          <cell r="Z270">
            <v>43455</v>
          </cell>
          <cell r="AA270">
            <v>43456</v>
          </cell>
          <cell r="AB270">
            <v>43588</v>
          </cell>
        </row>
        <row r="271">
          <cell r="A271" t="str">
            <v>18-069</v>
          </cell>
          <cell r="B271" t="str">
            <v>Kimberly Clark</v>
          </cell>
          <cell r="C271">
            <v>43340</v>
          </cell>
          <cell r="D271">
            <v>2</v>
          </cell>
          <cell r="E271">
            <v>3</v>
          </cell>
          <cell r="F271">
            <v>18</v>
          </cell>
          <cell r="G271">
            <v>22</v>
          </cell>
          <cell r="H271">
            <v>43361</v>
          </cell>
          <cell r="I271">
            <v>43374</v>
          </cell>
          <cell r="J271">
            <v>43384</v>
          </cell>
          <cell r="K271">
            <v>43399</v>
          </cell>
          <cell r="L271">
            <v>43405</v>
          </cell>
          <cell r="M271">
            <v>43406</v>
          </cell>
          <cell r="N271">
            <v>43413</v>
          </cell>
          <cell r="O271">
            <v>43420</v>
          </cell>
          <cell r="P271">
            <v>43354</v>
          </cell>
          <cell r="Q271">
            <v>43354</v>
          </cell>
          <cell r="R271">
            <v>0</v>
          </cell>
          <cell r="S271">
            <v>43400</v>
          </cell>
          <cell r="T271">
            <v>43401</v>
          </cell>
          <cell r="U271">
            <v>43405</v>
          </cell>
          <cell r="V271">
            <v>43412</v>
          </cell>
          <cell r="W271">
            <v>43419</v>
          </cell>
          <cell r="X271">
            <v>43419</v>
          </cell>
          <cell r="Y271">
            <v>43419</v>
          </cell>
          <cell r="Z271">
            <v>43419</v>
          </cell>
          <cell r="AA271">
            <v>43420</v>
          </cell>
          <cell r="AB271">
            <v>43552</v>
          </cell>
        </row>
        <row r="272">
          <cell r="A272" t="str">
            <v>18-070</v>
          </cell>
          <cell r="B272" t="str">
            <v>Stamtec</v>
          </cell>
          <cell r="C272">
            <v>43360</v>
          </cell>
          <cell r="D272">
            <v>2</v>
          </cell>
          <cell r="E272">
            <v>3</v>
          </cell>
          <cell r="F272">
            <v>8</v>
          </cell>
          <cell r="G272">
            <v>10</v>
          </cell>
          <cell r="H272">
            <v>43381</v>
          </cell>
          <cell r="I272">
            <v>43388</v>
          </cell>
          <cell r="J272">
            <v>43392</v>
          </cell>
          <cell r="K272">
            <v>43392</v>
          </cell>
          <cell r="L272">
            <v>43399</v>
          </cell>
          <cell r="M272">
            <v>43406</v>
          </cell>
          <cell r="N272">
            <v>43413</v>
          </cell>
          <cell r="O272">
            <v>43420</v>
          </cell>
          <cell r="P272">
            <v>43374</v>
          </cell>
          <cell r="Q272">
            <v>43374</v>
          </cell>
          <cell r="R272">
            <v>0</v>
          </cell>
          <cell r="S272">
            <v>43387</v>
          </cell>
          <cell r="T272">
            <v>43388</v>
          </cell>
          <cell r="U272">
            <v>43392</v>
          </cell>
          <cell r="V272">
            <v>43399</v>
          </cell>
          <cell r="W272">
            <v>43406</v>
          </cell>
          <cell r="X272">
            <v>43406</v>
          </cell>
          <cell r="Y272">
            <v>43406</v>
          </cell>
          <cell r="Z272">
            <v>43406</v>
          </cell>
          <cell r="AA272">
            <v>43407</v>
          </cell>
          <cell r="AB272">
            <v>43455</v>
          </cell>
        </row>
        <row r="273">
          <cell r="A273" t="str">
            <v>18-071</v>
          </cell>
          <cell r="B273" t="str">
            <v>Solvay</v>
          </cell>
          <cell r="C273">
            <v>43361</v>
          </cell>
          <cell r="D273">
            <v>2</v>
          </cell>
          <cell r="E273">
            <v>3</v>
          </cell>
          <cell r="F273">
            <v>12</v>
          </cell>
          <cell r="G273">
            <v>14</v>
          </cell>
          <cell r="H273">
            <v>43382</v>
          </cell>
          <cell r="I273">
            <v>43397</v>
          </cell>
          <cell r="J273">
            <v>43396</v>
          </cell>
          <cell r="K273">
            <v>43402</v>
          </cell>
          <cell r="L273">
            <v>43404</v>
          </cell>
          <cell r="M273">
            <v>43406</v>
          </cell>
          <cell r="N273">
            <v>43413</v>
          </cell>
          <cell r="O273">
            <v>43420</v>
          </cell>
          <cell r="P273">
            <v>43375</v>
          </cell>
          <cell r="Q273">
            <v>43375</v>
          </cell>
          <cell r="R273">
            <v>0</v>
          </cell>
          <cell r="S273">
            <v>43399</v>
          </cell>
          <cell r="T273">
            <v>43400</v>
          </cell>
          <cell r="U273">
            <v>43404</v>
          </cell>
          <cell r="V273">
            <v>43411</v>
          </cell>
          <cell r="W273">
            <v>43418</v>
          </cell>
          <cell r="X273">
            <v>43418</v>
          </cell>
          <cell r="Y273">
            <v>43418</v>
          </cell>
          <cell r="Z273">
            <v>43418</v>
          </cell>
          <cell r="AA273">
            <v>43419</v>
          </cell>
          <cell r="AB273">
            <v>43495</v>
          </cell>
        </row>
        <row r="274">
          <cell r="A274" t="str">
            <v>18-072</v>
          </cell>
          <cell r="B274" t="str">
            <v>Solvay</v>
          </cell>
          <cell r="C274">
            <v>43390</v>
          </cell>
          <cell r="D274">
            <v>2</v>
          </cell>
          <cell r="E274">
            <v>3</v>
          </cell>
          <cell r="F274">
            <v>10</v>
          </cell>
          <cell r="G274">
            <v>12</v>
          </cell>
          <cell r="H274">
            <v>43411</v>
          </cell>
          <cell r="I274">
            <v>43413</v>
          </cell>
          <cell r="J274">
            <v>43410</v>
          </cell>
          <cell r="K274">
            <v>43417</v>
          </cell>
          <cell r="L274">
            <v>43426</v>
          </cell>
          <cell r="M274">
            <v>43441</v>
          </cell>
          <cell r="N274">
            <v>43444</v>
          </cell>
          <cell r="O274">
            <v>43451</v>
          </cell>
          <cell r="P274">
            <v>43404</v>
          </cell>
          <cell r="Q274">
            <v>43404</v>
          </cell>
          <cell r="R274">
            <v>0</v>
          </cell>
          <cell r="S274">
            <v>43439</v>
          </cell>
          <cell r="T274">
            <v>43440</v>
          </cell>
          <cell r="U274">
            <v>43444</v>
          </cell>
          <cell r="V274">
            <v>43451</v>
          </cell>
          <cell r="W274">
            <v>43458</v>
          </cell>
          <cell r="X274">
            <v>43458</v>
          </cell>
          <cell r="Y274">
            <v>43458</v>
          </cell>
          <cell r="Z274">
            <v>43458</v>
          </cell>
          <cell r="AA274">
            <v>43459</v>
          </cell>
          <cell r="AB274">
            <v>43521</v>
          </cell>
        </row>
        <row r="275">
          <cell r="A275" t="str">
            <v>18-073</v>
          </cell>
          <cell r="B275" t="str">
            <v>GAF</v>
          </cell>
          <cell r="C275">
            <v>43397</v>
          </cell>
          <cell r="D275">
            <v>0</v>
          </cell>
          <cell r="E275">
            <v>0</v>
          </cell>
          <cell r="F275">
            <v>2</v>
          </cell>
          <cell r="G275">
            <v>3</v>
          </cell>
          <cell r="H275">
            <v>43397</v>
          </cell>
          <cell r="I275">
            <v>43411</v>
          </cell>
          <cell r="J275">
            <v>43418</v>
          </cell>
          <cell r="K275">
            <v>43425</v>
          </cell>
          <cell r="L275">
            <v>43432</v>
          </cell>
          <cell r="M275">
            <v>43439</v>
          </cell>
          <cell r="N275">
            <v>43446</v>
          </cell>
          <cell r="O275">
            <v>43453</v>
          </cell>
          <cell r="P275">
            <v>43411</v>
          </cell>
          <cell r="Q275">
            <v>43411</v>
          </cell>
          <cell r="R275">
            <v>0</v>
          </cell>
          <cell r="S275">
            <v>43413</v>
          </cell>
          <cell r="T275">
            <v>43414</v>
          </cell>
          <cell r="U275">
            <v>43418</v>
          </cell>
          <cell r="V275">
            <v>43425</v>
          </cell>
          <cell r="W275">
            <v>43432</v>
          </cell>
          <cell r="X275">
            <v>43432</v>
          </cell>
          <cell r="Y275">
            <v>43432</v>
          </cell>
          <cell r="Z275">
            <v>43432</v>
          </cell>
          <cell r="AA275">
            <v>43433</v>
          </cell>
          <cell r="AB275">
            <v>43432</v>
          </cell>
        </row>
        <row r="276">
          <cell r="A276" t="str">
            <v>18-074</v>
          </cell>
          <cell r="B276" t="str">
            <v>US Sugar</v>
          </cell>
          <cell r="C276">
            <v>43423</v>
          </cell>
          <cell r="D276">
            <v>2</v>
          </cell>
          <cell r="E276">
            <v>3</v>
          </cell>
          <cell r="F276">
            <v>12</v>
          </cell>
          <cell r="G276">
            <v>14</v>
          </cell>
          <cell r="H276">
            <v>43444</v>
          </cell>
          <cell r="I276">
            <v>43438</v>
          </cell>
          <cell r="J276">
            <v>43453</v>
          </cell>
          <cell r="K276">
            <v>43459</v>
          </cell>
          <cell r="L276">
            <v>43460</v>
          </cell>
          <cell r="M276">
            <v>43460</v>
          </cell>
          <cell r="N276">
            <v>43467</v>
          </cell>
          <cell r="O276">
            <v>43474</v>
          </cell>
          <cell r="P276">
            <v>43437</v>
          </cell>
          <cell r="Q276">
            <v>43437</v>
          </cell>
          <cell r="R276">
            <v>0</v>
          </cell>
          <cell r="S276">
            <v>43455</v>
          </cell>
          <cell r="T276">
            <v>43456</v>
          </cell>
          <cell r="U276">
            <v>43460</v>
          </cell>
          <cell r="V276">
            <v>43467</v>
          </cell>
          <cell r="W276">
            <v>43474</v>
          </cell>
          <cell r="X276">
            <v>43474</v>
          </cell>
          <cell r="Y276">
            <v>43474</v>
          </cell>
          <cell r="Z276">
            <v>43474</v>
          </cell>
          <cell r="AA276">
            <v>43475</v>
          </cell>
          <cell r="AB276">
            <v>43551</v>
          </cell>
        </row>
        <row r="277">
          <cell r="A277" t="str">
            <v>18-075</v>
          </cell>
          <cell r="B277" t="str">
            <v>US Sugar</v>
          </cell>
          <cell r="C277">
            <v>43423</v>
          </cell>
          <cell r="D277">
            <v>2</v>
          </cell>
          <cell r="E277">
            <v>3</v>
          </cell>
          <cell r="F277">
            <v>12</v>
          </cell>
          <cell r="G277">
            <v>14</v>
          </cell>
          <cell r="H277">
            <v>43444</v>
          </cell>
          <cell r="I277">
            <v>43438</v>
          </cell>
          <cell r="J277">
            <v>43453</v>
          </cell>
          <cell r="K277">
            <v>43459</v>
          </cell>
          <cell r="L277">
            <v>43460</v>
          </cell>
          <cell r="M277">
            <v>43460</v>
          </cell>
          <cell r="N277">
            <v>43467</v>
          </cell>
          <cell r="O277">
            <v>43474</v>
          </cell>
          <cell r="P277">
            <v>43437</v>
          </cell>
          <cell r="Q277">
            <v>43437</v>
          </cell>
          <cell r="R277">
            <v>0</v>
          </cell>
          <cell r="S277">
            <v>43455</v>
          </cell>
          <cell r="T277">
            <v>43456</v>
          </cell>
          <cell r="U277">
            <v>43460</v>
          </cell>
          <cell r="V277">
            <v>43467</v>
          </cell>
          <cell r="W277">
            <v>43474</v>
          </cell>
          <cell r="X277">
            <v>43474</v>
          </cell>
          <cell r="Y277">
            <v>43474</v>
          </cell>
          <cell r="Z277">
            <v>43474</v>
          </cell>
          <cell r="AA277">
            <v>43475</v>
          </cell>
          <cell r="AB277">
            <v>43551</v>
          </cell>
        </row>
        <row r="278">
          <cell r="A278" t="str">
            <v>18-076</v>
          </cell>
          <cell r="B278" t="str">
            <v>Bushong / O'Neal</v>
          </cell>
          <cell r="C278">
            <v>43416</v>
          </cell>
          <cell r="D278">
            <v>2</v>
          </cell>
          <cell r="E278">
            <v>3</v>
          </cell>
          <cell r="F278">
            <v>10</v>
          </cell>
          <cell r="G278">
            <v>12</v>
          </cell>
          <cell r="H278">
            <v>43437</v>
          </cell>
          <cell r="I278">
            <v>43448</v>
          </cell>
          <cell r="J278">
            <v>43451</v>
          </cell>
          <cell r="K278">
            <v>43454</v>
          </cell>
          <cell r="L278">
            <v>43461</v>
          </cell>
          <cell r="M278">
            <v>43461</v>
          </cell>
          <cell r="N278">
            <v>43468</v>
          </cell>
          <cell r="O278">
            <v>43475</v>
          </cell>
          <cell r="P278">
            <v>43430</v>
          </cell>
          <cell r="Q278">
            <v>43430</v>
          </cell>
          <cell r="R278">
            <v>0</v>
          </cell>
          <cell r="S278">
            <v>43456</v>
          </cell>
          <cell r="T278">
            <v>43457</v>
          </cell>
          <cell r="U278">
            <v>43461</v>
          </cell>
          <cell r="V278">
            <v>43468</v>
          </cell>
          <cell r="W278">
            <v>43475</v>
          </cell>
          <cell r="X278">
            <v>43475</v>
          </cell>
          <cell r="Y278">
            <v>43475</v>
          </cell>
          <cell r="Z278">
            <v>43475</v>
          </cell>
          <cell r="AA278">
            <v>43476</v>
          </cell>
          <cell r="AB278">
            <v>43538</v>
          </cell>
        </row>
        <row r="279">
          <cell r="A279" t="str">
            <v>18-077</v>
          </cell>
          <cell r="B279" t="str">
            <v>Bushong / O'Neal</v>
          </cell>
          <cell r="C279">
            <v>43416</v>
          </cell>
          <cell r="D279">
            <v>2</v>
          </cell>
          <cell r="E279">
            <v>3</v>
          </cell>
          <cell r="F279">
            <v>10</v>
          </cell>
          <cell r="G279">
            <v>12</v>
          </cell>
          <cell r="H279">
            <v>43437</v>
          </cell>
          <cell r="I279">
            <v>43448</v>
          </cell>
          <cell r="J279">
            <v>43451</v>
          </cell>
          <cell r="K279">
            <v>43454</v>
          </cell>
          <cell r="L279">
            <v>43461</v>
          </cell>
          <cell r="M279">
            <v>43468</v>
          </cell>
          <cell r="N279">
            <v>43475</v>
          </cell>
          <cell r="O279">
            <v>43482</v>
          </cell>
          <cell r="P279">
            <v>43430</v>
          </cell>
          <cell r="Q279">
            <v>43430</v>
          </cell>
          <cell r="R279">
            <v>0</v>
          </cell>
          <cell r="S279">
            <v>43446</v>
          </cell>
          <cell r="T279">
            <v>43447</v>
          </cell>
          <cell r="U279">
            <v>43451</v>
          </cell>
          <cell r="V279">
            <v>43458</v>
          </cell>
          <cell r="W279">
            <v>43465</v>
          </cell>
          <cell r="X279">
            <v>43465</v>
          </cell>
          <cell r="Y279">
            <v>43465</v>
          </cell>
          <cell r="Z279">
            <v>43465</v>
          </cell>
          <cell r="AA279">
            <v>43466</v>
          </cell>
          <cell r="AB279">
            <v>43528</v>
          </cell>
        </row>
        <row r="280">
          <cell r="A280" t="str">
            <v>18-078</v>
          </cell>
          <cell r="B280" t="str">
            <v>Bushong / O'Neal</v>
          </cell>
          <cell r="C280">
            <v>43416</v>
          </cell>
          <cell r="D280">
            <v>2</v>
          </cell>
          <cell r="E280">
            <v>3</v>
          </cell>
          <cell r="F280">
            <v>10</v>
          </cell>
          <cell r="G280">
            <v>12</v>
          </cell>
          <cell r="H280">
            <v>43437</v>
          </cell>
          <cell r="I280">
            <v>43448</v>
          </cell>
          <cell r="J280">
            <v>43451</v>
          </cell>
          <cell r="K280">
            <v>43454</v>
          </cell>
          <cell r="L280">
            <v>43461</v>
          </cell>
          <cell r="M280">
            <v>43468</v>
          </cell>
          <cell r="N280">
            <v>43475</v>
          </cell>
          <cell r="O280">
            <v>43482</v>
          </cell>
          <cell r="P280">
            <v>43430</v>
          </cell>
          <cell r="Q280">
            <v>43430</v>
          </cell>
          <cell r="R280">
            <v>0</v>
          </cell>
          <cell r="S280">
            <v>43446</v>
          </cell>
          <cell r="T280">
            <v>43447</v>
          </cell>
          <cell r="U280">
            <v>43451</v>
          </cell>
          <cell r="V280">
            <v>43458</v>
          </cell>
          <cell r="W280">
            <v>43465</v>
          </cell>
          <cell r="X280">
            <v>43465</v>
          </cell>
          <cell r="Y280">
            <v>43465</v>
          </cell>
          <cell r="Z280">
            <v>43465</v>
          </cell>
          <cell r="AA280">
            <v>43466</v>
          </cell>
          <cell r="AB280">
            <v>43528</v>
          </cell>
        </row>
        <row r="281">
          <cell r="A281" t="str">
            <v>18-079</v>
          </cell>
          <cell r="B281" t="str">
            <v>Bushong / O'Neal</v>
          </cell>
          <cell r="C281">
            <v>43416</v>
          </cell>
          <cell r="D281">
            <v>2</v>
          </cell>
          <cell r="E281">
            <v>3</v>
          </cell>
          <cell r="F281">
            <v>10</v>
          </cell>
          <cell r="G281">
            <v>12</v>
          </cell>
          <cell r="H281">
            <v>43437</v>
          </cell>
          <cell r="I281">
            <v>43448</v>
          </cell>
          <cell r="J281">
            <v>43451</v>
          </cell>
          <cell r="K281">
            <v>43454</v>
          </cell>
          <cell r="L281">
            <v>43461</v>
          </cell>
          <cell r="M281">
            <v>43468</v>
          </cell>
          <cell r="N281">
            <v>43475</v>
          </cell>
          <cell r="O281">
            <v>43482</v>
          </cell>
          <cell r="P281">
            <v>43430</v>
          </cell>
          <cell r="Q281">
            <v>43430</v>
          </cell>
          <cell r="R281">
            <v>0</v>
          </cell>
          <cell r="S281">
            <v>43446</v>
          </cell>
          <cell r="T281">
            <v>43447</v>
          </cell>
          <cell r="U281">
            <v>43451</v>
          </cell>
          <cell r="V281">
            <v>43458</v>
          </cell>
          <cell r="W281">
            <v>43465</v>
          </cell>
          <cell r="X281">
            <v>43465</v>
          </cell>
          <cell r="Y281">
            <v>43465</v>
          </cell>
          <cell r="Z281">
            <v>43465</v>
          </cell>
          <cell r="AA281">
            <v>43466</v>
          </cell>
          <cell r="AB281">
            <v>43528</v>
          </cell>
        </row>
        <row r="282">
          <cell r="A282" t="str">
            <v>18-080</v>
          </cell>
          <cell r="B282" t="str">
            <v>Halocarbon</v>
          </cell>
          <cell r="C282">
            <v>43412</v>
          </cell>
          <cell r="D282">
            <v>2</v>
          </cell>
          <cell r="E282">
            <v>3</v>
          </cell>
          <cell r="F282">
            <v>8</v>
          </cell>
          <cell r="G282">
            <v>10</v>
          </cell>
          <cell r="H282">
            <v>43433</v>
          </cell>
          <cell r="I282">
            <v>43444</v>
          </cell>
          <cell r="J282">
            <v>43437</v>
          </cell>
          <cell r="K282">
            <v>43437</v>
          </cell>
          <cell r="L282">
            <v>43438</v>
          </cell>
          <cell r="M282">
            <v>43445</v>
          </cell>
          <cell r="N282">
            <v>43452</v>
          </cell>
          <cell r="O282">
            <v>43459</v>
          </cell>
          <cell r="P282">
            <v>43426</v>
          </cell>
          <cell r="Q282">
            <v>43426</v>
          </cell>
          <cell r="R282">
            <v>0</v>
          </cell>
          <cell r="S282">
            <v>43433</v>
          </cell>
          <cell r="T282">
            <v>43434</v>
          </cell>
          <cell r="U282">
            <v>43438</v>
          </cell>
          <cell r="V282">
            <v>43445</v>
          </cell>
          <cell r="W282">
            <v>43452</v>
          </cell>
          <cell r="X282">
            <v>43452</v>
          </cell>
          <cell r="Y282">
            <v>43452</v>
          </cell>
          <cell r="Z282">
            <v>43452</v>
          </cell>
          <cell r="AA282">
            <v>43453</v>
          </cell>
          <cell r="AB282">
            <v>43501</v>
          </cell>
        </row>
        <row r="283">
          <cell r="A283" t="str">
            <v>18-081</v>
          </cell>
          <cell r="B283" t="str">
            <v>Andritz</v>
          </cell>
          <cell r="C283">
            <v>43444</v>
          </cell>
          <cell r="D283">
            <v>3</v>
          </cell>
          <cell r="E283">
            <v>4</v>
          </cell>
          <cell r="F283">
            <v>16</v>
          </cell>
          <cell r="G283">
            <v>18</v>
          </cell>
          <cell r="H283">
            <v>43472</v>
          </cell>
          <cell r="I283">
            <v>43516</v>
          </cell>
          <cell r="J283">
            <v>43514</v>
          </cell>
          <cell r="K283">
            <v>43518</v>
          </cell>
          <cell r="L283">
            <v>43522</v>
          </cell>
          <cell r="M283">
            <v>43529</v>
          </cell>
          <cell r="N283">
            <v>43536</v>
          </cell>
          <cell r="O283">
            <v>43543</v>
          </cell>
          <cell r="P283">
            <v>43458</v>
          </cell>
          <cell r="Q283">
            <v>43458</v>
          </cell>
          <cell r="R283">
            <v>0</v>
          </cell>
          <cell r="S283">
            <v>43517</v>
          </cell>
          <cell r="T283">
            <v>43518</v>
          </cell>
          <cell r="U283">
            <v>43522</v>
          </cell>
          <cell r="V283">
            <v>43529</v>
          </cell>
          <cell r="W283">
            <v>43536</v>
          </cell>
          <cell r="X283">
            <v>43536</v>
          </cell>
          <cell r="Y283">
            <v>43536</v>
          </cell>
          <cell r="Z283">
            <v>43536</v>
          </cell>
          <cell r="AA283">
            <v>43537</v>
          </cell>
          <cell r="AB283">
            <v>43641</v>
          </cell>
        </row>
        <row r="284">
          <cell r="A284" t="str">
            <v>18-082</v>
          </cell>
          <cell r="B284" t="str">
            <v>Andritz</v>
          </cell>
          <cell r="C284">
            <v>43444</v>
          </cell>
          <cell r="D284">
            <v>3</v>
          </cell>
          <cell r="E284">
            <v>4</v>
          </cell>
          <cell r="F284">
            <v>16</v>
          </cell>
          <cell r="G284">
            <v>18</v>
          </cell>
          <cell r="H284">
            <v>43472</v>
          </cell>
          <cell r="I284">
            <v>43516</v>
          </cell>
          <cell r="J284">
            <v>43514</v>
          </cell>
          <cell r="K284">
            <v>43521</v>
          </cell>
          <cell r="L284">
            <v>43522</v>
          </cell>
          <cell r="M284">
            <v>43529</v>
          </cell>
          <cell r="N284">
            <v>43536</v>
          </cell>
          <cell r="O284">
            <v>43543</v>
          </cell>
          <cell r="P284">
            <v>43458</v>
          </cell>
          <cell r="Q284">
            <v>43458</v>
          </cell>
          <cell r="R284">
            <v>0</v>
          </cell>
          <cell r="S284">
            <v>43517</v>
          </cell>
          <cell r="T284">
            <v>43518</v>
          </cell>
          <cell r="U284">
            <v>43522</v>
          </cell>
          <cell r="V284">
            <v>43529</v>
          </cell>
          <cell r="W284">
            <v>43536</v>
          </cell>
          <cell r="X284">
            <v>43536</v>
          </cell>
          <cell r="Y284">
            <v>43536</v>
          </cell>
          <cell r="Z284">
            <v>43536</v>
          </cell>
          <cell r="AA284">
            <v>43537</v>
          </cell>
          <cell r="AB284">
            <v>43641</v>
          </cell>
        </row>
        <row r="285">
          <cell r="A285" t="str">
            <v>18-084</v>
          </cell>
          <cell r="B285" t="str">
            <v>Garrett</v>
          </cell>
          <cell r="C285">
            <v>43431</v>
          </cell>
          <cell r="D285">
            <v>1</v>
          </cell>
          <cell r="E285">
            <v>1</v>
          </cell>
          <cell r="F285">
            <v>4</v>
          </cell>
          <cell r="G285">
            <v>6</v>
          </cell>
          <cell r="H285">
            <v>43438</v>
          </cell>
          <cell r="I285">
            <v>43452</v>
          </cell>
          <cell r="J285">
            <v>43459</v>
          </cell>
          <cell r="K285">
            <v>43466</v>
          </cell>
          <cell r="L285">
            <v>43473</v>
          </cell>
          <cell r="M285">
            <v>43480</v>
          </cell>
          <cell r="N285">
            <v>43487</v>
          </cell>
          <cell r="O285">
            <v>43494</v>
          </cell>
          <cell r="P285">
            <v>43445</v>
          </cell>
          <cell r="Q285">
            <v>43445</v>
          </cell>
          <cell r="R285">
            <v>0</v>
          </cell>
          <cell r="S285">
            <v>43454</v>
          </cell>
          <cell r="T285">
            <v>43455</v>
          </cell>
          <cell r="U285">
            <v>43459</v>
          </cell>
          <cell r="V285">
            <v>43466</v>
          </cell>
          <cell r="W285">
            <v>43473</v>
          </cell>
          <cell r="X285">
            <v>43473</v>
          </cell>
          <cell r="Y285">
            <v>43473</v>
          </cell>
          <cell r="Z285">
            <v>43473</v>
          </cell>
          <cell r="AA285">
            <v>43474</v>
          </cell>
          <cell r="AB285">
            <v>43494</v>
          </cell>
        </row>
        <row r="286">
          <cell r="A286" t="str">
            <v>18-085</v>
          </cell>
          <cell r="B286" t="str">
            <v>Milliken</v>
          </cell>
          <cell r="C286">
            <v>43431</v>
          </cell>
          <cell r="D286">
            <v>2</v>
          </cell>
          <cell r="E286">
            <v>3</v>
          </cell>
          <cell r="F286">
            <v>16</v>
          </cell>
          <cell r="G286">
            <v>18</v>
          </cell>
          <cell r="H286">
            <v>43452</v>
          </cell>
          <cell r="I286">
            <v>43468</v>
          </cell>
          <cell r="J286">
            <v>43480</v>
          </cell>
          <cell r="K286">
            <v>43488</v>
          </cell>
          <cell r="L286">
            <v>43500</v>
          </cell>
          <cell r="M286">
            <v>43507</v>
          </cell>
          <cell r="N286">
            <v>43514</v>
          </cell>
          <cell r="O286">
            <v>43521</v>
          </cell>
          <cell r="P286">
            <v>43445</v>
          </cell>
          <cell r="Q286">
            <v>43445</v>
          </cell>
          <cell r="R286">
            <v>0</v>
          </cell>
          <cell r="S286">
            <v>43495</v>
          </cell>
          <cell r="T286">
            <v>43496</v>
          </cell>
          <cell r="U286">
            <v>43500</v>
          </cell>
          <cell r="V286">
            <v>43507</v>
          </cell>
          <cell r="W286">
            <v>43514</v>
          </cell>
          <cell r="X286">
            <v>43514</v>
          </cell>
          <cell r="Y286">
            <v>43514</v>
          </cell>
          <cell r="Z286">
            <v>43514</v>
          </cell>
          <cell r="AA286">
            <v>43515</v>
          </cell>
          <cell r="AB286">
            <v>43619</v>
          </cell>
        </row>
        <row r="287">
          <cell r="A287" t="str">
            <v>18-086</v>
          </cell>
          <cell r="B287" t="str">
            <v>Nutrien</v>
          </cell>
          <cell r="C287">
            <v>43434</v>
          </cell>
          <cell r="D287">
            <v>2</v>
          </cell>
          <cell r="E287">
            <v>3</v>
          </cell>
          <cell r="F287">
            <v>6</v>
          </cell>
          <cell r="G287">
            <v>8</v>
          </cell>
          <cell r="H287">
            <v>43455</v>
          </cell>
          <cell r="I287">
            <v>43469</v>
          </cell>
          <cell r="J287">
            <v>43535</v>
          </cell>
          <cell r="K287">
            <v>43542</v>
          </cell>
          <cell r="L287">
            <v>43549</v>
          </cell>
          <cell r="M287">
            <v>43556</v>
          </cell>
          <cell r="N287">
            <v>43563</v>
          </cell>
          <cell r="O287">
            <v>43570</v>
          </cell>
          <cell r="P287">
            <v>43448</v>
          </cell>
          <cell r="Q287">
            <v>43448</v>
          </cell>
          <cell r="R287">
            <v>0</v>
          </cell>
          <cell r="S287">
            <v>43530</v>
          </cell>
          <cell r="T287">
            <v>43531</v>
          </cell>
          <cell r="U287">
            <v>43535</v>
          </cell>
          <cell r="V287">
            <v>43542</v>
          </cell>
          <cell r="W287">
            <v>43549</v>
          </cell>
          <cell r="X287">
            <v>43549</v>
          </cell>
          <cell r="Y287">
            <v>43549</v>
          </cell>
          <cell r="Z287">
            <v>43549</v>
          </cell>
          <cell r="AA287">
            <v>43550</v>
          </cell>
          <cell r="AB287">
            <v>43584</v>
          </cell>
        </row>
        <row r="288">
          <cell r="A288" t="str">
            <v>18-087</v>
          </cell>
          <cell r="B288" t="str">
            <v xml:space="preserve">Irving </v>
          </cell>
          <cell r="C288">
            <v>43434</v>
          </cell>
          <cell r="D288">
            <v>2</v>
          </cell>
          <cell r="E288">
            <v>3</v>
          </cell>
          <cell r="F288">
            <v>4</v>
          </cell>
          <cell r="G288">
            <v>6</v>
          </cell>
          <cell r="H288">
            <v>43455</v>
          </cell>
          <cell r="I288">
            <v>43462</v>
          </cell>
          <cell r="J288">
            <v>43459</v>
          </cell>
          <cell r="K288">
            <v>43461</v>
          </cell>
          <cell r="L288">
            <v>43462</v>
          </cell>
          <cell r="M288">
            <v>43469</v>
          </cell>
          <cell r="N288">
            <v>43476</v>
          </cell>
          <cell r="O288">
            <v>43483</v>
          </cell>
          <cell r="P288">
            <v>43448</v>
          </cell>
          <cell r="Q288">
            <v>43448</v>
          </cell>
          <cell r="R288">
            <v>0</v>
          </cell>
          <cell r="S288">
            <v>43457</v>
          </cell>
          <cell r="T288">
            <v>43458</v>
          </cell>
          <cell r="U288">
            <v>43462</v>
          </cell>
          <cell r="V288">
            <v>43469</v>
          </cell>
          <cell r="W288">
            <v>43476</v>
          </cell>
          <cell r="X288">
            <v>43476</v>
          </cell>
          <cell r="Y288">
            <v>43476</v>
          </cell>
          <cell r="Z288">
            <v>43476</v>
          </cell>
          <cell r="AA288">
            <v>43477</v>
          </cell>
          <cell r="AB288">
            <v>43497</v>
          </cell>
        </row>
        <row r="289">
          <cell r="A289" t="str">
            <v>18-088</v>
          </cell>
          <cell r="B289" t="str">
            <v>Mid-Atlantic</v>
          </cell>
          <cell r="C289">
            <v>43438</v>
          </cell>
          <cell r="D289">
            <v>2</v>
          </cell>
          <cell r="E289">
            <v>3</v>
          </cell>
          <cell r="F289">
            <v>10</v>
          </cell>
          <cell r="G289">
            <v>12</v>
          </cell>
          <cell r="H289">
            <v>43459</v>
          </cell>
          <cell r="I289">
            <v>43467</v>
          </cell>
          <cell r="J289">
            <v>43479</v>
          </cell>
          <cell r="K289">
            <v>43479</v>
          </cell>
          <cell r="L289">
            <v>43486</v>
          </cell>
          <cell r="M289">
            <v>43493</v>
          </cell>
          <cell r="N289">
            <v>43500</v>
          </cell>
          <cell r="O289">
            <v>43507</v>
          </cell>
          <cell r="P289">
            <v>43452</v>
          </cell>
          <cell r="Q289">
            <v>43452</v>
          </cell>
          <cell r="R289">
            <v>0</v>
          </cell>
          <cell r="S289">
            <v>43474</v>
          </cell>
          <cell r="T289">
            <v>43475</v>
          </cell>
          <cell r="U289">
            <v>43479</v>
          </cell>
          <cell r="V289">
            <v>43486</v>
          </cell>
          <cell r="W289">
            <v>43493</v>
          </cell>
          <cell r="X289">
            <v>43493</v>
          </cell>
          <cell r="Y289">
            <v>43493</v>
          </cell>
          <cell r="Z289">
            <v>43493</v>
          </cell>
          <cell r="AA289">
            <v>43494</v>
          </cell>
          <cell r="AB289">
            <v>43556</v>
          </cell>
        </row>
        <row r="290">
          <cell r="A290" t="str">
            <v>18-089</v>
          </cell>
          <cell r="B290" t="str">
            <v>Mid-Atlantic</v>
          </cell>
          <cell r="C290">
            <v>43438</v>
          </cell>
          <cell r="D290">
            <v>2</v>
          </cell>
          <cell r="E290">
            <v>3</v>
          </cell>
          <cell r="F290">
            <v>10</v>
          </cell>
          <cell r="G290">
            <v>12</v>
          </cell>
          <cell r="H290">
            <v>43459</v>
          </cell>
          <cell r="I290">
            <v>43467</v>
          </cell>
          <cell r="J290">
            <v>43479</v>
          </cell>
          <cell r="K290">
            <v>43479</v>
          </cell>
          <cell r="L290">
            <v>43486</v>
          </cell>
          <cell r="M290">
            <v>43493</v>
          </cell>
          <cell r="N290">
            <v>43500</v>
          </cell>
          <cell r="O290">
            <v>43507</v>
          </cell>
          <cell r="P290">
            <v>43452</v>
          </cell>
          <cell r="Q290">
            <v>43452</v>
          </cell>
          <cell r="R290">
            <v>0</v>
          </cell>
          <cell r="S290">
            <v>43474</v>
          </cell>
          <cell r="T290">
            <v>43475</v>
          </cell>
          <cell r="U290">
            <v>43479</v>
          </cell>
          <cell r="V290">
            <v>43486</v>
          </cell>
          <cell r="W290">
            <v>43493</v>
          </cell>
          <cell r="X290">
            <v>43493</v>
          </cell>
          <cell r="Y290">
            <v>43493</v>
          </cell>
          <cell r="Z290">
            <v>43493</v>
          </cell>
          <cell r="AA290">
            <v>43494</v>
          </cell>
          <cell r="AB290">
            <v>43556</v>
          </cell>
        </row>
        <row r="291">
          <cell r="A291" t="str">
            <v>18-090</v>
          </cell>
          <cell r="B291" t="str">
            <v>Fuji</v>
          </cell>
          <cell r="C291">
            <v>43441</v>
          </cell>
          <cell r="D291">
            <v>2</v>
          </cell>
          <cell r="E291">
            <v>3</v>
          </cell>
          <cell r="F291">
            <v>8</v>
          </cell>
          <cell r="G291">
            <v>10</v>
          </cell>
          <cell r="H291">
            <v>43462</v>
          </cell>
          <cell r="I291">
            <v>43483</v>
          </cell>
          <cell r="J291">
            <v>43503</v>
          </cell>
          <cell r="K291">
            <v>43507</v>
          </cell>
          <cell r="L291">
            <v>43514</v>
          </cell>
          <cell r="M291">
            <v>43521</v>
          </cell>
          <cell r="N291">
            <v>43528</v>
          </cell>
          <cell r="O291">
            <v>43535</v>
          </cell>
          <cell r="P291">
            <v>43455</v>
          </cell>
          <cell r="Q291">
            <v>43455</v>
          </cell>
          <cell r="R291">
            <v>0</v>
          </cell>
          <cell r="S291">
            <v>43498</v>
          </cell>
          <cell r="T291">
            <v>43499</v>
          </cell>
          <cell r="U291">
            <v>43503</v>
          </cell>
          <cell r="V291">
            <v>43510</v>
          </cell>
          <cell r="W291">
            <v>43517</v>
          </cell>
          <cell r="X291">
            <v>43517</v>
          </cell>
          <cell r="Y291">
            <v>43517</v>
          </cell>
          <cell r="Z291">
            <v>43517</v>
          </cell>
          <cell r="AA291">
            <v>43518</v>
          </cell>
          <cell r="AB291">
            <v>43566</v>
          </cell>
        </row>
        <row r="292">
          <cell r="A292" t="str">
            <v>18-091</v>
          </cell>
          <cell r="B292" t="str">
            <v>Fuji</v>
          </cell>
          <cell r="C292">
            <v>43441</v>
          </cell>
          <cell r="D292">
            <v>2</v>
          </cell>
          <cell r="E292">
            <v>3</v>
          </cell>
          <cell r="F292">
            <v>8</v>
          </cell>
          <cell r="G292">
            <v>10</v>
          </cell>
          <cell r="H292">
            <v>43462</v>
          </cell>
          <cell r="I292">
            <v>43483</v>
          </cell>
          <cell r="J292">
            <v>43503</v>
          </cell>
          <cell r="K292">
            <v>43507</v>
          </cell>
          <cell r="L292">
            <v>43514</v>
          </cell>
          <cell r="M292">
            <v>43521</v>
          </cell>
          <cell r="N292">
            <v>43528</v>
          </cell>
          <cell r="O292">
            <v>43535</v>
          </cell>
          <cell r="P292">
            <v>43455</v>
          </cell>
          <cell r="Q292">
            <v>43455</v>
          </cell>
          <cell r="R292">
            <v>0</v>
          </cell>
          <cell r="S292">
            <v>43498</v>
          </cell>
          <cell r="T292">
            <v>43499</v>
          </cell>
          <cell r="U292">
            <v>43503</v>
          </cell>
          <cell r="V292">
            <v>43510</v>
          </cell>
          <cell r="W292">
            <v>43517</v>
          </cell>
          <cell r="X292">
            <v>43517</v>
          </cell>
          <cell r="Y292">
            <v>43517</v>
          </cell>
          <cell r="Z292">
            <v>43517</v>
          </cell>
          <cell r="AA292">
            <v>43518</v>
          </cell>
          <cell r="AB292">
            <v>43566</v>
          </cell>
        </row>
        <row r="293">
          <cell r="A293" t="str">
            <v>18-092</v>
          </cell>
          <cell r="B293" t="str">
            <v>Milliken</v>
          </cell>
          <cell r="C293">
            <v>43444</v>
          </cell>
          <cell r="D293">
            <v>2</v>
          </cell>
          <cell r="E293">
            <v>3</v>
          </cell>
          <cell r="F293">
            <v>8</v>
          </cell>
          <cell r="G293">
            <v>10</v>
          </cell>
          <cell r="H293">
            <v>43465</v>
          </cell>
          <cell r="I293">
            <v>43483</v>
          </cell>
          <cell r="J293">
            <v>43476</v>
          </cell>
          <cell r="K293">
            <v>43479</v>
          </cell>
          <cell r="L293">
            <v>43486</v>
          </cell>
          <cell r="M293">
            <v>43493</v>
          </cell>
          <cell r="N293">
            <v>43500</v>
          </cell>
          <cell r="O293">
            <v>43507</v>
          </cell>
          <cell r="P293">
            <v>43458</v>
          </cell>
          <cell r="Q293">
            <v>43458</v>
          </cell>
          <cell r="R293">
            <v>0</v>
          </cell>
          <cell r="S293">
            <v>43471</v>
          </cell>
          <cell r="T293">
            <v>43472</v>
          </cell>
          <cell r="U293">
            <v>43476</v>
          </cell>
          <cell r="V293">
            <v>43483</v>
          </cell>
          <cell r="W293">
            <v>43490</v>
          </cell>
          <cell r="X293">
            <v>43490</v>
          </cell>
          <cell r="Y293">
            <v>43490</v>
          </cell>
          <cell r="Z293">
            <v>43490</v>
          </cell>
          <cell r="AA293">
            <v>43491</v>
          </cell>
          <cell r="AB293">
            <v>43539</v>
          </cell>
        </row>
        <row r="294">
          <cell r="A294" t="str">
            <v>19-001</v>
          </cell>
          <cell r="B294" t="str">
            <v>Reagent Chemical</v>
          </cell>
          <cell r="C294">
            <v>43480</v>
          </cell>
          <cell r="D294">
            <v>2</v>
          </cell>
          <cell r="E294">
            <v>3</v>
          </cell>
          <cell r="F294">
            <v>14</v>
          </cell>
          <cell r="G294">
            <v>16</v>
          </cell>
          <cell r="H294">
            <v>43501</v>
          </cell>
          <cell r="I294">
            <v>43517</v>
          </cell>
          <cell r="J294">
            <v>43522</v>
          </cell>
          <cell r="K294">
            <v>43528</v>
          </cell>
          <cell r="L294">
            <v>43535</v>
          </cell>
          <cell r="M294">
            <v>43535</v>
          </cell>
          <cell r="N294">
            <v>43542</v>
          </cell>
          <cell r="O294">
            <v>43549</v>
          </cell>
          <cell r="P294">
            <v>43494</v>
          </cell>
          <cell r="Q294">
            <v>43494</v>
          </cell>
          <cell r="R294">
            <v>0</v>
          </cell>
          <cell r="S294">
            <v>43530</v>
          </cell>
          <cell r="T294">
            <v>43531</v>
          </cell>
          <cell r="U294">
            <v>43535</v>
          </cell>
          <cell r="V294">
            <v>43542</v>
          </cell>
          <cell r="W294">
            <v>43549</v>
          </cell>
          <cell r="X294">
            <v>43549</v>
          </cell>
          <cell r="Y294">
            <v>43549</v>
          </cell>
          <cell r="Z294">
            <v>43549</v>
          </cell>
          <cell r="AA294">
            <v>43550</v>
          </cell>
          <cell r="AB294">
            <v>43640</v>
          </cell>
        </row>
        <row r="295">
          <cell r="A295" t="str">
            <v>19-002</v>
          </cell>
          <cell r="B295" t="str">
            <v>Reagent Chemical</v>
          </cell>
          <cell r="C295">
            <v>43480</v>
          </cell>
          <cell r="D295">
            <v>2</v>
          </cell>
          <cell r="E295">
            <v>3</v>
          </cell>
          <cell r="F295">
            <v>14</v>
          </cell>
          <cell r="G295">
            <v>16</v>
          </cell>
          <cell r="H295">
            <v>43501</v>
          </cell>
          <cell r="I295">
            <v>43517</v>
          </cell>
          <cell r="J295">
            <v>43522</v>
          </cell>
          <cell r="K295">
            <v>43528</v>
          </cell>
          <cell r="L295">
            <v>43535</v>
          </cell>
          <cell r="M295">
            <v>43535</v>
          </cell>
          <cell r="N295">
            <v>43542</v>
          </cell>
          <cell r="O295">
            <v>43549</v>
          </cell>
          <cell r="P295">
            <v>43494</v>
          </cell>
          <cell r="Q295">
            <v>43494</v>
          </cell>
          <cell r="R295">
            <v>0</v>
          </cell>
          <cell r="S295">
            <v>43530</v>
          </cell>
          <cell r="T295">
            <v>43531</v>
          </cell>
          <cell r="U295">
            <v>43535</v>
          </cell>
          <cell r="V295">
            <v>43542</v>
          </cell>
          <cell r="W295">
            <v>43549</v>
          </cell>
          <cell r="X295">
            <v>43549</v>
          </cell>
          <cell r="Y295">
            <v>43549</v>
          </cell>
          <cell r="Z295">
            <v>43549</v>
          </cell>
          <cell r="AA295">
            <v>43550</v>
          </cell>
          <cell r="AB295">
            <v>43640</v>
          </cell>
        </row>
        <row r="296">
          <cell r="A296" t="str">
            <v>19-003</v>
          </cell>
          <cell r="B296" t="str">
            <v>SNF Floquip</v>
          </cell>
          <cell r="C296">
            <v>43500</v>
          </cell>
          <cell r="D296">
            <v>1</v>
          </cell>
          <cell r="E296">
            <v>2</v>
          </cell>
          <cell r="F296">
            <v>6</v>
          </cell>
          <cell r="G296">
            <v>8</v>
          </cell>
          <cell r="H296">
            <v>43514</v>
          </cell>
          <cell r="I296">
            <v>43528</v>
          </cell>
          <cell r="J296">
            <v>43535</v>
          </cell>
          <cell r="K296">
            <v>43542</v>
          </cell>
          <cell r="L296">
            <v>43549</v>
          </cell>
          <cell r="M296">
            <v>43556</v>
          </cell>
          <cell r="N296">
            <v>43563</v>
          </cell>
          <cell r="O296">
            <v>43570</v>
          </cell>
          <cell r="P296">
            <v>43514</v>
          </cell>
          <cell r="Q296">
            <v>43514</v>
          </cell>
          <cell r="R296">
            <v>0</v>
          </cell>
          <cell r="S296">
            <v>43530</v>
          </cell>
          <cell r="T296">
            <v>43531</v>
          </cell>
          <cell r="U296">
            <v>43535</v>
          </cell>
          <cell r="V296">
            <v>43542</v>
          </cell>
          <cell r="W296">
            <v>43549</v>
          </cell>
          <cell r="X296">
            <v>43549</v>
          </cell>
          <cell r="Y296">
            <v>43549</v>
          </cell>
          <cell r="Z296">
            <v>43549</v>
          </cell>
          <cell r="AA296">
            <v>43550</v>
          </cell>
          <cell r="AB296">
            <v>43584</v>
          </cell>
        </row>
        <row r="297">
          <cell r="A297" t="str">
            <v>19-004</v>
          </cell>
          <cell r="B297" t="str">
            <v>Halocarbon</v>
          </cell>
          <cell r="C297">
            <v>43501</v>
          </cell>
          <cell r="D297">
            <v>1</v>
          </cell>
          <cell r="E297">
            <v>2</v>
          </cell>
          <cell r="F297">
            <v>8</v>
          </cell>
          <cell r="G297">
            <v>10</v>
          </cell>
          <cell r="H297">
            <v>43515</v>
          </cell>
          <cell r="I297">
            <v>43529</v>
          </cell>
          <cell r="J297">
            <v>43536</v>
          </cell>
          <cell r="K297">
            <v>43543</v>
          </cell>
          <cell r="L297">
            <v>43550</v>
          </cell>
          <cell r="M297">
            <v>43557</v>
          </cell>
          <cell r="N297">
            <v>43564</v>
          </cell>
          <cell r="O297">
            <v>43571</v>
          </cell>
          <cell r="P297">
            <v>43515</v>
          </cell>
          <cell r="Q297">
            <v>43515</v>
          </cell>
          <cell r="R297">
            <v>0</v>
          </cell>
          <cell r="S297">
            <v>43531</v>
          </cell>
          <cell r="T297">
            <v>43532</v>
          </cell>
          <cell r="U297">
            <v>43536</v>
          </cell>
          <cell r="V297">
            <v>43543</v>
          </cell>
          <cell r="W297">
            <v>43550</v>
          </cell>
          <cell r="X297">
            <v>43550</v>
          </cell>
          <cell r="Y297">
            <v>43550</v>
          </cell>
          <cell r="Z297">
            <v>43550</v>
          </cell>
          <cell r="AA297">
            <v>43551</v>
          </cell>
          <cell r="AB297">
            <v>43599</v>
          </cell>
        </row>
        <row r="298">
          <cell r="A298" t="str">
            <v>19-005</v>
          </cell>
          <cell r="B298" t="str">
            <v>Coastal Air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14</v>
          </cell>
          <cell r="J298">
            <v>21</v>
          </cell>
          <cell r="K298">
            <v>28</v>
          </cell>
          <cell r="L298">
            <v>35</v>
          </cell>
          <cell r="M298">
            <v>42</v>
          </cell>
          <cell r="N298">
            <v>49</v>
          </cell>
          <cell r="O298">
            <v>56</v>
          </cell>
          <cell r="P298">
            <v>14</v>
          </cell>
          <cell r="Q298">
            <v>14</v>
          </cell>
          <cell r="R298">
            <v>0</v>
          </cell>
          <cell r="S298">
            <v>16</v>
          </cell>
          <cell r="T298">
            <v>17</v>
          </cell>
          <cell r="U298">
            <v>21</v>
          </cell>
          <cell r="V298">
            <v>28</v>
          </cell>
          <cell r="W298">
            <v>35</v>
          </cell>
          <cell r="X298">
            <v>35</v>
          </cell>
          <cell r="Y298">
            <v>35</v>
          </cell>
          <cell r="Z298">
            <v>35</v>
          </cell>
          <cell r="AA298">
            <v>36</v>
          </cell>
          <cell r="AB298">
            <v>14</v>
          </cell>
        </row>
        <row r="299">
          <cell r="A299" t="str">
            <v>19-006</v>
          </cell>
          <cell r="B299" t="str">
            <v xml:space="preserve">BCR </v>
          </cell>
          <cell r="C299">
            <v>43532</v>
          </cell>
          <cell r="D299">
            <v>2</v>
          </cell>
          <cell r="E299">
            <v>3</v>
          </cell>
          <cell r="F299">
            <v>15</v>
          </cell>
          <cell r="G299">
            <v>17</v>
          </cell>
          <cell r="H299">
            <v>43553</v>
          </cell>
          <cell r="I299">
            <v>43552</v>
          </cell>
          <cell r="J299">
            <v>43559</v>
          </cell>
          <cell r="K299">
            <v>43566</v>
          </cell>
          <cell r="L299">
            <v>43573</v>
          </cell>
          <cell r="M299">
            <v>43580</v>
          </cell>
          <cell r="N299">
            <v>43587</v>
          </cell>
          <cell r="O299">
            <v>43594</v>
          </cell>
          <cell r="P299">
            <v>43546</v>
          </cell>
          <cell r="Q299">
            <v>43546</v>
          </cell>
          <cell r="R299">
            <v>0</v>
          </cell>
          <cell r="S299">
            <v>43554</v>
          </cell>
          <cell r="T299">
            <v>43555</v>
          </cell>
          <cell r="U299">
            <v>43559</v>
          </cell>
          <cell r="V299">
            <v>43566</v>
          </cell>
          <cell r="W299">
            <v>43573</v>
          </cell>
          <cell r="X299">
            <v>43573</v>
          </cell>
          <cell r="Y299">
            <v>43573</v>
          </cell>
          <cell r="Z299">
            <v>43573</v>
          </cell>
          <cell r="AA299">
            <v>43574</v>
          </cell>
          <cell r="AB299">
            <v>43671</v>
          </cell>
        </row>
        <row r="300">
          <cell r="A300" t="str">
            <v>19-007</v>
          </cell>
          <cell r="B300" t="str">
            <v>BCR</v>
          </cell>
          <cell r="C300">
            <v>43532</v>
          </cell>
          <cell r="D300">
            <v>2</v>
          </cell>
          <cell r="E300">
            <v>3</v>
          </cell>
          <cell r="F300">
            <v>15</v>
          </cell>
          <cell r="G300">
            <v>17</v>
          </cell>
          <cell r="H300">
            <v>43553</v>
          </cell>
          <cell r="I300">
            <v>43552</v>
          </cell>
          <cell r="J300">
            <v>43559</v>
          </cell>
          <cell r="K300">
            <v>43566</v>
          </cell>
          <cell r="L300">
            <v>43573</v>
          </cell>
          <cell r="M300">
            <v>43580</v>
          </cell>
          <cell r="N300">
            <v>43587</v>
          </cell>
          <cell r="O300">
            <v>43594</v>
          </cell>
          <cell r="P300">
            <v>43546</v>
          </cell>
          <cell r="Q300">
            <v>43546</v>
          </cell>
          <cell r="R300">
            <v>0</v>
          </cell>
          <cell r="S300">
            <v>43554</v>
          </cell>
          <cell r="T300">
            <v>43555</v>
          </cell>
          <cell r="U300">
            <v>43559</v>
          </cell>
          <cell r="V300">
            <v>43566</v>
          </cell>
          <cell r="W300">
            <v>43573</v>
          </cell>
          <cell r="X300">
            <v>43573</v>
          </cell>
          <cell r="Y300">
            <v>43573</v>
          </cell>
          <cell r="Z300">
            <v>43573</v>
          </cell>
          <cell r="AA300">
            <v>43574</v>
          </cell>
          <cell r="AB300">
            <v>43671</v>
          </cell>
        </row>
        <row r="301">
          <cell r="A301" t="str">
            <v>19-008</v>
          </cell>
          <cell r="B301" t="str">
            <v>Salof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14</v>
          </cell>
          <cell r="J301">
            <v>21</v>
          </cell>
          <cell r="K301">
            <v>28</v>
          </cell>
          <cell r="L301">
            <v>35</v>
          </cell>
          <cell r="M301">
            <v>42</v>
          </cell>
          <cell r="N301">
            <v>49</v>
          </cell>
          <cell r="O301">
            <v>56</v>
          </cell>
          <cell r="P301">
            <v>14</v>
          </cell>
          <cell r="Q301">
            <v>14</v>
          </cell>
          <cell r="R301">
            <v>0</v>
          </cell>
          <cell r="S301">
            <v>16</v>
          </cell>
          <cell r="T301">
            <v>17</v>
          </cell>
          <cell r="U301">
            <v>21</v>
          </cell>
          <cell r="V301">
            <v>28</v>
          </cell>
          <cell r="W301">
            <v>35</v>
          </cell>
          <cell r="X301">
            <v>35</v>
          </cell>
          <cell r="Y301">
            <v>35</v>
          </cell>
          <cell r="Z301">
            <v>35</v>
          </cell>
          <cell r="AA301">
            <v>36</v>
          </cell>
          <cell r="AB301">
            <v>14</v>
          </cell>
        </row>
        <row r="302">
          <cell r="A302" t="str">
            <v>19-009</v>
          </cell>
          <cell r="B302" t="str">
            <v>SFC Contract Svcs.</v>
          </cell>
          <cell r="C302">
            <v>43528</v>
          </cell>
          <cell r="D302">
            <v>1</v>
          </cell>
          <cell r="E302">
            <v>2</v>
          </cell>
          <cell r="F302">
            <v>6</v>
          </cell>
          <cell r="G302">
            <v>8</v>
          </cell>
          <cell r="H302">
            <v>43542</v>
          </cell>
          <cell r="I302">
            <v>43544</v>
          </cell>
          <cell r="J302">
            <v>43542</v>
          </cell>
          <cell r="K302">
            <v>43549</v>
          </cell>
          <cell r="L302">
            <v>43556</v>
          </cell>
          <cell r="M302">
            <v>43563</v>
          </cell>
          <cell r="N302">
            <v>43570</v>
          </cell>
          <cell r="O302">
            <v>43577</v>
          </cell>
          <cell r="P302">
            <v>43542</v>
          </cell>
          <cell r="Q302">
            <v>43542</v>
          </cell>
          <cell r="R302">
            <v>0</v>
          </cell>
          <cell r="S302">
            <v>43537</v>
          </cell>
          <cell r="T302">
            <v>43538</v>
          </cell>
          <cell r="U302">
            <v>43542</v>
          </cell>
          <cell r="V302">
            <v>43549</v>
          </cell>
          <cell r="W302">
            <v>43556</v>
          </cell>
          <cell r="X302">
            <v>43556</v>
          </cell>
          <cell r="Y302">
            <v>43556</v>
          </cell>
          <cell r="Z302">
            <v>43556</v>
          </cell>
          <cell r="AA302">
            <v>43557</v>
          </cell>
          <cell r="AB302">
            <v>43591</v>
          </cell>
        </row>
        <row r="303">
          <cell r="A303" t="str">
            <v>19-010</v>
          </cell>
          <cell r="B303" t="str">
            <v>Pinova</v>
          </cell>
          <cell r="C303">
            <v>43535</v>
          </cell>
          <cell r="D303">
            <v>2</v>
          </cell>
          <cell r="E303">
            <v>3</v>
          </cell>
          <cell r="F303">
            <v>8</v>
          </cell>
          <cell r="G303">
            <v>10</v>
          </cell>
          <cell r="H303">
            <v>43556</v>
          </cell>
          <cell r="I303">
            <v>43570</v>
          </cell>
          <cell r="J303">
            <v>43577</v>
          </cell>
          <cell r="K303">
            <v>43584</v>
          </cell>
          <cell r="L303">
            <v>43591</v>
          </cell>
          <cell r="M303">
            <v>43598</v>
          </cell>
          <cell r="N303">
            <v>43605</v>
          </cell>
          <cell r="O303">
            <v>43612</v>
          </cell>
          <cell r="P303">
            <v>43549</v>
          </cell>
          <cell r="Q303">
            <v>43549</v>
          </cell>
          <cell r="R303">
            <v>0</v>
          </cell>
          <cell r="S303">
            <v>43572</v>
          </cell>
          <cell r="T303">
            <v>43573</v>
          </cell>
          <cell r="U303">
            <v>43577</v>
          </cell>
          <cell r="V303">
            <v>43584</v>
          </cell>
          <cell r="W303">
            <v>43591</v>
          </cell>
          <cell r="X303">
            <v>43591</v>
          </cell>
          <cell r="Y303">
            <v>43591</v>
          </cell>
          <cell r="Z303">
            <v>43591</v>
          </cell>
          <cell r="AA303">
            <v>43592</v>
          </cell>
          <cell r="AB303">
            <v>43640</v>
          </cell>
        </row>
        <row r="304">
          <cell r="A304" t="str">
            <v>19-011</v>
          </cell>
          <cell r="B304" t="str">
            <v>Pinova</v>
          </cell>
          <cell r="C304">
            <v>43535</v>
          </cell>
          <cell r="D304">
            <v>2</v>
          </cell>
          <cell r="E304">
            <v>3</v>
          </cell>
          <cell r="F304">
            <v>8</v>
          </cell>
          <cell r="G304">
            <v>10</v>
          </cell>
          <cell r="H304">
            <v>43556</v>
          </cell>
          <cell r="I304">
            <v>43570</v>
          </cell>
          <cell r="J304">
            <v>43577</v>
          </cell>
          <cell r="K304">
            <v>43584</v>
          </cell>
          <cell r="L304">
            <v>43591</v>
          </cell>
          <cell r="M304">
            <v>43598</v>
          </cell>
          <cell r="N304">
            <v>43605</v>
          </cell>
          <cell r="O304">
            <v>43612</v>
          </cell>
          <cell r="P304">
            <v>43549</v>
          </cell>
          <cell r="Q304">
            <v>43549</v>
          </cell>
          <cell r="R304">
            <v>0</v>
          </cell>
          <cell r="S304">
            <v>43572</v>
          </cell>
          <cell r="T304">
            <v>43573</v>
          </cell>
          <cell r="U304">
            <v>43577</v>
          </cell>
          <cell r="V304">
            <v>43584</v>
          </cell>
          <cell r="W304">
            <v>43591</v>
          </cell>
          <cell r="X304">
            <v>43591</v>
          </cell>
          <cell r="Y304">
            <v>43591</v>
          </cell>
          <cell r="Z304">
            <v>43591</v>
          </cell>
          <cell r="AA304">
            <v>43592</v>
          </cell>
          <cell r="AB304">
            <v>43640</v>
          </cell>
        </row>
        <row r="305">
          <cell r="A305" t="str">
            <v>19-012</v>
          </cell>
          <cell r="B305" t="str">
            <v>Pinova</v>
          </cell>
          <cell r="C305">
            <v>43535</v>
          </cell>
          <cell r="D305">
            <v>2</v>
          </cell>
          <cell r="E305">
            <v>3</v>
          </cell>
          <cell r="F305">
            <v>8</v>
          </cell>
          <cell r="G305">
            <v>10</v>
          </cell>
          <cell r="H305">
            <v>43556</v>
          </cell>
          <cell r="I305">
            <v>43570</v>
          </cell>
          <cell r="J305">
            <v>43577</v>
          </cell>
          <cell r="K305">
            <v>43584</v>
          </cell>
          <cell r="L305">
            <v>43591</v>
          </cell>
          <cell r="M305">
            <v>43598</v>
          </cell>
          <cell r="N305">
            <v>43605</v>
          </cell>
          <cell r="O305">
            <v>43612</v>
          </cell>
          <cell r="P305">
            <v>43549</v>
          </cell>
          <cell r="Q305">
            <v>43549</v>
          </cell>
          <cell r="R305">
            <v>0</v>
          </cell>
          <cell r="S305">
            <v>43572</v>
          </cell>
          <cell r="T305">
            <v>43573</v>
          </cell>
          <cell r="U305">
            <v>43577</v>
          </cell>
          <cell r="V305">
            <v>43584</v>
          </cell>
          <cell r="W305">
            <v>43591</v>
          </cell>
          <cell r="X305">
            <v>43591</v>
          </cell>
          <cell r="Y305">
            <v>43591</v>
          </cell>
          <cell r="Z305">
            <v>43591</v>
          </cell>
          <cell r="AA305">
            <v>43592</v>
          </cell>
          <cell r="AB305">
            <v>43640</v>
          </cell>
        </row>
        <row r="306">
          <cell r="A306" t="str">
            <v>19-013</v>
          </cell>
          <cell r="B306" t="str">
            <v>Pinova</v>
          </cell>
          <cell r="C306">
            <v>43535</v>
          </cell>
          <cell r="D306">
            <v>2</v>
          </cell>
          <cell r="E306">
            <v>3</v>
          </cell>
          <cell r="F306">
            <v>8</v>
          </cell>
          <cell r="G306">
            <v>10</v>
          </cell>
          <cell r="H306">
            <v>43556</v>
          </cell>
          <cell r="I306">
            <v>43570</v>
          </cell>
          <cell r="J306">
            <v>43577</v>
          </cell>
          <cell r="K306">
            <v>43584</v>
          </cell>
          <cell r="L306">
            <v>43591</v>
          </cell>
          <cell r="M306">
            <v>43598</v>
          </cell>
          <cell r="N306">
            <v>43605</v>
          </cell>
          <cell r="O306">
            <v>43612</v>
          </cell>
          <cell r="P306">
            <v>43549</v>
          </cell>
          <cell r="Q306">
            <v>43549</v>
          </cell>
          <cell r="R306">
            <v>0</v>
          </cell>
          <cell r="S306">
            <v>43572</v>
          </cell>
          <cell r="T306">
            <v>43573</v>
          </cell>
          <cell r="U306">
            <v>43577</v>
          </cell>
          <cell r="V306">
            <v>43584</v>
          </cell>
          <cell r="W306">
            <v>43591</v>
          </cell>
          <cell r="X306">
            <v>43591</v>
          </cell>
          <cell r="Y306">
            <v>43591</v>
          </cell>
          <cell r="Z306">
            <v>43591</v>
          </cell>
          <cell r="AA306">
            <v>43592</v>
          </cell>
          <cell r="AB306">
            <v>43640</v>
          </cell>
        </row>
        <row r="307">
          <cell r="A307" t="str">
            <v>19-014</v>
          </cell>
          <cell r="B307" t="str">
            <v>Andritz</v>
          </cell>
          <cell r="C307">
            <v>43539</v>
          </cell>
          <cell r="D307">
            <v>1</v>
          </cell>
          <cell r="E307">
            <v>2</v>
          </cell>
          <cell r="F307">
            <v>4</v>
          </cell>
          <cell r="G307">
            <v>6</v>
          </cell>
          <cell r="H307">
            <v>43553</v>
          </cell>
          <cell r="I307">
            <v>43559</v>
          </cell>
          <cell r="J307">
            <v>43566</v>
          </cell>
          <cell r="K307">
            <v>43573</v>
          </cell>
          <cell r="L307">
            <v>43580</v>
          </cell>
          <cell r="M307">
            <v>43587</v>
          </cell>
          <cell r="N307">
            <v>43594</v>
          </cell>
          <cell r="O307">
            <v>43601</v>
          </cell>
          <cell r="P307">
            <v>43553</v>
          </cell>
          <cell r="Q307">
            <v>43553</v>
          </cell>
          <cell r="R307">
            <v>0</v>
          </cell>
          <cell r="S307">
            <v>43561</v>
          </cell>
          <cell r="T307">
            <v>43562</v>
          </cell>
          <cell r="U307">
            <v>43566</v>
          </cell>
          <cell r="V307">
            <v>43573</v>
          </cell>
          <cell r="W307">
            <v>43580</v>
          </cell>
          <cell r="X307">
            <v>43580</v>
          </cell>
          <cell r="Y307">
            <v>43580</v>
          </cell>
          <cell r="Z307">
            <v>43580</v>
          </cell>
          <cell r="AA307">
            <v>43581</v>
          </cell>
          <cell r="AB307">
            <v>43601</v>
          </cell>
        </row>
        <row r="308">
          <cell r="A308">
            <v>0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 t="e">
            <v>#N/A</v>
          </cell>
          <cell r="J308" t="e">
            <v>#N/A</v>
          </cell>
          <cell r="K308" t="e">
            <v>#N/A</v>
          </cell>
          <cell r="L308" t="e">
            <v>#N/A</v>
          </cell>
          <cell r="M308" t="e">
            <v>#N/A</v>
          </cell>
          <cell r="N308" t="e">
            <v>#N/A</v>
          </cell>
          <cell r="O308" t="e">
            <v>#N/A</v>
          </cell>
          <cell r="P308">
            <v>14</v>
          </cell>
          <cell r="Q308">
            <v>14</v>
          </cell>
          <cell r="R308">
            <v>0</v>
          </cell>
          <cell r="S308" t="e">
            <v>#N/A</v>
          </cell>
          <cell r="T308" t="e">
            <v>#N/A</v>
          </cell>
          <cell r="U308" t="e">
            <v>#N/A</v>
          </cell>
          <cell r="V308" t="e">
            <v>#N/A</v>
          </cell>
          <cell r="W308" t="e">
            <v>#N/A</v>
          </cell>
          <cell r="X308" t="e">
            <v>#N/A</v>
          </cell>
          <cell r="Y308" t="e">
            <v>#N/A</v>
          </cell>
          <cell r="Z308" t="e">
            <v>#N/A</v>
          </cell>
          <cell r="AA308" t="e">
            <v>#N/A</v>
          </cell>
          <cell r="AB308" t="e">
            <v>#N/A</v>
          </cell>
        </row>
        <row r="309">
          <cell r="A309">
            <v>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 t="e">
            <v>#N/A</v>
          </cell>
          <cell r="J309" t="e">
            <v>#N/A</v>
          </cell>
          <cell r="K309" t="e">
            <v>#N/A</v>
          </cell>
          <cell r="L309" t="e">
            <v>#N/A</v>
          </cell>
          <cell r="M309" t="e">
            <v>#N/A</v>
          </cell>
          <cell r="N309" t="e">
            <v>#N/A</v>
          </cell>
          <cell r="O309" t="e">
            <v>#N/A</v>
          </cell>
          <cell r="P309">
            <v>14</v>
          </cell>
          <cell r="Q309">
            <v>14</v>
          </cell>
          <cell r="R309">
            <v>0</v>
          </cell>
          <cell r="S309" t="e">
            <v>#N/A</v>
          </cell>
          <cell r="T309" t="e">
            <v>#N/A</v>
          </cell>
          <cell r="U309" t="e">
            <v>#N/A</v>
          </cell>
          <cell r="V309" t="e">
            <v>#N/A</v>
          </cell>
          <cell r="W309" t="e">
            <v>#N/A</v>
          </cell>
          <cell r="X309" t="e">
            <v>#N/A</v>
          </cell>
          <cell r="Y309" t="e">
            <v>#N/A</v>
          </cell>
          <cell r="Z309" t="e">
            <v>#N/A</v>
          </cell>
          <cell r="AA309" t="e">
            <v>#N/A</v>
          </cell>
          <cell r="AB309" t="e">
            <v>#N/A</v>
          </cell>
        </row>
        <row r="310">
          <cell r="A310">
            <v>0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 t="e">
            <v>#N/A</v>
          </cell>
          <cell r="J310" t="e">
            <v>#N/A</v>
          </cell>
          <cell r="K310" t="e">
            <v>#N/A</v>
          </cell>
          <cell r="L310" t="e">
            <v>#N/A</v>
          </cell>
          <cell r="M310" t="e">
            <v>#N/A</v>
          </cell>
          <cell r="N310" t="e">
            <v>#N/A</v>
          </cell>
          <cell r="O310" t="e">
            <v>#N/A</v>
          </cell>
          <cell r="P310">
            <v>14</v>
          </cell>
          <cell r="Q310">
            <v>14</v>
          </cell>
          <cell r="R310">
            <v>0</v>
          </cell>
          <cell r="S310" t="e">
            <v>#N/A</v>
          </cell>
          <cell r="T310" t="e">
            <v>#N/A</v>
          </cell>
          <cell r="U310" t="e">
            <v>#N/A</v>
          </cell>
          <cell r="V310" t="e">
            <v>#N/A</v>
          </cell>
          <cell r="W310" t="e">
            <v>#N/A</v>
          </cell>
          <cell r="X310" t="e">
            <v>#N/A</v>
          </cell>
          <cell r="Y310" t="e">
            <v>#N/A</v>
          </cell>
          <cell r="Z310" t="e">
            <v>#N/A</v>
          </cell>
          <cell r="AA310" t="e">
            <v>#N/A</v>
          </cell>
          <cell r="AB310" t="e">
            <v>#N/A</v>
          </cell>
        </row>
        <row r="311">
          <cell r="A311">
            <v>0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 t="e">
            <v>#N/A</v>
          </cell>
          <cell r="J311" t="e">
            <v>#N/A</v>
          </cell>
          <cell r="K311" t="e">
            <v>#N/A</v>
          </cell>
          <cell r="L311" t="e">
            <v>#N/A</v>
          </cell>
          <cell r="M311" t="e">
            <v>#N/A</v>
          </cell>
          <cell r="N311" t="e">
            <v>#N/A</v>
          </cell>
          <cell r="O311" t="e">
            <v>#N/A</v>
          </cell>
          <cell r="P311">
            <v>14</v>
          </cell>
          <cell r="Q311">
            <v>14</v>
          </cell>
          <cell r="R311">
            <v>0</v>
          </cell>
          <cell r="S311" t="e">
            <v>#N/A</v>
          </cell>
          <cell r="T311" t="e">
            <v>#N/A</v>
          </cell>
          <cell r="U311" t="e">
            <v>#N/A</v>
          </cell>
          <cell r="V311" t="e">
            <v>#N/A</v>
          </cell>
          <cell r="W311" t="e">
            <v>#N/A</v>
          </cell>
          <cell r="X311" t="e">
            <v>#N/A</v>
          </cell>
          <cell r="Y311" t="e">
            <v>#N/A</v>
          </cell>
          <cell r="Z311" t="e">
            <v>#N/A</v>
          </cell>
          <cell r="AA311" t="e">
            <v>#N/A</v>
          </cell>
          <cell r="AB311" t="e">
            <v>#N/A</v>
          </cell>
        </row>
        <row r="312">
          <cell r="A312">
            <v>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 t="e">
            <v>#N/A</v>
          </cell>
          <cell r="J312" t="e">
            <v>#N/A</v>
          </cell>
          <cell r="K312" t="e">
            <v>#N/A</v>
          </cell>
          <cell r="L312" t="e">
            <v>#N/A</v>
          </cell>
          <cell r="M312" t="e">
            <v>#N/A</v>
          </cell>
          <cell r="N312" t="e">
            <v>#N/A</v>
          </cell>
          <cell r="O312" t="e">
            <v>#N/A</v>
          </cell>
          <cell r="P312">
            <v>14</v>
          </cell>
          <cell r="Q312">
            <v>14</v>
          </cell>
          <cell r="R312">
            <v>0</v>
          </cell>
          <cell r="S312" t="e">
            <v>#N/A</v>
          </cell>
          <cell r="T312" t="e">
            <v>#N/A</v>
          </cell>
          <cell r="U312" t="e">
            <v>#N/A</v>
          </cell>
          <cell r="V312" t="e">
            <v>#N/A</v>
          </cell>
          <cell r="W312" t="e">
            <v>#N/A</v>
          </cell>
          <cell r="X312" t="e">
            <v>#N/A</v>
          </cell>
          <cell r="Y312" t="e">
            <v>#N/A</v>
          </cell>
          <cell r="Z312" t="e">
            <v>#N/A</v>
          </cell>
          <cell r="AA312" t="e">
            <v>#N/A</v>
          </cell>
          <cell r="AB312" t="e">
            <v>#N/A</v>
          </cell>
        </row>
        <row r="313">
          <cell r="A313">
            <v>0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 t="e">
            <v>#N/A</v>
          </cell>
          <cell r="J313" t="e">
            <v>#N/A</v>
          </cell>
          <cell r="K313" t="e">
            <v>#N/A</v>
          </cell>
          <cell r="L313" t="e">
            <v>#N/A</v>
          </cell>
          <cell r="M313" t="e">
            <v>#N/A</v>
          </cell>
          <cell r="N313" t="e">
            <v>#N/A</v>
          </cell>
          <cell r="O313" t="e">
            <v>#N/A</v>
          </cell>
          <cell r="P313">
            <v>14</v>
          </cell>
          <cell r="Q313">
            <v>14</v>
          </cell>
          <cell r="R313">
            <v>0</v>
          </cell>
          <cell r="S313" t="e">
            <v>#N/A</v>
          </cell>
          <cell r="T313" t="e">
            <v>#N/A</v>
          </cell>
          <cell r="U313" t="e">
            <v>#N/A</v>
          </cell>
          <cell r="V313" t="e">
            <v>#N/A</v>
          </cell>
          <cell r="W313" t="e">
            <v>#N/A</v>
          </cell>
          <cell r="X313" t="e">
            <v>#N/A</v>
          </cell>
          <cell r="Y313" t="e">
            <v>#N/A</v>
          </cell>
          <cell r="Z313" t="e">
            <v>#N/A</v>
          </cell>
          <cell r="AA313" t="e">
            <v>#N/A</v>
          </cell>
          <cell r="AB313" t="e">
            <v>#N/A</v>
          </cell>
        </row>
        <row r="314">
          <cell r="A314">
            <v>0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 t="e">
            <v>#N/A</v>
          </cell>
          <cell r="J314" t="e">
            <v>#N/A</v>
          </cell>
          <cell r="K314" t="e">
            <v>#N/A</v>
          </cell>
          <cell r="L314" t="e">
            <v>#N/A</v>
          </cell>
          <cell r="M314" t="e">
            <v>#N/A</v>
          </cell>
          <cell r="N314" t="e">
            <v>#N/A</v>
          </cell>
          <cell r="O314" t="e">
            <v>#N/A</v>
          </cell>
          <cell r="P314">
            <v>14</v>
          </cell>
          <cell r="Q314">
            <v>14</v>
          </cell>
          <cell r="R314">
            <v>0</v>
          </cell>
          <cell r="S314" t="e">
            <v>#N/A</v>
          </cell>
          <cell r="T314" t="e">
            <v>#N/A</v>
          </cell>
          <cell r="U314" t="e">
            <v>#N/A</v>
          </cell>
          <cell r="V314" t="e">
            <v>#N/A</v>
          </cell>
          <cell r="W314" t="e">
            <v>#N/A</v>
          </cell>
          <cell r="X314" t="e">
            <v>#N/A</v>
          </cell>
          <cell r="Y314" t="e">
            <v>#N/A</v>
          </cell>
          <cell r="Z314" t="e">
            <v>#N/A</v>
          </cell>
          <cell r="AA314" t="e">
            <v>#N/A</v>
          </cell>
          <cell r="AB314" t="e">
            <v>#N/A</v>
          </cell>
        </row>
        <row r="315">
          <cell r="A315">
            <v>0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 t="e">
            <v>#N/A</v>
          </cell>
          <cell r="J315" t="e">
            <v>#N/A</v>
          </cell>
          <cell r="K315" t="e">
            <v>#N/A</v>
          </cell>
          <cell r="L315" t="e">
            <v>#N/A</v>
          </cell>
          <cell r="M315" t="e">
            <v>#N/A</v>
          </cell>
          <cell r="N315" t="e">
            <v>#N/A</v>
          </cell>
          <cell r="O315" t="e">
            <v>#N/A</v>
          </cell>
          <cell r="P315">
            <v>14</v>
          </cell>
          <cell r="Q315">
            <v>14</v>
          </cell>
          <cell r="R315">
            <v>0</v>
          </cell>
          <cell r="S315" t="e">
            <v>#N/A</v>
          </cell>
          <cell r="T315" t="e">
            <v>#N/A</v>
          </cell>
          <cell r="U315" t="e">
            <v>#N/A</v>
          </cell>
          <cell r="V315" t="e">
            <v>#N/A</v>
          </cell>
          <cell r="W315" t="e">
            <v>#N/A</v>
          </cell>
          <cell r="X315" t="e">
            <v>#N/A</v>
          </cell>
          <cell r="Y315" t="e">
            <v>#N/A</v>
          </cell>
          <cell r="Z315" t="e">
            <v>#N/A</v>
          </cell>
          <cell r="AA315" t="e">
            <v>#N/A</v>
          </cell>
          <cell r="AB315" t="e">
            <v>#N/A</v>
          </cell>
        </row>
        <row r="316">
          <cell r="A316">
            <v>0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 t="e">
            <v>#N/A</v>
          </cell>
          <cell r="J316" t="e">
            <v>#N/A</v>
          </cell>
          <cell r="K316" t="e">
            <v>#N/A</v>
          </cell>
          <cell r="L316" t="e">
            <v>#N/A</v>
          </cell>
          <cell r="M316" t="e">
            <v>#N/A</v>
          </cell>
          <cell r="N316" t="e">
            <v>#N/A</v>
          </cell>
          <cell r="O316" t="e">
            <v>#N/A</v>
          </cell>
          <cell r="P316">
            <v>14</v>
          </cell>
          <cell r="Q316">
            <v>14</v>
          </cell>
          <cell r="R316">
            <v>0</v>
          </cell>
          <cell r="S316" t="e">
            <v>#N/A</v>
          </cell>
          <cell r="T316" t="e">
            <v>#N/A</v>
          </cell>
          <cell r="U316" t="e">
            <v>#N/A</v>
          </cell>
          <cell r="V316" t="e">
            <v>#N/A</v>
          </cell>
          <cell r="W316" t="e">
            <v>#N/A</v>
          </cell>
          <cell r="X316" t="e">
            <v>#N/A</v>
          </cell>
          <cell r="Y316" t="e">
            <v>#N/A</v>
          </cell>
          <cell r="Z316" t="e">
            <v>#N/A</v>
          </cell>
          <cell r="AA316" t="e">
            <v>#N/A</v>
          </cell>
          <cell r="AB316" t="e">
            <v>#N/A</v>
          </cell>
        </row>
        <row r="317">
          <cell r="A317">
            <v>0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 t="e">
            <v>#N/A</v>
          </cell>
          <cell r="J317" t="e">
            <v>#N/A</v>
          </cell>
          <cell r="K317" t="e">
            <v>#N/A</v>
          </cell>
          <cell r="L317" t="e">
            <v>#N/A</v>
          </cell>
          <cell r="M317" t="e">
            <v>#N/A</v>
          </cell>
          <cell r="N317" t="e">
            <v>#N/A</v>
          </cell>
          <cell r="O317" t="e">
            <v>#N/A</v>
          </cell>
          <cell r="P317">
            <v>14</v>
          </cell>
          <cell r="Q317">
            <v>14</v>
          </cell>
          <cell r="R317">
            <v>0</v>
          </cell>
          <cell r="S317" t="e">
            <v>#N/A</v>
          </cell>
          <cell r="T317" t="e">
            <v>#N/A</v>
          </cell>
          <cell r="U317" t="e">
            <v>#N/A</v>
          </cell>
          <cell r="V317" t="e">
            <v>#N/A</v>
          </cell>
          <cell r="W317" t="e">
            <v>#N/A</v>
          </cell>
          <cell r="X317" t="e">
            <v>#N/A</v>
          </cell>
          <cell r="Y317" t="e">
            <v>#N/A</v>
          </cell>
          <cell r="Z317" t="e">
            <v>#N/A</v>
          </cell>
          <cell r="AA317" t="e">
            <v>#N/A</v>
          </cell>
          <cell r="AB317" t="e">
            <v>#N/A</v>
          </cell>
        </row>
        <row r="318">
          <cell r="A318">
            <v>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 t="e">
            <v>#N/A</v>
          </cell>
          <cell r="J318" t="e">
            <v>#N/A</v>
          </cell>
          <cell r="K318" t="e">
            <v>#N/A</v>
          </cell>
          <cell r="L318" t="e">
            <v>#N/A</v>
          </cell>
          <cell r="M318" t="e">
            <v>#N/A</v>
          </cell>
          <cell r="N318" t="e">
            <v>#N/A</v>
          </cell>
          <cell r="O318" t="e">
            <v>#N/A</v>
          </cell>
          <cell r="P318">
            <v>14</v>
          </cell>
          <cell r="Q318">
            <v>14</v>
          </cell>
          <cell r="R318">
            <v>0</v>
          </cell>
          <cell r="S318" t="e">
            <v>#N/A</v>
          </cell>
          <cell r="T318" t="e">
            <v>#N/A</v>
          </cell>
          <cell r="U318" t="e">
            <v>#N/A</v>
          </cell>
          <cell r="V318" t="e">
            <v>#N/A</v>
          </cell>
          <cell r="W318" t="e">
            <v>#N/A</v>
          </cell>
          <cell r="X318" t="e">
            <v>#N/A</v>
          </cell>
          <cell r="Y318" t="e">
            <v>#N/A</v>
          </cell>
          <cell r="Z318" t="e">
            <v>#N/A</v>
          </cell>
          <cell r="AA318" t="e">
            <v>#N/A</v>
          </cell>
          <cell r="AB318" t="e">
            <v>#N/A</v>
          </cell>
        </row>
        <row r="319">
          <cell r="A319">
            <v>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 t="e">
            <v>#N/A</v>
          </cell>
          <cell r="J319" t="e">
            <v>#N/A</v>
          </cell>
          <cell r="K319" t="e">
            <v>#N/A</v>
          </cell>
          <cell r="L319" t="e">
            <v>#N/A</v>
          </cell>
          <cell r="M319" t="e">
            <v>#N/A</v>
          </cell>
          <cell r="N319" t="e">
            <v>#N/A</v>
          </cell>
          <cell r="O319" t="e">
            <v>#N/A</v>
          </cell>
          <cell r="P319">
            <v>14</v>
          </cell>
          <cell r="Q319">
            <v>14</v>
          </cell>
          <cell r="R319">
            <v>0</v>
          </cell>
          <cell r="S319" t="e">
            <v>#N/A</v>
          </cell>
          <cell r="T319" t="e">
            <v>#N/A</v>
          </cell>
          <cell r="U319" t="e">
            <v>#N/A</v>
          </cell>
          <cell r="V319" t="e">
            <v>#N/A</v>
          </cell>
          <cell r="W319" t="e">
            <v>#N/A</v>
          </cell>
          <cell r="X319" t="e">
            <v>#N/A</v>
          </cell>
          <cell r="Y319" t="e">
            <v>#N/A</v>
          </cell>
          <cell r="Z319" t="e">
            <v>#N/A</v>
          </cell>
          <cell r="AA319" t="e">
            <v>#N/A</v>
          </cell>
          <cell r="AB319" t="e">
            <v>#N/A</v>
          </cell>
        </row>
        <row r="320">
          <cell r="A320">
            <v>0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 t="e">
            <v>#N/A</v>
          </cell>
          <cell r="J320" t="e">
            <v>#N/A</v>
          </cell>
          <cell r="K320" t="e">
            <v>#N/A</v>
          </cell>
          <cell r="L320" t="e">
            <v>#N/A</v>
          </cell>
          <cell r="M320" t="e">
            <v>#N/A</v>
          </cell>
          <cell r="N320" t="e">
            <v>#N/A</v>
          </cell>
          <cell r="O320" t="e">
            <v>#N/A</v>
          </cell>
          <cell r="P320">
            <v>14</v>
          </cell>
          <cell r="Q320">
            <v>14</v>
          </cell>
          <cell r="R320">
            <v>0</v>
          </cell>
          <cell r="S320" t="e">
            <v>#N/A</v>
          </cell>
          <cell r="T320" t="e">
            <v>#N/A</v>
          </cell>
          <cell r="U320" t="e">
            <v>#N/A</v>
          </cell>
          <cell r="V320" t="e">
            <v>#N/A</v>
          </cell>
          <cell r="W320" t="e">
            <v>#N/A</v>
          </cell>
          <cell r="X320" t="e">
            <v>#N/A</v>
          </cell>
          <cell r="Y320" t="e">
            <v>#N/A</v>
          </cell>
          <cell r="Z320" t="e">
            <v>#N/A</v>
          </cell>
          <cell r="AA320" t="e">
            <v>#N/A</v>
          </cell>
          <cell r="AB320" t="e">
            <v>#N/A</v>
          </cell>
        </row>
        <row r="321">
          <cell r="A321">
            <v>0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 t="e">
            <v>#N/A</v>
          </cell>
          <cell r="J321" t="e">
            <v>#N/A</v>
          </cell>
          <cell r="K321" t="e">
            <v>#N/A</v>
          </cell>
          <cell r="L321" t="e">
            <v>#N/A</v>
          </cell>
          <cell r="M321" t="e">
            <v>#N/A</v>
          </cell>
          <cell r="N321" t="e">
            <v>#N/A</v>
          </cell>
          <cell r="O321" t="e">
            <v>#N/A</v>
          </cell>
          <cell r="P321">
            <v>14</v>
          </cell>
          <cell r="Q321">
            <v>14</v>
          </cell>
          <cell r="R321">
            <v>0</v>
          </cell>
          <cell r="S321" t="e">
            <v>#N/A</v>
          </cell>
          <cell r="T321" t="e">
            <v>#N/A</v>
          </cell>
          <cell r="U321" t="e">
            <v>#N/A</v>
          </cell>
          <cell r="V321" t="e">
            <v>#N/A</v>
          </cell>
          <cell r="W321" t="e">
            <v>#N/A</v>
          </cell>
          <cell r="X321" t="e">
            <v>#N/A</v>
          </cell>
          <cell r="Y321" t="e">
            <v>#N/A</v>
          </cell>
          <cell r="Z321" t="e">
            <v>#N/A</v>
          </cell>
          <cell r="AA321" t="e">
            <v>#N/A</v>
          </cell>
          <cell r="AB321" t="e">
            <v>#N/A</v>
          </cell>
        </row>
        <row r="322">
          <cell r="A322">
            <v>0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 t="e">
            <v>#N/A</v>
          </cell>
          <cell r="J322" t="e">
            <v>#N/A</v>
          </cell>
          <cell r="K322" t="e">
            <v>#N/A</v>
          </cell>
          <cell r="L322" t="e">
            <v>#N/A</v>
          </cell>
          <cell r="M322" t="e">
            <v>#N/A</v>
          </cell>
          <cell r="N322" t="e">
            <v>#N/A</v>
          </cell>
          <cell r="O322" t="e">
            <v>#N/A</v>
          </cell>
          <cell r="P322">
            <v>14</v>
          </cell>
          <cell r="Q322">
            <v>14</v>
          </cell>
          <cell r="R322">
            <v>0</v>
          </cell>
          <cell r="S322" t="e">
            <v>#N/A</v>
          </cell>
          <cell r="T322" t="e">
            <v>#N/A</v>
          </cell>
          <cell r="U322" t="e">
            <v>#N/A</v>
          </cell>
          <cell r="V322" t="e">
            <v>#N/A</v>
          </cell>
          <cell r="W322" t="e">
            <v>#N/A</v>
          </cell>
          <cell r="X322" t="e">
            <v>#N/A</v>
          </cell>
          <cell r="Y322" t="e">
            <v>#N/A</v>
          </cell>
          <cell r="Z322" t="e">
            <v>#N/A</v>
          </cell>
          <cell r="AA322" t="e">
            <v>#N/A</v>
          </cell>
          <cell r="AB322" t="e">
            <v>#N/A</v>
          </cell>
        </row>
        <row r="323">
          <cell r="A323">
            <v>0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 t="e">
            <v>#N/A</v>
          </cell>
          <cell r="J323" t="e">
            <v>#N/A</v>
          </cell>
          <cell r="K323" t="e">
            <v>#N/A</v>
          </cell>
          <cell r="L323" t="e">
            <v>#N/A</v>
          </cell>
          <cell r="M323" t="e">
            <v>#N/A</v>
          </cell>
          <cell r="N323" t="e">
            <v>#N/A</v>
          </cell>
          <cell r="O323" t="e">
            <v>#N/A</v>
          </cell>
          <cell r="P323">
            <v>14</v>
          </cell>
          <cell r="Q323">
            <v>14</v>
          </cell>
          <cell r="R323">
            <v>0</v>
          </cell>
          <cell r="S323" t="e">
            <v>#N/A</v>
          </cell>
          <cell r="T323" t="e">
            <v>#N/A</v>
          </cell>
          <cell r="U323" t="e">
            <v>#N/A</v>
          </cell>
          <cell r="V323" t="e">
            <v>#N/A</v>
          </cell>
          <cell r="W323" t="e">
            <v>#N/A</v>
          </cell>
          <cell r="X323" t="e">
            <v>#N/A</v>
          </cell>
          <cell r="Y323" t="e">
            <v>#N/A</v>
          </cell>
          <cell r="Z323" t="e">
            <v>#N/A</v>
          </cell>
          <cell r="AA323" t="e">
            <v>#N/A</v>
          </cell>
          <cell r="AB323" t="e">
            <v>#N/A</v>
          </cell>
        </row>
        <row r="324">
          <cell r="A324">
            <v>0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 t="e">
            <v>#N/A</v>
          </cell>
          <cell r="J324" t="e">
            <v>#N/A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>
            <v>14</v>
          </cell>
          <cell r="Q324">
            <v>14</v>
          </cell>
          <cell r="R324">
            <v>0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</row>
        <row r="325">
          <cell r="A325">
            <v>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 t="e">
            <v>#N/A</v>
          </cell>
          <cell r="J325" t="e">
            <v>#N/A</v>
          </cell>
          <cell r="K325" t="e">
            <v>#N/A</v>
          </cell>
          <cell r="L325" t="e">
            <v>#N/A</v>
          </cell>
          <cell r="M325" t="e">
            <v>#N/A</v>
          </cell>
          <cell r="N325" t="e">
            <v>#N/A</v>
          </cell>
          <cell r="O325" t="e">
            <v>#N/A</v>
          </cell>
          <cell r="P325">
            <v>14</v>
          </cell>
          <cell r="Q325">
            <v>14</v>
          </cell>
          <cell r="R325">
            <v>0</v>
          </cell>
          <cell r="S325" t="e">
            <v>#N/A</v>
          </cell>
          <cell r="T325" t="e">
            <v>#N/A</v>
          </cell>
          <cell r="U325" t="e">
            <v>#N/A</v>
          </cell>
          <cell r="V325" t="e">
            <v>#N/A</v>
          </cell>
          <cell r="W325" t="e">
            <v>#N/A</v>
          </cell>
          <cell r="X325" t="e">
            <v>#N/A</v>
          </cell>
          <cell r="Y325" t="e">
            <v>#N/A</v>
          </cell>
          <cell r="Z325" t="e">
            <v>#N/A</v>
          </cell>
          <cell r="AA325" t="e">
            <v>#N/A</v>
          </cell>
          <cell r="AB325" t="e">
            <v>#N/A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 t="e">
            <v>#N/A</v>
          </cell>
          <cell r="J326" t="e">
            <v>#N/A</v>
          </cell>
          <cell r="K326" t="e">
            <v>#N/A</v>
          </cell>
          <cell r="L326" t="e">
            <v>#N/A</v>
          </cell>
          <cell r="M326" t="e">
            <v>#N/A</v>
          </cell>
          <cell r="N326" t="e">
            <v>#N/A</v>
          </cell>
          <cell r="O326" t="e">
            <v>#N/A</v>
          </cell>
          <cell r="P326">
            <v>14</v>
          </cell>
          <cell r="Q326">
            <v>14</v>
          </cell>
          <cell r="R326">
            <v>0</v>
          </cell>
          <cell r="S326" t="e">
            <v>#N/A</v>
          </cell>
          <cell r="T326" t="e">
            <v>#N/A</v>
          </cell>
          <cell r="U326" t="e">
            <v>#N/A</v>
          </cell>
          <cell r="V326" t="e">
            <v>#N/A</v>
          </cell>
          <cell r="W326" t="e">
            <v>#N/A</v>
          </cell>
          <cell r="X326" t="e">
            <v>#N/A</v>
          </cell>
          <cell r="Y326" t="e">
            <v>#N/A</v>
          </cell>
          <cell r="Z326" t="e">
            <v>#N/A</v>
          </cell>
          <cell r="AA326" t="e">
            <v>#N/A</v>
          </cell>
          <cell r="AB326" t="e">
            <v>#N/A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 t="e">
            <v>#N/A</v>
          </cell>
          <cell r="J327" t="e">
            <v>#N/A</v>
          </cell>
          <cell r="K327" t="e">
            <v>#N/A</v>
          </cell>
          <cell r="L327" t="e">
            <v>#N/A</v>
          </cell>
          <cell r="M327" t="e">
            <v>#N/A</v>
          </cell>
          <cell r="N327" t="e">
            <v>#N/A</v>
          </cell>
          <cell r="O327" t="e">
            <v>#N/A</v>
          </cell>
          <cell r="P327">
            <v>14</v>
          </cell>
          <cell r="Q327">
            <v>14</v>
          </cell>
          <cell r="R327">
            <v>0</v>
          </cell>
          <cell r="S327" t="e">
            <v>#N/A</v>
          </cell>
          <cell r="T327" t="e">
            <v>#N/A</v>
          </cell>
          <cell r="U327" t="e">
            <v>#N/A</v>
          </cell>
          <cell r="V327" t="e">
            <v>#N/A</v>
          </cell>
          <cell r="W327" t="e">
            <v>#N/A</v>
          </cell>
          <cell r="X327" t="e">
            <v>#N/A</v>
          </cell>
          <cell r="Y327" t="e">
            <v>#N/A</v>
          </cell>
          <cell r="Z327" t="e">
            <v>#N/A</v>
          </cell>
          <cell r="AA327" t="e">
            <v>#N/A</v>
          </cell>
          <cell r="AB327" t="e">
            <v>#N/A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 t="e">
            <v>#N/A</v>
          </cell>
          <cell r="J328" t="e">
            <v>#N/A</v>
          </cell>
          <cell r="K328" t="e">
            <v>#N/A</v>
          </cell>
          <cell r="L328" t="e">
            <v>#N/A</v>
          </cell>
          <cell r="M328" t="e">
            <v>#N/A</v>
          </cell>
          <cell r="N328" t="e">
            <v>#N/A</v>
          </cell>
          <cell r="O328" t="e">
            <v>#N/A</v>
          </cell>
          <cell r="P328">
            <v>14</v>
          </cell>
          <cell r="Q328">
            <v>14</v>
          </cell>
          <cell r="R328">
            <v>0</v>
          </cell>
          <cell r="S328" t="e">
            <v>#N/A</v>
          </cell>
          <cell r="T328" t="e">
            <v>#N/A</v>
          </cell>
          <cell r="U328" t="e">
            <v>#N/A</v>
          </cell>
          <cell r="V328" t="e">
            <v>#N/A</v>
          </cell>
          <cell r="W328" t="e">
            <v>#N/A</v>
          </cell>
          <cell r="X328" t="e">
            <v>#N/A</v>
          </cell>
          <cell r="Y328" t="e">
            <v>#N/A</v>
          </cell>
          <cell r="Z328" t="e">
            <v>#N/A</v>
          </cell>
          <cell r="AA328" t="e">
            <v>#N/A</v>
          </cell>
          <cell r="AB328" t="e">
            <v>#N/A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 t="e">
            <v>#N/A</v>
          </cell>
          <cell r="J329" t="e">
            <v>#N/A</v>
          </cell>
          <cell r="K329" t="e">
            <v>#N/A</v>
          </cell>
          <cell r="L329" t="e">
            <v>#N/A</v>
          </cell>
          <cell r="M329" t="e">
            <v>#N/A</v>
          </cell>
          <cell r="N329" t="e">
            <v>#N/A</v>
          </cell>
          <cell r="O329" t="e">
            <v>#N/A</v>
          </cell>
          <cell r="P329">
            <v>14</v>
          </cell>
          <cell r="Q329">
            <v>14</v>
          </cell>
          <cell r="R329">
            <v>0</v>
          </cell>
          <cell r="S329" t="e">
            <v>#N/A</v>
          </cell>
          <cell r="T329" t="e">
            <v>#N/A</v>
          </cell>
          <cell r="U329" t="e">
            <v>#N/A</v>
          </cell>
          <cell r="V329" t="e">
            <v>#N/A</v>
          </cell>
          <cell r="W329" t="e">
            <v>#N/A</v>
          </cell>
          <cell r="X329" t="e">
            <v>#N/A</v>
          </cell>
          <cell r="Y329" t="e">
            <v>#N/A</v>
          </cell>
          <cell r="Z329" t="e">
            <v>#N/A</v>
          </cell>
          <cell r="AA329" t="e">
            <v>#N/A</v>
          </cell>
          <cell r="AB329" t="e">
            <v>#N/A</v>
          </cell>
        </row>
        <row r="330">
          <cell r="A330">
            <v>0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 t="e">
            <v>#N/A</v>
          </cell>
          <cell r="J330" t="e">
            <v>#N/A</v>
          </cell>
          <cell r="K330" t="e">
            <v>#N/A</v>
          </cell>
          <cell r="L330" t="e">
            <v>#N/A</v>
          </cell>
          <cell r="M330" t="e">
            <v>#N/A</v>
          </cell>
          <cell r="N330" t="e">
            <v>#N/A</v>
          </cell>
          <cell r="O330" t="e">
            <v>#N/A</v>
          </cell>
          <cell r="P330">
            <v>14</v>
          </cell>
          <cell r="Q330">
            <v>14</v>
          </cell>
          <cell r="R330">
            <v>0</v>
          </cell>
          <cell r="S330" t="e">
            <v>#N/A</v>
          </cell>
          <cell r="T330" t="e">
            <v>#N/A</v>
          </cell>
          <cell r="U330" t="e">
            <v>#N/A</v>
          </cell>
          <cell r="V330" t="e">
            <v>#N/A</v>
          </cell>
          <cell r="W330" t="e">
            <v>#N/A</v>
          </cell>
          <cell r="X330" t="e">
            <v>#N/A</v>
          </cell>
          <cell r="Y330" t="e">
            <v>#N/A</v>
          </cell>
          <cell r="Z330" t="e">
            <v>#N/A</v>
          </cell>
          <cell r="AA330" t="e">
            <v>#N/A</v>
          </cell>
          <cell r="AB330" t="e">
            <v>#N/A</v>
          </cell>
        </row>
        <row r="331">
          <cell r="A331">
            <v>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 t="e">
            <v>#N/A</v>
          </cell>
          <cell r="J331" t="e">
            <v>#N/A</v>
          </cell>
          <cell r="K331" t="e">
            <v>#N/A</v>
          </cell>
          <cell r="L331" t="e">
            <v>#N/A</v>
          </cell>
          <cell r="M331" t="e">
            <v>#N/A</v>
          </cell>
          <cell r="N331" t="e">
            <v>#N/A</v>
          </cell>
          <cell r="O331" t="e">
            <v>#N/A</v>
          </cell>
          <cell r="P331">
            <v>14</v>
          </cell>
          <cell r="Q331">
            <v>14</v>
          </cell>
          <cell r="R331">
            <v>0</v>
          </cell>
          <cell r="S331" t="e">
            <v>#N/A</v>
          </cell>
          <cell r="T331" t="e">
            <v>#N/A</v>
          </cell>
          <cell r="U331" t="e">
            <v>#N/A</v>
          </cell>
          <cell r="V331" t="e">
            <v>#N/A</v>
          </cell>
          <cell r="W331" t="e">
            <v>#N/A</v>
          </cell>
          <cell r="X331" t="e">
            <v>#N/A</v>
          </cell>
          <cell r="Y331" t="e">
            <v>#N/A</v>
          </cell>
          <cell r="Z331" t="e">
            <v>#N/A</v>
          </cell>
          <cell r="AA331" t="e">
            <v>#N/A</v>
          </cell>
          <cell r="AB331" t="e">
            <v>#N/A</v>
          </cell>
        </row>
        <row r="332">
          <cell r="A332">
            <v>0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 t="e">
            <v>#N/A</v>
          </cell>
          <cell r="J332" t="e">
            <v>#N/A</v>
          </cell>
          <cell r="K332" t="e">
            <v>#N/A</v>
          </cell>
          <cell r="L332" t="e">
            <v>#N/A</v>
          </cell>
          <cell r="M332" t="e">
            <v>#N/A</v>
          </cell>
          <cell r="N332" t="e">
            <v>#N/A</v>
          </cell>
          <cell r="O332" t="e">
            <v>#N/A</v>
          </cell>
          <cell r="P332">
            <v>14</v>
          </cell>
          <cell r="Q332">
            <v>14</v>
          </cell>
          <cell r="R332">
            <v>0</v>
          </cell>
          <cell r="S332" t="e">
            <v>#N/A</v>
          </cell>
          <cell r="T332" t="e">
            <v>#N/A</v>
          </cell>
          <cell r="U332" t="e">
            <v>#N/A</v>
          </cell>
          <cell r="V332" t="e">
            <v>#N/A</v>
          </cell>
          <cell r="W332" t="e">
            <v>#N/A</v>
          </cell>
          <cell r="X332" t="e">
            <v>#N/A</v>
          </cell>
          <cell r="Y332" t="e">
            <v>#N/A</v>
          </cell>
          <cell r="Z332" t="e">
            <v>#N/A</v>
          </cell>
          <cell r="AA332" t="e">
            <v>#N/A</v>
          </cell>
          <cell r="AB332" t="e">
            <v>#N/A</v>
          </cell>
        </row>
        <row r="333">
          <cell r="A333">
            <v>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 t="e">
            <v>#N/A</v>
          </cell>
          <cell r="J333" t="e">
            <v>#N/A</v>
          </cell>
          <cell r="K333" t="e">
            <v>#N/A</v>
          </cell>
          <cell r="L333" t="e">
            <v>#N/A</v>
          </cell>
          <cell r="M333" t="e">
            <v>#N/A</v>
          </cell>
          <cell r="N333" t="e">
            <v>#N/A</v>
          </cell>
          <cell r="O333" t="e">
            <v>#N/A</v>
          </cell>
          <cell r="P333">
            <v>14</v>
          </cell>
          <cell r="Q333">
            <v>14</v>
          </cell>
          <cell r="R333">
            <v>0</v>
          </cell>
          <cell r="S333" t="e">
            <v>#N/A</v>
          </cell>
          <cell r="T333" t="e">
            <v>#N/A</v>
          </cell>
          <cell r="U333" t="e">
            <v>#N/A</v>
          </cell>
          <cell r="V333" t="e">
            <v>#N/A</v>
          </cell>
          <cell r="W333" t="e">
            <v>#N/A</v>
          </cell>
          <cell r="X333" t="e">
            <v>#N/A</v>
          </cell>
          <cell r="Y333" t="e">
            <v>#N/A</v>
          </cell>
          <cell r="Z333" t="e">
            <v>#N/A</v>
          </cell>
          <cell r="AA333" t="e">
            <v>#N/A</v>
          </cell>
          <cell r="AB333" t="e">
            <v>#N/A</v>
          </cell>
        </row>
        <row r="334">
          <cell r="A334">
            <v>0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 t="e">
            <v>#N/A</v>
          </cell>
          <cell r="J334" t="e">
            <v>#N/A</v>
          </cell>
          <cell r="K334" t="e">
            <v>#N/A</v>
          </cell>
          <cell r="L334" t="e">
            <v>#N/A</v>
          </cell>
          <cell r="M334" t="e">
            <v>#N/A</v>
          </cell>
          <cell r="N334" t="e">
            <v>#N/A</v>
          </cell>
          <cell r="O334" t="e">
            <v>#N/A</v>
          </cell>
          <cell r="P334">
            <v>14</v>
          </cell>
          <cell r="Q334">
            <v>14</v>
          </cell>
          <cell r="R334">
            <v>0</v>
          </cell>
          <cell r="S334" t="e">
            <v>#N/A</v>
          </cell>
          <cell r="T334" t="e">
            <v>#N/A</v>
          </cell>
          <cell r="U334" t="e">
            <v>#N/A</v>
          </cell>
          <cell r="V334" t="e">
            <v>#N/A</v>
          </cell>
          <cell r="W334" t="e">
            <v>#N/A</v>
          </cell>
          <cell r="X334" t="e">
            <v>#N/A</v>
          </cell>
          <cell r="Y334" t="e">
            <v>#N/A</v>
          </cell>
          <cell r="Z334" t="e">
            <v>#N/A</v>
          </cell>
          <cell r="AA334" t="e">
            <v>#N/A</v>
          </cell>
          <cell r="AB334" t="e">
            <v>#N/A</v>
          </cell>
        </row>
        <row r="335">
          <cell r="A335">
            <v>0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  <cell r="N335" t="e">
            <v>#N/A</v>
          </cell>
          <cell r="O335" t="e">
            <v>#N/A</v>
          </cell>
          <cell r="P335">
            <v>14</v>
          </cell>
          <cell r="Q335">
            <v>14</v>
          </cell>
          <cell r="R335">
            <v>0</v>
          </cell>
          <cell r="S335" t="e">
            <v>#N/A</v>
          </cell>
          <cell r="T335" t="e">
            <v>#N/A</v>
          </cell>
          <cell r="U335" t="e">
            <v>#N/A</v>
          </cell>
          <cell r="V335" t="e">
            <v>#N/A</v>
          </cell>
          <cell r="W335" t="e">
            <v>#N/A</v>
          </cell>
          <cell r="X335" t="e">
            <v>#N/A</v>
          </cell>
          <cell r="Y335" t="e">
            <v>#N/A</v>
          </cell>
          <cell r="Z335" t="e">
            <v>#N/A</v>
          </cell>
          <cell r="AA335" t="e">
            <v>#N/A</v>
          </cell>
          <cell r="AB335" t="e">
            <v>#N/A</v>
          </cell>
        </row>
        <row r="336">
          <cell r="A336">
            <v>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 t="e">
            <v>#N/A</v>
          </cell>
          <cell r="J336" t="e">
            <v>#N/A</v>
          </cell>
          <cell r="K336" t="e">
            <v>#N/A</v>
          </cell>
          <cell r="L336" t="e">
            <v>#N/A</v>
          </cell>
          <cell r="M336" t="e">
            <v>#N/A</v>
          </cell>
          <cell r="N336" t="e">
            <v>#N/A</v>
          </cell>
          <cell r="O336" t="e">
            <v>#N/A</v>
          </cell>
          <cell r="P336">
            <v>14</v>
          </cell>
          <cell r="Q336">
            <v>14</v>
          </cell>
          <cell r="R336">
            <v>0</v>
          </cell>
          <cell r="S336" t="e">
            <v>#N/A</v>
          </cell>
          <cell r="T336" t="e">
            <v>#N/A</v>
          </cell>
          <cell r="U336" t="e">
            <v>#N/A</v>
          </cell>
          <cell r="V336" t="e">
            <v>#N/A</v>
          </cell>
          <cell r="W336" t="e">
            <v>#N/A</v>
          </cell>
          <cell r="X336" t="e">
            <v>#N/A</v>
          </cell>
          <cell r="Y336" t="e">
            <v>#N/A</v>
          </cell>
          <cell r="Z336" t="e">
            <v>#N/A</v>
          </cell>
          <cell r="AA336" t="e">
            <v>#N/A</v>
          </cell>
          <cell r="AB336" t="e">
            <v>#N/A</v>
          </cell>
        </row>
        <row r="337">
          <cell r="A337">
            <v>0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 t="e">
            <v>#N/A</v>
          </cell>
          <cell r="J337" t="e">
            <v>#N/A</v>
          </cell>
          <cell r="K337" t="e">
            <v>#N/A</v>
          </cell>
          <cell r="L337" t="e">
            <v>#N/A</v>
          </cell>
          <cell r="M337" t="e">
            <v>#N/A</v>
          </cell>
          <cell r="N337" t="e">
            <v>#N/A</v>
          </cell>
          <cell r="O337" t="e">
            <v>#N/A</v>
          </cell>
          <cell r="P337">
            <v>14</v>
          </cell>
          <cell r="Q337">
            <v>14</v>
          </cell>
          <cell r="R337">
            <v>0</v>
          </cell>
          <cell r="S337" t="e">
            <v>#N/A</v>
          </cell>
          <cell r="T337" t="e">
            <v>#N/A</v>
          </cell>
          <cell r="U337" t="e">
            <v>#N/A</v>
          </cell>
          <cell r="V337" t="e">
            <v>#N/A</v>
          </cell>
          <cell r="W337" t="e">
            <v>#N/A</v>
          </cell>
          <cell r="X337" t="e">
            <v>#N/A</v>
          </cell>
          <cell r="Y337" t="e">
            <v>#N/A</v>
          </cell>
          <cell r="Z337" t="e">
            <v>#N/A</v>
          </cell>
          <cell r="AA337" t="e">
            <v>#N/A</v>
          </cell>
          <cell r="AB337" t="e">
            <v>#N/A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 t="e">
            <v>#N/A</v>
          </cell>
          <cell r="J338" t="e">
            <v>#N/A</v>
          </cell>
          <cell r="K338" t="e">
            <v>#N/A</v>
          </cell>
          <cell r="L338" t="e">
            <v>#N/A</v>
          </cell>
          <cell r="M338" t="e">
            <v>#N/A</v>
          </cell>
          <cell r="N338" t="e">
            <v>#N/A</v>
          </cell>
          <cell r="O338" t="e">
            <v>#N/A</v>
          </cell>
          <cell r="P338">
            <v>14</v>
          </cell>
          <cell r="Q338">
            <v>14</v>
          </cell>
          <cell r="R338">
            <v>0</v>
          </cell>
          <cell r="S338" t="e">
            <v>#N/A</v>
          </cell>
          <cell r="T338" t="e">
            <v>#N/A</v>
          </cell>
          <cell r="U338" t="e">
            <v>#N/A</v>
          </cell>
          <cell r="V338" t="e">
            <v>#N/A</v>
          </cell>
          <cell r="W338" t="e">
            <v>#N/A</v>
          </cell>
          <cell r="X338" t="e">
            <v>#N/A</v>
          </cell>
          <cell r="Y338" t="e">
            <v>#N/A</v>
          </cell>
          <cell r="Z338" t="e">
            <v>#N/A</v>
          </cell>
          <cell r="AA338" t="e">
            <v>#N/A</v>
          </cell>
          <cell r="AB338" t="e">
            <v>#N/A</v>
          </cell>
        </row>
        <row r="339">
          <cell r="A339">
            <v>0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 t="e">
            <v>#N/A</v>
          </cell>
          <cell r="J339" t="e">
            <v>#N/A</v>
          </cell>
          <cell r="K339" t="e">
            <v>#N/A</v>
          </cell>
          <cell r="L339" t="e">
            <v>#N/A</v>
          </cell>
          <cell r="M339" t="e">
            <v>#N/A</v>
          </cell>
          <cell r="N339" t="e">
            <v>#N/A</v>
          </cell>
          <cell r="O339" t="e">
            <v>#N/A</v>
          </cell>
          <cell r="P339">
            <v>14</v>
          </cell>
          <cell r="Q339">
            <v>14</v>
          </cell>
          <cell r="R339">
            <v>0</v>
          </cell>
          <cell r="S339" t="e">
            <v>#N/A</v>
          </cell>
          <cell r="T339" t="e">
            <v>#N/A</v>
          </cell>
          <cell r="U339" t="e">
            <v>#N/A</v>
          </cell>
          <cell r="V339" t="e">
            <v>#N/A</v>
          </cell>
          <cell r="W339" t="e">
            <v>#N/A</v>
          </cell>
          <cell r="X339" t="e">
            <v>#N/A</v>
          </cell>
          <cell r="Y339" t="e">
            <v>#N/A</v>
          </cell>
          <cell r="Z339" t="e">
            <v>#N/A</v>
          </cell>
          <cell r="AA339" t="e">
            <v>#N/A</v>
          </cell>
          <cell r="AB339" t="e">
            <v>#N/A</v>
          </cell>
        </row>
        <row r="340">
          <cell r="A340">
            <v>0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 t="e">
            <v>#N/A</v>
          </cell>
          <cell r="J340" t="e">
            <v>#N/A</v>
          </cell>
          <cell r="K340" t="e">
            <v>#N/A</v>
          </cell>
          <cell r="L340" t="e">
            <v>#N/A</v>
          </cell>
          <cell r="M340" t="e">
            <v>#N/A</v>
          </cell>
          <cell r="N340" t="e">
            <v>#N/A</v>
          </cell>
          <cell r="O340" t="e">
            <v>#N/A</v>
          </cell>
          <cell r="P340">
            <v>14</v>
          </cell>
          <cell r="Q340">
            <v>14</v>
          </cell>
          <cell r="R340">
            <v>0</v>
          </cell>
          <cell r="S340" t="e">
            <v>#N/A</v>
          </cell>
          <cell r="T340" t="e">
            <v>#N/A</v>
          </cell>
          <cell r="U340" t="e">
            <v>#N/A</v>
          </cell>
          <cell r="V340" t="e">
            <v>#N/A</v>
          </cell>
          <cell r="W340" t="e">
            <v>#N/A</v>
          </cell>
          <cell r="X340" t="e">
            <v>#N/A</v>
          </cell>
          <cell r="Y340" t="e">
            <v>#N/A</v>
          </cell>
          <cell r="Z340" t="e">
            <v>#N/A</v>
          </cell>
          <cell r="AA340" t="e">
            <v>#N/A</v>
          </cell>
          <cell r="AB340" t="e">
            <v>#N/A</v>
          </cell>
        </row>
        <row r="341">
          <cell r="A341">
            <v>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 t="e">
            <v>#N/A</v>
          </cell>
          <cell r="J341" t="e">
            <v>#N/A</v>
          </cell>
          <cell r="K341" t="e">
            <v>#N/A</v>
          </cell>
          <cell r="L341" t="e">
            <v>#N/A</v>
          </cell>
          <cell r="M341" t="e">
            <v>#N/A</v>
          </cell>
          <cell r="N341" t="e">
            <v>#N/A</v>
          </cell>
          <cell r="O341" t="e">
            <v>#N/A</v>
          </cell>
          <cell r="P341">
            <v>14</v>
          </cell>
          <cell r="Q341">
            <v>14</v>
          </cell>
          <cell r="R341">
            <v>0</v>
          </cell>
          <cell r="S341" t="e">
            <v>#N/A</v>
          </cell>
          <cell r="T341" t="e">
            <v>#N/A</v>
          </cell>
          <cell r="U341" t="e">
            <v>#N/A</v>
          </cell>
          <cell r="V341" t="e">
            <v>#N/A</v>
          </cell>
          <cell r="W341" t="e">
            <v>#N/A</v>
          </cell>
          <cell r="X341" t="e">
            <v>#N/A</v>
          </cell>
          <cell r="Y341" t="e">
            <v>#N/A</v>
          </cell>
          <cell r="Z341" t="e">
            <v>#N/A</v>
          </cell>
          <cell r="AA341" t="e">
            <v>#N/A</v>
          </cell>
          <cell r="AB341" t="e">
            <v>#N/A</v>
          </cell>
        </row>
        <row r="342">
          <cell r="A342">
            <v>0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 t="e">
            <v>#N/A</v>
          </cell>
          <cell r="J342" t="e">
            <v>#N/A</v>
          </cell>
          <cell r="K342" t="e">
            <v>#N/A</v>
          </cell>
          <cell r="L342" t="e">
            <v>#N/A</v>
          </cell>
          <cell r="M342" t="e">
            <v>#N/A</v>
          </cell>
          <cell r="N342" t="e">
            <v>#N/A</v>
          </cell>
          <cell r="O342" t="e">
            <v>#N/A</v>
          </cell>
          <cell r="P342">
            <v>14</v>
          </cell>
          <cell r="Q342">
            <v>14</v>
          </cell>
          <cell r="R342">
            <v>0</v>
          </cell>
          <cell r="S342" t="e">
            <v>#N/A</v>
          </cell>
          <cell r="T342" t="e">
            <v>#N/A</v>
          </cell>
          <cell r="U342" t="e">
            <v>#N/A</v>
          </cell>
          <cell r="V342" t="e">
            <v>#N/A</v>
          </cell>
          <cell r="W342" t="e">
            <v>#N/A</v>
          </cell>
          <cell r="X342" t="e">
            <v>#N/A</v>
          </cell>
          <cell r="Y342" t="e">
            <v>#N/A</v>
          </cell>
          <cell r="Z342" t="e">
            <v>#N/A</v>
          </cell>
          <cell r="AA342" t="e">
            <v>#N/A</v>
          </cell>
          <cell r="AB342" t="e">
            <v>#N/A</v>
          </cell>
        </row>
        <row r="343">
          <cell r="A343">
            <v>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 t="e">
            <v>#N/A</v>
          </cell>
          <cell r="J343" t="e">
            <v>#N/A</v>
          </cell>
          <cell r="K343" t="e">
            <v>#N/A</v>
          </cell>
          <cell r="L343" t="e">
            <v>#N/A</v>
          </cell>
          <cell r="M343" t="e">
            <v>#N/A</v>
          </cell>
          <cell r="N343" t="e">
            <v>#N/A</v>
          </cell>
          <cell r="O343" t="e">
            <v>#N/A</v>
          </cell>
          <cell r="P343">
            <v>14</v>
          </cell>
          <cell r="Q343">
            <v>14</v>
          </cell>
          <cell r="R343">
            <v>0</v>
          </cell>
          <cell r="S343" t="e">
            <v>#N/A</v>
          </cell>
          <cell r="T343" t="e">
            <v>#N/A</v>
          </cell>
          <cell r="U343" t="e">
            <v>#N/A</v>
          </cell>
          <cell r="V343" t="e">
            <v>#N/A</v>
          </cell>
          <cell r="W343" t="e">
            <v>#N/A</v>
          </cell>
          <cell r="X343" t="e">
            <v>#N/A</v>
          </cell>
          <cell r="Y343" t="e">
            <v>#N/A</v>
          </cell>
          <cell r="Z343" t="e">
            <v>#N/A</v>
          </cell>
          <cell r="AA343" t="e">
            <v>#N/A</v>
          </cell>
          <cell r="AB343" t="e">
            <v>#N/A</v>
          </cell>
        </row>
        <row r="344">
          <cell r="A344">
            <v>0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 t="e">
            <v>#N/A</v>
          </cell>
          <cell r="J344" t="e">
            <v>#N/A</v>
          </cell>
          <cell r="K344" t="e">
            <v>#N/A</v>
          </cell>
          <cell r="L344" t="e">
            <v>#N/A</v>
          </cell>
          <cell r="M344" t="e">
            <v>#N/A</v>
          </cell>
          <cell r="N344" t="e">
            <v>#N/A</v>
          </cell>
          <cell r="O344" t="e">
            <v>#N/A</v>
          </cell>
          <cell r="P344">
            <v>14</v>
          </cell>
          <cell r="Q344">
            <v>14</v>
          </cell>
          <cell r="R344">
            <v>0</v>
          </cell>
          <cell r="S344" t="e">
            <v>#N/A</v>
          </cell>
          <cell r="T344" t="e">
            <v>#N/A</v>
          </cell>
          <cell r="U344" t="e">
            <v>#N/A</v>
          </cell>
          <cell r="V344" t="e">
            <v>#N/A</v>
          </cell>
          <cell r="W344" t="e">
            <v>#N/A</v>
          </cell>
          <cell r="X344" t="e">
            <v>#N/A</v>
          </cell>
          <cell r="Y344" t="e">
            <v>#N/A</v>
          </cell>
          <cell r="Z344" t="e">
            <v>#N/A</v>
          </cell>
          <cell r="AA344" t="e">
            <v>#N/A</v>
          </cell>
          <cell r="AB344" t="e">
            <v>#N/A</v>
          </cell>
        </row>
        <row r="345">
          <cell r="A345">
            <v>0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 t="e">
            <v>#N/A</v>
          </cell>
          <cell r="J345" t="e">
            <v>#N/A</v>
          </cell>
          <cell r="K345" t="e">
            <v>#N/A</v>
          </cell>
          <cell r="L345" t="e">
            <v>#N/A</v>
          </cell>
          <cell r="M345" t="e">
            <v>#N/A</v>
          </cell>
          <cell r="N345" t="e">
            <v>#N/A</v>
          </cell>
          <cell r="O345" t="e">
            <v>#N/A</v>
          </cell>
          <cell r="P345">
            <v>14</v>
          </cell>
          <cell r="Q345">
            <v>14</v>
          </cell>
          <cell r="R345">
            <v>0</v>
          </cell>
          <cell r="S345" t="e">
            <v>#N/A</v>
          </cell>
          <cell r="T345" t="e">
            <v>#N/A</v>
          </cell>
          <cell r="U345" t="e">
            <v>#N/A</v>
          </cell>
          <cell r="V345" t="e">
            <v>#N/A</v>
          </cell>
          <cell r="W345" t="e">
            <v>#N/A</v>
          </cell>
          <cell r="X345" t="e">
            <v>#N/A</v>
          </cell>
          <cell r="Y345" t="e">
            <v>#N/A</v>
          </cell>
          <cell r="Z345" t="e">
            <v>#N/A</v>
          </cell>
          <cell r="AA345" t="e">
            <v>#N/A</v>
          </cell>
          <cell r="AB345" t="e">
            <v>#N/A</v>
          </cell>
        </row>
        <row r="346">
          <cell r="A346">
            <v>0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 t="e">
            <v>#N/A</v>
          </cell>
          <cell r="J346" t="e">
            <v>#N/A</v>
          </cell>
          <cell r="K346" t="e">
            <v>#N/A</v>
          </cell>
          <cell r="L346" t="e">
            <v>#N/A</v>
          </cell>
          <cell r="M346" t="e">
            <v>#N/A</v>
          </cell>
          <cell r="N346" t="e">
            <v>#N/A</v>
          </cell>
          <cell r="O346" t="e">
            <v>#N/A</v>
          </cell>
          <cell r="P346">
            <v>14</v>
          </cell>
          <cell r="Q346">
            <v>14</v>
          </cell>
          <cell r="R346">
            <v>0</v>
          </cell>
          <cell r="S346" t="e">
            <v>#N/A</v>
          </cell>
          <cell r="T346" t="e">
            <v>#N/A</v>
          </cell>
          <cell r="U346" t="e">
            <v>#N/A</v>
          </cell>
          <cell r="V346" t="e">
            <v>#N/A</v>
          </cell>
          <cell r="W346" t="e">
            <v>#N/A</v>
          </cell>
          <cell r="X346" t="e">
            <v>#N/A</v>
          </cell>
          <cell r="Y346" t="e">
            <v>#N/A</v>
          </cell>
          <cell r="Z346" t="e">
            <v>#N/A</v>
          </cell>
          <cell r="AA346" t="e">
            <v>#N/A</v>
          </cell>
          <cell r="AB346" t="e">
            <v>#N/A</v>
          </cell>
        </row>
        <row r="347">
          <cell r="A347">
            <v>0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 t="e">
            <v>#N/A</v>
          </cell>
          <cell r="J347" t="e">
            <v>#N/A</v>
          </cell>
          <cell r="K347" t="e">
            <v>#N/A</v>
          </cell>
          <cell r="L347" t="e">
            <v>#N/A</v>
          </cell>
          <cell r="M347" t="e">
            <v>#N/A</v>
          </cell>
          <cell r="N347" t="e">
            <v>#N/A</v>
          </cell>
          <cell r="O347" t="e">
            <v>#N/A</v>
          </cell>
          <cell r="P347">
            <v>14</v>
          </cell>
          <cell r="Q347">
            <v>14</v>
          </cell>
          <cell r="R347">
            <v>0</v>
          </cell>
          <cell r="S347" t="e">
            <v>#N/A</v>
          </cell>
          <cell r="T347" t="e">
            <v>#N/A</v>
          </cell>
          <cell r="U347" t="e">
            <v>#N/A</v>
          </cell>
          <cell r="V347" t="e">
            <v>#N/A</v>
          </cell>
          <cell r="W347" t="e">
            <v>#N/A</v>
          </cell>
          <cell r="X347" t="e">
            <v>#N/A</v>
          </cell>
          <cell r="Y347" t="e">
            <v>#N/A</v>
          </cell>
          <cell r="Z347" t="e">
            <v>#N/A</v>
          </cell>
          <cell r="AA347" t="e">
            <v>#N/A</v>
          </cell>
          <cell r="AB347" t="e">
            <v>#N/A</v>
          </cell>
        </row>
        <row r="348">
          <cell r="A348">
            <v>0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 t="e">
            <v>#N/A</v>
          </cell>
          <cell r="J348" t="e">
            <v>#N/A</v>
          </cell>
          <cell r="K348" t="e">
            <v>#N/A</v>
          </cell>
          <cell r="L348" t="e">
            <v>#N/A</v>
          </cell>
          <cell r="M348" t="e">
            <v>#N/A</v>
          </cell>
          <cell r="N348" t="e">
            <v>#N/A</v>
          </cell>
          <cell r="O348" t="e">
            <v>#N/A</v>
          </cell>
          <cell r="P348">
            <v>14</v>
          </cell>
          <cell r="Q348">
            <v>14</v>
          </cell>
          <cell r="R348">
            <v>0</v>
          </cell>
          <cell r="S348" t="e">
            <v>#N/A</v>
          </cell>
          <cell r="T348" t="e">
            <v>#N/A</v>
          </cell>
          <cell r="U348" t="e">
            <v>#N/A</v>
          </cell>
          <cell r="V348" t="e">
            <v>#N/A</v>
          </cell>
          <cell r="W348" t="e">
            <v>#N/A</v>
          </cell>
          <cell r="X348" t="e">
            <v>#N/A</v>
          </cell>
          <cell r="Y348" t="e">
            <v>#N/A</v>
          </cell>
          <cell r="Z348" t="e">
            <v>#N/A</v>
          </cell>
          <cell r="AA348" t="e">
            <v>#N/A</v>
          </cell>
          <cell r="AB348" t="e">
            <v>#N/A</v>
          </cell>
        </row>
        <row r="349">
          <cell r="A349">
            <v>0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  <cell r="N349" t="e">
            <v>#N/A</v>
          </cell>
          <cell r="O349" t="e">
            <v>#N/A</v>
          </cell>
          <cell r="P349">
            <v>14</v>
          </cell>
          <cell r="Q349">
            <v>14</v>
          </cell>
          <cell r="R349">
            <v>0</v>
          </cell>
          <cell r="S349" t="e">
            <v>#N/A</v>
          </cell>
          <cell r="T349" t="e">
            <v>#N/A</v>
          </cell>
          <cell r="U349" t="e">
            <v>#N/A</v>
          </cell>
          <cell r="V349" t="e">
            <v>#N/A</v>
          </cell>
          <cell r="W349" t="e">
            <v>#N/A</v>
          </cell>
          <cell r="X349" t="e">
            <v>#N/A</v>
          </cell>
          <cell r="Y349" t="e">
            <v>#N/A</v>
          </cell>
          <cell r="Z349" t="e">
            <v>#N/A</v>
          </cell>
          <cell r="AA349" t="e">
            <v>#N/A</v>
          </cell>
          <cell r="AB349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P67"/>
  <sheetViews>
    <sheetView zoomScale="80" zoomScaleNormal="80" workbookViewId="0">
      <selection activeCell="D67" sqref="D67"/>
    </sheetView>
  </sheetViews>
  <sheetFormatPr defaultRowHeight="15" x14ac:dyDescent="0.25"/>
  <cols>
    <col min="1" max="1" width="21.42578125" bestFit="1" customWidth="1"/>
    <col min="2" max="2" width="41.28515625" customWidth="1"/>
    <col min="3" max="3" width="6.7109375" customWidth="1"/>
    <col min="4" max="5" width="19.7109375" customWidth="1"/>
    <col min="6" max="6" width="16" customWidth="1"/>
    <col min="7" max="7" width="10.7109375" customWidth="1"/>
    <col min="8" max="8" width="12.42578125" customWidth="1"/>
    <col min="11" max="11" width="10.42578125" bestFit="1" customWidth="1"/>
    <col min="16" max="16" width="10.5703125" bestFit="1" customWidth="1"/>
  </cols>
  <sheetData>
    <row r="1" spans="1:14" ht="24.95" customHeight="1" x14ac:dyDescent="0.25">
      <c r="A1" s="123" t="s">
        <v>0</v>
      </c>
      <c r="B1" s="124"/>
      <c r="C1" s="124"/>
      <c r="D1" s="124"/>
      <c r="E1" s="124"/>
      <c r="F1" s="124"/>
      <c r="G1" s="125"/>
    </row>
    <row r="2" spans="1:14" ht="15" customHeight="1" x14ac:dyDescent="0.25">
      <c r="A2" s="31"/>
      <c r="B2" s="31"/>
      <c r="C2" s="31"/>
      <c r="D2" s="31"/>
      <c r="E2" s="31"/>
      <c r="F2" s="1" t="s">
        <v>8</v>
      </c>
      <c r="G2" s="2"/>
    </row>
    <row r="3" spans="1:14" ht="15" customHeight="1" x14ac:dyDescent="0.25">
      <c r="A3" s="31"/>
      <c r="B3" s="31"/>
      <c r="C3" s="31"/>
      <c r="D3" s="31"/>
      <c r="E3" s="31"/>
      <c r="F3" s="1" t="s">
        <v>9</v>
      </c>
      <c r="G3" s="3"/>
    </row>
    <row r="4" spans="1:14" x14ac:dyDescent="0.25">
      <c r="F4" s="1" t="s">
        <v>10</v>
      </c>
      <c r="G4" s="4"/>
      <c r="I4" t="s">
        <v>65</v>
      </c>
      <c r="J4" t="s">
        <v>65</v>
      </c>
    </row>
    <row r="5" spans="1:14" ht="29.25" customHeight="1" x14ac:dyDescent="0.25">
      <c r="A5" s="32" t="s">
        <v>1</v>
      </c>
      <c r="B5" s="32" t="s">
        <v>7</v>
      </c>
      <c r="C5" s="32" t="s">
        <v>6</v>
      </c>
      <c r="D5" s="32" t="s">
        <v>2</v>
      </c>
      <c r="E5" s="32" t="s">
        <v>3</v>
      </c>
      <c r="F5" s="32" t="s">
        <v>5</v>
      </c>
      <c r="G5" s="32" t="s">
        <v>4</v>
      </c>
      <c r="I5" s="44" t="s">
        <v>59</v>
      </c>
      <c r="J5" s="44" t="s">
        <v>58</v>
      </c>
    </row>
    <row r="6" spans="1:14" ht="23.25" hidden="1" x14ac:dyDescent="0.25">
      <c r="A6" s="9" t="s">
        <v>237</v>
      </c>
      <c r="B6" s="8" t="str">
        <f>VLOOKUP(A6,'Date Calcs'!A:B,2,)</f>
        <v>SYMS Engineering</v>
      </c>
      <c r="C6" s="9">
        <f>VLOOKUP(A6,'Actual Dates'!A:AF,18,)</f>
        <v>4</v>
      </c>
      <c r="D6" s="10">
        <f>IF(C6=0,VLOOKUP(A6,'Date Calcs'!A:AF,8,),IF(C6=1,VLOOKUP(A6,'Date Calcs'!A:AF,10,),IF(C6=2,VLOOKUP(A6,'Date Calcs'!A:AF,12,),IF(C6=3,VLOOKUP(A6,'Date Calcs'!A:AF,14,),4))))</f>
        <v>4</v>
      </c>
      <c r="E6" s="10"/>
      <c r="F6" s="9">
        <f ca="1">ROUND(IF(A6="","",IF(E6=0,D6-Date!$B$3,D6-E6)),0)</f>
        <v>-46069</v>
      </c>
      <c r="G6" s="9"/>
      <c r="I6" s="76" t="str">
        <f t="shared" ref="I6:I8" si="0">IF(VLOOKUP(A6,Dates,2,)="N","N",IF(VLOOKUP(A6,Dates,3,)="N","N",IF(VLOOKUP(A6,Dates,4,)="N","N",IF(VLOOKUP(A6,Dates,5,)="N","N","Y"))))</f>
        <v>Y</v>
      </c>
      <c r="J6" s="76" t="str">
        <f t="shared" ref="J6:J8" si="1">VLOOKUP(A6,Dates,7,)</f>
        <v>y</v>
      </c>
      <c r="K6" s="65"/>
      <c r="L6" s="65"/>
      <c r="M6" s="65"/>
      <c r="N6" s="65"/>
    </row>
    <row r="7" spans="1:14" ht="23.25" hidden="1" x14ac:dyDescent="0.25">
      <c r="A7" s="9" t="s">
        <v>238</v>
      </c>
      <c r="B7" s="8" t="e">
        <f>VLOOKUP(A7,'Date Calcs'!A:B,2,)</f>
        <v>#N/A</v>
      </c>
      <c r="C7" s="9" t="e">
        <f>VLOOKUP(A7,'Actual Dates'!A:AF,18,)</f>
        <v>#N/A</v>
      </c>
      <c r="D7" s="10" t="e">
        <f>IF(C7=0,VLOOKUP(A7,'Date Calcs'!A:AF,8,),IF(C7=1,VLOOKUP(A7,'Date Calcs'!A:AF,10,),IF(C7=2,VLOOKUP(A7,'Date Calcs'!A:AF,12,),IF(C7=3,VLOOKUP(A7,'Date Calcs'!A:AF,14,),4))))</f>
        <v>#N/A</v>
      </c>
      <c r="E7" s="10"/>
      <c r="F7" s="9" t="e">
        <f ca="1">ROUND(IF(A7="","",IF(E7=0,D7-Date!$B$3,D7-E7)),0)</f>
        <v>#N/A</v>
      </c>
      <c r="G7" s="9"/>
      <c r="I7" s="76" t="e">
        <f t="shared" si="0"/>
        <v>#N/A</v>
      </c>
      <c r="J7" s="76" t="e">
        <f t="shared" si="1"/>
        <v>#N/A</v>
      </c>
      <c r="K7" s="65"/>
      <c r="L7" s="65"/>
      <c r="M7" s="65"/>
      <c r="N7" s="65"/>
    </row>
    <row r="8" spans="1:14" ht="23.25" hidden="1" x14ac:dyDescent="0.25">
      <c r="A8" s="9" t="s">
        <v>239</v>
      </c>
      <c r="B8" s="8" t="e">
        <f>VLOOKUP(A8,'Date Calcs'!A:B,2,)</f>
        <v>#N/A</v>
      </c>
      <c r="C8" s="9" t="e">
        <f>VLOOKUP(A8,'Actual Dates'!A:AF,18,)</f>
        <v>#N/A</v>
      </c>
      <c r="D8" s="10" t="e">
        <f>IF(C8=0,VLOOKUP(A8,'Date Calcs'!A:AF,8,),IF(C8=1,VLOOKUP(A8,'Date Calcs'!A:AF,10,),IF(C8=2,VLOOKUP(A8,'Date Calcs'!A:AF,12,),IF(C8=3,VLOOKUP(A8,'Date Calcs'!A:AF,14,),4))))</f>
        <v>#N/A</v>
      </c>
      <c r="E8" s="10"/>
      <c r="F8" s="9" t="e">
        <f ca="1">ROUND(IF(A8="","",IF(E8=0,D8-Date!$B$3,D8-E8)),0)</f>
        <v>#N/A</v>
      </c>
      <c r="G8" s="9"/>
      <c r="I8" s="76" t="e">
        <f t="shared" si="0"/>
        <v>#N/A</v>
      </c>
      <c r="J8" s="76" t="e">
        <f t="shared" si="1"/>
        <v>#N/A</v>
      </c>
      <c r="K8" s="65"/>
      <c r="L8" s="65"/>
      <c r="M8" s="65"/>
      <c r="N8" s="65"/>
    </row>
    <row r="9" spans="1:14" ht="23.25" hidden="1" x14ac:dyDescent="0.35">
      <c r="A9" s="93" t="s">
        <v>275</v>
      </c>
      <c r="B9" s="8" t="str">
        <f>VLOOKUP(A9,'Date Calcs'!A:B,2,)</f>
        <v>Kraton</v>
      </c>
      <c r="C9" s="9">
        <f>VLOOKUP(A9,'Actual Dates'!A:AF,18,)</f>
        <v>4</v>
      </c>
      <c r="D9" s="10">
        <f>IF(C9=0,VLOOKUP(A9,'Date Calcs'!A:AF,8,),IF(C9=1,VLOOKUP(A9,'Date Calcs'!A:AF,10,),IF(C9=2,VLOOKUP(A9,'Date Calcs'!A:AF,12,),IF(C9=3,VLOOKUP(A9,'Date Calcs'!A:AF,14,),4))))</f>
        <v>4</v>
      </c>
      <c r="E9" s="10"/>
      <c r="F9" s="9">
        <f ca="1">ROUND(IF(A9="","",IF(E9=0,D9-Date!$B$3,D9-E9)),0)</f>
        <v>-46069</v>
      </c>
      <c r="G9" s="9"/>
      <c r="I9" s="76" t="str">
        <f t="shared" ref="I9:I12" si="2">IF(VLOOKUP(A9,Dates,2,)="N","N",IF(VLOOKUP(A9,Dates,3,)="N","N",IF(VLOOKUP(A9,Dates,4,)="N","N",IF(VLOOKUP(A9,Dates,5,)="N","N","Y"))))</f>
        <v>Y</v>
      </c>
      <c r="J9" s="76" t="str">
        <f t="shared" ref="J9:J12" si="3">VLOOKUP(A9,Dates,7,)</f>
        <v>y</v>
      </c>
    </row>
    <row r="10" spans="1:14" ht="23.25" x14ac:dyDescent="0.35">
      <c r="A10" s="93" t="s">
        <v>276</v>
      </c>
      <c r="B10" s="8" t="str">
        <f>VLOOKUP(A10,'Date Calcs'!A:B,2,)</f>
        <v>Andritz</v>
      </c>
      <c r="C10" s="9">
        <f>VLOOKUP(A10,'Actual Dates'!A:AF,18,)</f>
        <v>0</v>
      </c>
      <c r="D10" s="10">
        <f>IF(C10=0,VLOOKUP(A10,'Date Calcs'!A:AF,8,),IF(C10=1,VLOOKUP(A10,'Date Calcs'!A:AF,10,),IF(C10=2,VLOOKUP(A10,'Date Calcs'!A:AF,12,),IF(C10=3,VLOOKUP(A10,'Date Calcs'!A:AF,14,),4))))</f>
        <v>46027</v>
      </c>
      <c r="E10" s="10"/>
      <c r="F10" s="9">
        <f ca="1">ROUND(IF(A10="","",IF(E10=0,D10-Date!$B$3,D10-E10)),0)</f>
        <v>-46</v>
      </c>
      <c r="G10" s="9"/>
      <c r="I10" s="76" t="str">
        <f t="shared" si="2"/>
        <v>N</v>
      </c>
      <c r="J10" s="76" t="str">
        <f t="shared" si="3"/>
        <v xml:space="preserve">  </v>
      </c>
      <c r="K10" t="s">
        <v>323</v>
      </c>
    </row>
    <row r="11" spans="1:14" ht="23.25" hidden="1" x14ac:dyDescent="0.35">
      <c r="A11" s="93" t="s">
        <v>277</v>
      </c>
      <c r="B11" s="8" t="str">
        <f>VLOOKUP(A11,'Date Calcs'!A:B,2,)</f>
        <v>Chromascape</v>
      </c>
      <c r="C11" s="9">
        <f>VLOOKUP(A11,'Actual Dates'!A:AF,18,)</f>
        <v>3</v>
      </c>
      <c r="D11" s="10">
        <f>IF(C11=0,VLOOKUP(A11,'Date Calcs'!A:AF,8,),IF(C11=1,VLOOKUP(A11,'Date Calcs'!A:AF,10,),IF(C11=2,VLOOKUP(A11,'Date Calcs'!A:AF,12,),IF(C11=3,VLOOKUP(A11,'Date Calcs'!A:AF,14,),4))))</f>
        <v>45869</v>
      </c>
      <c r="E11" s="10"/>
      <c r="F11" s="9">
        <f ca="1">ROUND(IF(A11="","",IF(E11=0,D11-Date!$B$3,D11-E11)),0)</f>
        <v>-204</v>
      </c>
      <c r="G11" s="9"/>
      <c r="I11" s="76" t="str">
        <f t="shared" si="2"/>
        <v>Y</v>
      </c>
      <c r="J11" s="76" t="str">
        <f t="shared" si="3"/>
        <v>y</v>
      </c>
    </row>
    <row r="12" spans="1:14" ht="23.25" hidden="1" x14ac:dyDescent="0.35">
      <c r="A12" s="93" t="s">
        <v>279</v>
      </c>
      <c r="B12" s="8" t="str">
        <f>VLOOKUP(A12,'Date Calcs'!A:B,2,)</f>
        <v>Airgas</v>
      </c>
      <c r="C12" s="9">
        <f>VLOOKUP(A12,'Actual Dates'!A:AF,18,)</f>
        <v>2</v>
      </c>
      <c r="D12" s="10">
        <f>IF(C12=0,VLOOKUP(A12,'Date Calcs'!A:AF,8,),IF(C12=1,VLOOKUP(A12,'Date Calcs'!A:AF,10,),IF(C12=2,VLOOKUP(A12,'Date Calcs'!A:AF,12,),IF(C12=3,VLOOKUP(A12,'Date Calcs'!A:AF,14,),4))))</f>
        <v>46022</v>
      </c>
      <c r="E12" s="10"/>
      <c r="F12" s="9">
        <f ca="1">ROUND(IF(A12="","",IF(E12=0,D12-Date!$B$3,D12-E12)),0)</f>
        <v>-51</v>
      </c>
      <c r="G12" s="9"/>
      <c r="I12" s="76" t="str">
        <f t="shared" si="2"/>
        <v>Y</v>
      </c>
      <c r="J12" s="76" t="str">
        <f t="shared" si="3"/>
        <v>y</v>
      </c>
    </row>
    <row r="13" spans="1:14" ht="23.25" hidden="1" x14ac:dyDescent="0.35">
      <c r="A13" s="93" t="s">
        <v>303</v>
      </c>
      <c r="B13" s="8" t="str">
        <f>VLOOKUP(A13,'Date Calcs'!A:B,2,)</f>
        <v>Epic Systems</v>
      </c>
      <c r="C13" s="9">
        <f>VLOOKUP(A13,'Actual Dates'!A:AF,18,)</f>
        <v>3</v>
      </c>
      <c r="D13" s="10">
        <f>IF(C13=0,VLOOKUP(A13,'Date Calcs'!A:AF,8,),IF(C13=1,VLOOKUP(A13,'Date Calcs'!A:AF,10,),IF(C13=2,VLOOKUP(A13,'Date Calcs'!A:AF,12,),IF(C13=3,VLOOKUP(A13,'Date Calcs'!A:AF,14,),4))))</f>
        <v>45908</v>
      </c>
      <c r="E13" s="10"/>
      <c r="F13" s="9">
        <f ca="1">ROUND(IF(A13="","",IF(E13=0,D13-Date!$B$3,D13-E13)),0)</f>
        <v>-165</v>
      </c>
      <c r="G13" s="9"/>
      <c r="I13" s="76" t="str">
        <f t="shared" ref="I13:I20" si="4">IF(VLOOKUP(A13,Dates,2,)="N","N",IF(VLOOKUP(A13,Dates,3,)="N","N",IF(VLOOKUP(A13,Dates,4,)="N","N",IF(VLOOKUP(A13,Dates,5,)="N","N","Y"))))</f>
        <v>Y</v>
      </c>
      <c r="J13" s="76" t="str">
        <f t="shared" ref="J13:J20" si="5">VLOOKUP(A13,Dates,7,)</f>
        <v>y</v>
      </c>
    </row>
    <row r="14" spans="1:14" ht="23.25" hidden="1" x14ac:dyDescent="0.35">
      <c r="A14" s="93" t="s">
        <v>304</v>
      </c>
      <c r="B14" s="8" t="str">
        <f>VLOOKUP(A14,'Date Calcs'!A:B,2,)</f>
        <v>Epic Systems</v>
      </c>
      <c r="C14" s="9">
        <f>VLOOKUP(A14,'Actual Dates'!A:AF,18,)</f>
        <v>3</v>
      </c>
      <c r="D14" s="10">
        <f>IF(C14=0,VLOOKUP(A14,'Date Calcs'!A:AF,8,),IF(C14=1,VLOOKUP(A14,'Date Calcs'!A:AF,10,),IF(C14=2,VLOOKUP(A14,'Date Calcs'!A:AF,12,),IF(C14=3,VLOOKUP(A14,'Date Calcs'!A:AF,14,),4))))</f>
        <v>45908</v>
      </c>
      <c r="E14" s="10"/>
      <c r="F14" s="9">
        <f ca="1">ROUND(IF(A14="","",IF(E14=0,D14-Date!$B$3,D14-E14)),0)</f>
        <v>-165</v>
      </c>
      <c r="G14" s="9"/>
      <c r="I14" s="76" t="str">
        <f t="shared" si="4"/>
        <v>Y</v>
      </c>
      <c r="J14" s="76" t="str">
        <f t="shared" si="5"/>
        <v>y</v>
      </c>
    </row>
    <row r="15" spans="1:14" ht="23.25" hidden="1" x14ac:dyDescent="0.35">
      <c r="A15" s="93" t="s">
        <v>305</v>
      </c>
      <c r="B15" s="8" t="str">
        <f>VLOOKUP(A15,'Date Calcs'!A:B,2,)</f>
        <v>Epic Systems</v>
      </c>
      <c r="C15" s="9">
        <f>VLOOKUP(A15,'Actual Dates'!A:AF,18,)</f>
        <v>3</v>
      </c>
      <c r="D15" s="10">
        <f>IF(C15=0,VLOOKUP(A15,'Date Calcs'!A:AF,8,),IF(C15=1,VLOOKUP(A15,'Date Calcs'!A:AF,10,),IF(C15=2,VLOOKUP(A15,'Date Calcs'!A:AF,12,),IF(C15=3,VLOOKUP(A15,'Date Calcs'!A:AF,14,),4))))</f>
        <v>45908</v>
      </c>
      <c r="E15" s="10"/>
      <c r="F15" s="9">
        <f ca="1">ROUND(IF(A15="","",IF(E15=0,D15-Date!$B$3,D15-E15)),0)</f>
        <v>-165</v>
      </c>
      <c r="G15" s="9"/>
      <c r="I15" s="76" t="str">
        <f t="shared" si="4"/>
        <v>Y</v>
      </c>
      <c r="J15" s="76" t="str">
        <f t="shared" si="5"/>
        <v>y</v>
      </c>
    </row>
    <row r="16" spans="1:14" ht="23.25" hidden="1" x14ac:dyDescent="0.35">
      <c r="A16" s="93" t="s">
        <v>306</v>
      </c>
      <c r="B16" s="8" t="str">
        <f>VLOOKUP(A16,'Date Calcs'!A:B,2,)</f>
        <v>Domtar</v>
      </c>
      <c r="C16" s="9">
        <f>VLOOKUP(A16,'Actual Dates'!A:AF,18,)</f>
        <v>2</v>
      </c>
      <c r="D16" s="10">
        <f>IF(C16=0,VLOOKUP(A16,'Date Calcs'!A:AF,8,),IF(C16=1,VLOOKUP(A16,'Date Calcs'!A:AF,10,),IF(C16=2,VLOOKUP(A16,'Date Calcs'!A:AF,12,),IF(C16=3,VLOOKUP(A16,'Date Calcs'!A:AF,14,),4))))</f>
        <v>45904</v>
      </c>
      <c r="E16" s="10"/>
      <c r="F16" s="9">
        <f ca="1">ROUND(IF(A16="","",IF(E16=0,D16-Date!$B$3,D16-E16)),0)</f>
        <v>-169</v>
      </c>
      <c r="G16" s="9"/>
      <c r="I16" s="76" t="str">
        <f t="shared" si="4"/>
        <v>Y</v>
      </c>
      <c r="J16" s="76" t="str">
        <f t="shared" si="5"/>
        <v>y</v>
      </c>
    </row>
    <row r="17" spans="1:12" ht="23.25" hidden="1" x14ac:dyDescent="0.35">
      <c r="A17" s="93" t="s">
        <v>311</v>
      </c>
      <c r="B17" s="8" t="str">
        <f>VLOOKUP(A17,'Date Calcs'!A:B,2,)</f>
        <v>Synthomer</v>
      </c>
      <c r="C17" s="9">
        <f>VLOOKUP(A17,'Actual Dates'!A:AF,18,)</f>
        <v>3</v>
      </c>
      <c r="D17" s="10">
        <f>IF(C17=0,VLOOKUP(A17,'Date Calcs'!A:AF,8,),IF(C17=1,VLOOKUP(A17,'Date Calcs'!A:AF,10,),IF(C17=2,VLOOKUP(A17,'Date Calcs'!A:AF,12,),IF(C17=3,VLOOKUP(A17,'Date Calcs'!A:AF,14,),4))))</f>
        <v>46062</v>
      </c>
      <c r="E17" s="10"/>
      <c r="F17" s="9">
        <f ca="1">ROUND(IF(A17="","",IF(E17=0,D17-Date!$B$3,D17-E17)),0)</f>
        <v>-11</v>
      </c>
      <c r="G17" s="9"/>
      <c r="I17" s="76" t="str">
        <f t="shared" ref="I17:I19" si="6">IF(VLOOKUP(A17,Dates,2,)="N","N",IF(VLOOKUP(A17,Dates,3,)="N","N",IF(VLOOKUP(A17,Dates,4,)="N","N",IF(VLOOKUP(A17,Dates,5,)="N","N","Y"))))</f>
        <v>N</v>
      </c>
      <c r="J17" s="76" t="str">
        <f t="shared" ref="J17:J19" si="7">VLOOKUP(A17,Dates,7,)</f>
        <v>y</v>
      </c>
    </row>
    <row r="18" spans="1:12" ht="23.25" hidden="1" x14ac:dyDescent="0.35">
      <c r="A18" s="93" t="s">
        <v>313</v>
      </c>
      <c r="B18" s="8" t="str">
        <f>VLOOKUP(A18,'Date Calcs'!A:B,2,)</f>
        <v>Atlas Minerals</v>
      </c>
      <c r="C18" s="9">
        <f>VLOOKUP(A18,'Actual Dates'!A:AF,18,)</f>
        <v>4</v>
      </c>
      <c r="D18" s="10">
        <f>IF(C18=0,VLOOKUP(A18,'Date Calcs'!A:AF,8,),IF(C18=1,VLOOKUP(A18,'Date Calcs'!A:AF,10,),IF(C18=2,VLOOKUP(A18,'Date Calcs'!A:AF,12,),IF(C18=3,VLOOKUP(A18,'Date Calcs'!A:AF,14,),4))))</f>
        <v>4</v>
      </c>
      <c r="E18" s="10"/>
      <c r="F18" s="9">
        <f ca="1">ROUND(IF(A18="","",IF(E18=0,D18-Date!$B$3,D18-E18)),0)</f>
        <v>-46069</v>
      </c>
      <c r="G18" s="9"/>
      <c r="I18" s="76" t="str">
        <f t="shared" si="6"/>
        <v>Y</v>
      </c>
      <c r="J18" s="76" t="str">
        <f t="shared" si="7"/>
        <v>y</v>
      </c>
    </row>
    <row r="19" spans="1:12" ht="23.25" hidden="1" x14ac:dyDescent="0.35">
      <c r="A19" s="93" t="s">
        <v>315</v>
      </c>
      <c r="B19" s="8" t="str">
        <f>VLOOKUP(A19,'Date Calcs'!A:B,2,)</f>
        <v>Noah Industrial</v>
      </c>
      <c r="C19" s="9">
        <f>VLOOKUP(A19,'Actual Dates'!A:AF,18,)</f>
        <v>2</v>
      </c>
      <c r="D19" s="10">
        <f>IF(C19=0,VLOOKUP(A19,'Date Calcs'!A:AF,8,),IF(C19=1,VLOOKUP(A19,'Date Calcs'!A:AF,10,),IF(C19=2,VLOOKUP(A19,'Date Calcs'!A:AF,12,),IF(C19=3,VLOOKUP(A19,'Date Calcs'!A:AF,14,),4))))</f>
        <v>45902</v>
      </c>
      <c r="E19" s="10"/>
      <c r="F19" s="9">
        <f ca="1">ROUND(IF(A19="","",IF(E19=0,D19-Date!$B$3,D19-E19)),0)</f>
        <v>-171</v>
      </c>
      <c r="G19" s="9"/>
      <c r="I19" s="76" t="str">
        <f t="shared" si="6"/>
        <v>Y</v>
      </c>
      <c r="J19" s="76" t="str">
        <f t="shared" si="7"/>
        <v>y</v>
      </c>
    </row>
    <row r="20" spans="1:12" ht="23.25" hidden="1" x14ac:dyDescent="0.35">
      <c r="A20" s="93" t="s">
        <v>317</v>
      </c>
      <c r="B20" s="8" t="str">
        <f>VLOOKUP(A20,'Date Calcs'!A:B,2,)</f>
        <v>Solvay</v>
      </c>
      <c r="C20" s="9">
        <f>VLOOKUP(A20,'Actual Dates'!A:AF,18,)</f>
        <v>2</v>
      </c>
      <c r="D20" s="10">
        <f>IF(C20=0,VLOOKUP(A20,'Date Calcs'!A:AF,8,),IF(C20=1,VLOOKUP(A20,'Date Calcs'!A:AF,10,),IF(C20=2,VLOOKUP(A20,'Date Calcs'!A:AF,12,),IF(C20=3,VLOOKUP(A20,'Date Calcs'!A:AF,14,),4))))</f>
        <v>45929</v>
      </c>
      <c r="E20" s="10"/>
      <c r="F20" s="9">
        <f ca="1">ROUND(IF(A20="","",IF(E20=0,D20-Date!$B$3,D20-E20)),0)</f>
        <v>-144</v>
      </c>
      <c r="G20" s="9"/>
      <c r="I20" s="76" t="str">
        <f t="shared" si="4"/>
        <v>Y</v>
      </c>
      <c r="J20" s="76" t="str">
        <f t="shared" si="5"/>
        <v>y</v>
      </c>
    </row>
    <row r="21" spans="1:12" ht="23.25" hidden="1" x14ac:dyDescent="0.35">
      <c r="A21" s="93" t="s">
        <v>318</v>
      </c>
      <c r="B21" s="8" t="str">
        <f>VLOOKUP(A21,'Date Calcs'!A:B,2,)</f>
        <v>CIL Isotopes</v>
      </c>
      <c r="C21" s="9">
        <f>VLOOKUP(A21,'Actual Dates'!A:AF,18,)</f>
        <v>2</v>
      </c>
      <c r="D21" s="10">
        <f>IF(C21=0,VLOOKUP(A21,'Date Calcs'!A:AF,8,),IF(C21=1,VLOOKUP(A21,'Date Calcs'!A:AF,10,),IF(C21=2,VLOOKUP(A21,'Date Calcs'!A:AF,12,),IF(C21=3,VLOOKUP(A21,'Date Calcs'!A:AF,14,),4))))</f>
        <v>45929</v>
      </c>
      <c r="E21" s="10"/>
      <c r="F21" s="9">
        <f ca="1">ROUND(IF(A21="","",IF(E21=0,D21-Date!$B$3,D21-E21)),0)</f>
        <v>-144</v>
      </c>
      <c r="G21" s="9"/>
      <c r="I21" s="76" t="str">
        <f t="shared" ref="I21:I44" si="8">IF(VLOOKUP(A21,Dates,2,)="N","N",IF(VLOOKUP(A21,Dates,3,)="N","N",IF(VLOOKUP(A21,Dates,4,)="N","N",IF(VLOOKUP(A21,Dates,5,)="N","N","Y"))))</f>
        <v>Y</v>
      </c>
      <c r="J21" s="76" t="str">
        <f t="shared" ref="J21:J44" si="9">VLOOKUP(A21,Dates,7,)</f>
        <v>y</v>
      </c>
    </row>
    <row r="22" spans="1:12" ht="23.25" hidden="1" x14ac:dyDescent="0.35">
      <c r="A22" s="93" t="s">
        <v>319</v>
      </c>
      <c r="B22" s="8" t="str">
        <f>VLOOKUP(A22,'Date Calcs'!A:B,2,)</f>
        <v>Valmet</v>
      </c>
      <c r="C22" s="9">
        <f>VLOOKUP(A22,'Actual Dates'!A:AF,18,)</f>
        <v>2</v>
      </c>
      <c r="D22" s="10">
        <f>IF(C22=0,VLOOKUP(A22,'Date Calcs'!A:AF,8,),IF(C22=1,VLOOKUP(A22,'Date Calcs'!A:AF,10,),IF(C22=2,VLOOKUP(A22,'Date Calcs'!A:AF,12,),IF(C22=3,VLOOKUP(A22,'Date Calcs'!A:AF,14,),4))))</f>
        <v>46009</v>
      </c>
      <c r="E22" s="10"/>
      <c r="F22" s="9">
        <f ca="1">ROUND(IF(A22="","",IF(E22=0,D22-Date!$B$3,D22-E22)),0)</f>
        <v>-64</v>
      </c>
      <c r="G22" s="9"/>
      <c r="I22" s="76" t="str">
        <f t="shared" si="8"/>
        <v>Y</v>
      </c>
      <c r="J22" s="76" t="str">
        <f t="shared" si="9"/>
        <v>y</v>
      </c>
      <c r="L22" s="95" t="s">
        <v>355</v>
      </c>
    </row>
    <row r="23" spans="1:12" ht="23.25" hidden="1" customHeight="1" x14ac:dyDescent="0.35">
      <c r="A23" s="93" t="s">
        <v>320</v>
      </c>
      <c r="B23" s="8" t="str">
        <f>VLOOKUP(A23,'Date Calcs'!A:B,2,)</f>
        <v>GAF</v>
      </c>
      <c r="C23" s="9">
        <f>VLOOKUP(A23,'Actual Dates'!A:AF,18,)</f>
        <v>1</v>
      </c>
      <c r="D23" s="10">
        <f>IF(C23=0,VLOOKUP(A23,'Date Calcs'!A:AF,8,),IF(C23=1,VLOOKUP(A23,'Date Calcs'!A:AF,10,),IF(C23=2,VLOOKUP(A23,'Date Calcs'!A:AF,12,),IF(C23=3,VLOOKUP(A23,'Date Calcs'!A:AF,14,),4))))</f>
        <v>45912</v>
      </c>
      <c r="E23" s="10"/>
      <c r="F23" s="9">
        <f ca="1">ROUND(IF(A23="","",IF(E23=0,D23-Date!$B$3,D23-E23)),0)</f>
        <v>-161</v>
      </c>
      <c r="G23" s="9"/>
      <c r="I23" s="76" t="str">
        <f t="shared" si="8"/>
        <v>Y</v>
      </c>
      <c r="J23" s="76" t="str">
        <f t="shared" si="9"/>
        <v>y</v>
      </c>
    </row>
    <row r="24" spans="1:12" ht="23.25" hidden="1" customHeight="1" x14ac:dyDescent="0.35">
      <c r="A24" s="93" t="s">
        <v>325</v>
      </c>
      <c r="B24" s="8" t="str">
        <f>VLOOKUP(A24,'Date Calcs'!A:B,2,)</f>
        <v>Symrise</v>
      </c>
      <c r="C24" s="9">
        <f>VLOOKUP(A24,'Actual Dates'!A:AF,18,)</f>
        <v>3</v>
      </c>
      <c r="D24" s="10">
        <f>IF(C24=0,VLOOKUP(A24,'Date Calcs'!A:AF,8,),IF(C24=1,VLOOKUP(A24,'Date Calcs'!A:AF,10,),IF(C24=2,VLOOKUP(A24,'Date Calcs'!A:AF,12,),IF(C24=3,VLOOKUP(A24,'Date Calcs'!A:AF,14,),4))))</f>
        <v>45971</v>
      </c>
      <c r="E24" s="10"/>
      <c r="F24" s="9">
        <f ca="1">ROUND(IF(A24="","",IF(E24=0,D24-Date!$B$3,D24-E24)),0)</f>
        <v>-102</v>
      </c>
      <c r="G24" s="9"/>
      <c r="I24" s="76" t="str">
        <f t="shared" si="8"/>
        <v>Y</v>
      </c>
      <c r="J24" s="76" t="str">
        <f t="shared" si="9"/>
        <v>y</v>
      </c>
    </row>
    <row r="25" spans="1:12" ht="23.25" hidden="1" customHeight="1" x14ac:dyDescent="0.35">
      <c r="A25" s="93" t="s">
        <v>326</v>
      </c>
      <c r="B25" s="8" t="str">
        <f>VLOOKUP(A25,'Date Calcs'!A:B,2,)</f>
        <v>Symrise</v>
      </c>
      <c r="C25" s="9">
        <f>VLOOKUP(A25,'Actual Dates'!A:AF,18,)</f>
        <v>3</v>
      </c>
      <c r="D25" s="10">
        <f>IF(C25=0,VLOOKUP(A25,'Date Calcs'!A:AF,8,),IF(C25=1,VLOOKUP(A25,'Date Calcs'!A:AF,10,),IF(C25=2,VLOOKUP(A25,'Date Calcs'!A:AF,12,),IF(C25=3,VLOOKUP(A25,'Date Calcs'!A:AF,14,),4))))</f>
        <v>45971</v>
      </c>
      <c r="E25" s="10"/>
      <c r="F25" s="9">
        <f ca="1">ROUND(IF(A25="","",IF(E25=0,D25-Date!$B$3,D25-E25)),0)</f>
        <v>-102</v>
      </c>
      <c r="G25" s="9"/>
      <c r="I25" s="76" t="str">
        <f t="shared" si="8"/>
        <v>Y</v>
      </c>
      <c r="J25" s="76" t="str">
        <f t="shared" si="9"/>
        <v>y</v>
      </c>
    </row>
    <row r="26" spans="1:12" ht="23.25" hidden="1" customHeight="1" x14ac:dyDescent="0.35">
      <c r="A26" s="93" t="s">
        <v>327</v>
      </c>
      <c r="B26" s="8" t="str">
        <f>VLOOKUP(A26,'Date Calcs'!A:B,2,)</f>
        <v>Kimberly Clark</v>
      </c>
      <c r="C26" s="9">
        <f>VLOOKUP(A26,'Actual Dates'!A:AF,18,)</f>
        <v>2</v>
      </c>
      <c r="D26" s="10">
        <f>IF(C26=0,VLOOKUP(A26,'Date Calcs'!A:AF,8,),IF(C26=1,VLOOKUP(A26,'Date Calcs'!A:AF,10,),IF(C26=2,VLOOKUP(A26,'Date Calcs'!A:AF,12,),IF(C26=3,VLOOKUP(A26,'Date Calcs'!A:AF,14,),4))))</f>
        <v>45993</v>
      </c>
      <c r="E26" s="10"/>
      <c r="F26" s="9">
        <f ca="1">ROUND(IF(A26="","",IF(E26=0,D26-Date!$B$3,D26-E26)),0)</f>
        <v>-80</v>
      </c>
      <c r="G26" s="9"/>
      <c r="I26" s="76" t="str">
        <f t="shared" si="8"/>
        <v>Y</v>
      </c>
      <c r="J26" s="76" t="str">
        <f t="shared" si="9"/>
        <v>y</v>
      </c>
    </row>
    <row r="27" spans="1:12" ht="23.25" hidden="1" x14ac:dyDescent="0.35">
      <c r="A27" s="93" t="s">
        <v>328</v>
      </c>
      <c r="B27" s="8" t="str">
        <f>VLOOKUP(A27,'Date Calcs'!A:B,2,)</f>
        <v>Andritz</v>
      </c>
      <c r="C27" s="9">
        <f>VLOOKUP(A27,'Actual Dates'!A:AF,18,)</f>
        <v>3</v>
      </c>
      <c r="D27" s="10">
        <f>IF(C27=0,VLOOKUP(A27,'Date Calcs'!A:AF,8,),IF(C27=1,VLOOKUP(A27,'Date Calcs'!A:AF,10,),IF(C27=2,VLOOKUP(A27,'Date Calcs'!A:AF,12,),IF(C27=3,VLOOKUP(A27,'Date Calcs'!A:AF,14,),4))))</f>
        <v>46080</v>
      </c>
      <c r="E27" s="10"/>
      <c r="F27" s="9">
        <f ca="1">ROUND(IF(A27="","",IF(E27=0,D27-Date!$B$3,D27-E27)),0)</f>
        <v>7</v>
      </c>
      <c r="G27" s="9"/>
      <c r="I27" s="76" t="str">
        <f t="shared" si="8"/>
        <v>Y</v>
      </c>
      <c r="J27" s="76" t="str">
        <f t="shared" si="9"/>
        <v xml:space="preserve">  </v>
      </c>
      <c r="L27" s="99"/>
    </row>
    <row r="28" spans="1:12" ht="23.25" hidden="1" customHeight="1" x14ac:dyDescent="0.35">
      <c r="A28" s="93" t="s">
        <v>329</v>
      </c>
      <c r="B28" s="8" t="str">
        <f>VLOOKUP(A28,'Date Calcs'!A:B,2,)</f>
        <v>Milliken</v>
      </c>
      <c r="C28" s="9">
        <f>VLOOKUP(A28,'Actual Dates'!A:AF,18,)</f>
        <v>2</v>
      </c>
      <c r="D28" s="10">
        <f>IF(C28=0,VLOOKUP(A28,'Date Calcs'!A:AF,8,),IF(C28=1,VLOOKUP(A28,'Date Calcs'!A:AF,10,),IF(C28=2,VLOOKUP(A28,'Date Calcs'!A:AF,12,),IF(C28=3,VLOOKUP(A28,'Date Calcs'!A:AF,14,),4))))</f>
        <v>45967</v>
      </c>
      <c r="E28" s="10"/>
      <c r="F28" s="9">
        <f ca="1">ROUND(IF(A28="","",IF(E28=0,D28-Date!$B$3,D28-E28)),0)</f>
        <v>-106</v>
      </c>
      <c r="G28" s="9"/>
      <c r="I28" s="76" t="str">
        <f t="shared" si="8"/>
        <v>Y</v>
      </c>
      <c r="J28" s="76" t="str">
        <f t="shared" si="9"/>
        <v>y</v>
      </c>
    </row>
    <row r="29" spans="1:12" ht="23.25" hidden="1" customHeight="1" x14ac:dyDescent="0.35">
      <c r="A29" s="93" t="s">
        <v>330</v>
      </c>
      <c r="B29" s="8" t="str">
        <f>VLOOKUP(A29,'Date Calcs'!A:B,2,)</f>
        <v>Milliken</v>
      </c>
      <c r="C29" s="9">
        <f>VLOOKUP(A29,'Actual Dates'!A:AF,18,)</f>
        <v>2</v>
      </c>
      <c r="D29" s="10">
        <f>IF(C29=0,VLOOKUP(A29,'Date Calcs'!A:AF,8,),IF(C29=1,VLOOKUP(A29,'Date Calcs'!A:AF,10,),IF(C29=2,VLOOKUP(A29,'Date Calcs'!A:AF,12,),IF(C29=3,VLOOKUP(A29,'Date Calcs'!A:AF,14,),4))))</f>
        <v>45967</v>
      </c>
      <c r="E29" s="10"/>
      <c r="F29" s="9">
        <f ca="1">ROUND(IF(A29="","",IF(E29=0,D29-Date!$B$3,D29-E29)),0)</f>
        <v>-106</v>
      </c>
      <c r="G29" s="9"/>
      <c r="I29" s="76" t="str">
        <f t="shared" si="8"/>
        <v>Y</v>
      </c>
      <c r="J29" s="76" t="str">
        <f t="shared" si="9"/>
        <v>y</v>
      </c>
    </row>
    <row r="30" spans="1:12" ht="23.25" hidden="1" customHeight="1" x14ac:dyDescent="0.35">
      <c r="A30" s="93" t="s">
        <v>331</v>
      </c>
      <c r="B30" s="8" t="str">
        <f>VLOOKUP(A30,'Date Calcs'!A:B,2,)</f>
        <v>Coastal Technologies</v>
      </c>
      <c r="C30" s="9">
        <f>VLOOKUP(A30,'Actual Dates'!A:AF,18,)</f>
        <v>2</v>
      </c>
      <c r="D30" s="10">
        <f>IF(C30=0,VLOOKUP(A30,'Date Calcs'!A:AF,8,),IF(C30=1,VLOOKUP(A30,'Date Calcs'!A:AF,10,),IF(C30=2,VLOOKUP(A30,'Date Calcs'!A:AF,12,),IF(C30=3,VLOOKUP(A30,'Date Calcs'!A:AF,14,),4))))</f>
        <v>45974</v>
      </c>
      <c r="E30" s="10"/>
      <c r="F30" s="9">
        <f ca="1">ROUND(IF(A30="","",IF(E30=0,D30-Date!$B$3,D30-E30)),0)</f>
        <v>-99</v>
      </c>
      <c r="G30" s="9"/>
      <c r="I30" s="76" t="str">
        <f t="shared" si="8"/>
        <v>Y</v>
      </c>
      <c r="J30" s="76" t="str">
        <f t="shared" si="9"/>
        <v>y</v>
      </c>
    </row>
    <row r="31" spans="1:12" ht="23.25" hidden="1" customHeight="1" x14ac:dyDescent="0.35">
      <c r="A31" s="93" t="s">
        <v>333</v>
      </c>
      <c r="B31" s="8" t="str">
        <f>VLOOKUP(A31,'Date Calcs'!A:B,2,)</f>
        <v>Burke Industrial</v>
      </c>
      <c r="C31" s="9">
        <f>VLOOKUP(A31,'Actual Dates'!A:AF,18,)</f>
        <v>2</v>
      </c>
      <c r="D31" s="10">
        <f>IF(C31=0,VLOOKUP(A31,'Date Calcs'!A:AF,8,),IF(C31=1,VLOOKUP(A31,'Date Calcs'!A:AF,10,),IF(C31=2,VLOOKUP(A31,'Date Calcs'!A:AF,12,),IF(C31=3,VLOOKUP(A31,'Date Calcs'!A:AF,14,),4))))</f>
        <v>45980</v>
      </c>
      <c r="E31" s="10"/>
      <c r="F31" s="9">
        <f ca="1">ROUND(IF(A31="","",IF(E31=0,D31-Date!$B$3,D31-E31)),0)</f>
        <v>-93</v>
      </c>
      <c r="G31" s="9"/>
      <c r="I31" s="76" t="str">
        <f t="shared" si="8"/>
        <v>Y</v>
      </c>
      <c r="J31" s="76" t="str">
        <f t="shared" si="9"/>
        <v>y</v>
      </c>
    </row>
    <row r="32" spans="1:12" ht="23.25" hidden="1" x14ac:dyDescent="0.35">
      <c r="A32" s="93" t="s">
        <v>334</v>
      </c>
      <c r="B32" s="8" t="str">
        <f>VLOOKUP(A32,'Date Calcs'!A:B,2,)</f>
        <v>Harper Love</v>
      </c>
      <c r="C32" s="9">
        <f>VLOOKUP(A32,'Actual Dates'!A:AF,18,)</f>
        <v>2</v>
      </c>
      <c r="D32" s="10">
        <f>IF(C32=0,VLOOKUP(A32,'Date Calcs'!A:AF,8,),IF(C32=1,VLOOKUP(A32,'Date Calcs'!A:AF,10,),IF(C32=2,VLOOKUP(A32,'Date Calcs'!A:AF,12,),IF(C32=3,VLOOKUP(A32,'Date Calcs'!A:AF,14,),4))))</f>
        <v>46013</v>
      </c>
      <c r="E32" s="10"/>
      <c r="F32" s="9">
        <f ca="1">ROUND(IF(A32="","",IF(E32=0,D32-Date!$B$3,D32-E32)),0)</f>
        <v>-60</v>
      </c>
      <c r="G32" s="9"/>
      <c r="I32" s="76" t="str">
        <f t="shared" si="8"/>
        <v>Y</v>
      </c>
      <c r="J32" s="76" t="str">
        <f t="shared" si="9"/>
        <v>y</v>
      </c>
      <c r="L32" s="96" t="s">
        <v>355</v>
      </c>
    </row>
    <row r="33" spans="1:16" ht="23.25" customHeight="1" x14ac:dyDescent="0.35">
      <c r="A33" s="93" t="s">
        <v>335</v>
      </c>
      <c r="B33" s="8" t="str">
        <f>VLOOKUP(A33,'Date Calcs'!A:B,2,)</f>
        <v>Epic Systems</v>
      </c>
      <c r="C33" s="9">
        <f>VLOOKUP(A33,'Actual Dates'!A:AF,18,)</f>
        <v>3</v>
      </c>
      <c r="D33" s="10">
        <f>IF(C33=0,VLOOKUP(A33,'Date Calcs'!A:AF,8,),IF(C33=1,VLOOKUP(A33,'Date Calcs'!A:AF,10,),IF(C33=2,VLOOKUP(A33,'Date Calcs'!A:AF,12,),IF(C33=3,VLOOKUP(A33,'Date Calcs'!A:AF,14,),4))))</f>
        <v>46079</v>
      </c>
      <c r="E33" s="10"/>
      <c r="F33" s="9">
        <f ca="1">ROUND(IF(A33="","",IF(E33=0,D33-Date!$B$3,D33-E33)),0)</f>
        <v>6</v>
      </c>
      <c r="G33" s="9"/>
      <c r="I33" s="76" t="str">
        <f t="shared" si="8"/>
        <v>N</v>
      </c>
      <c r="J33" s="76" t="str">
        <f t="shared" si="9"/>
        <v xml:space="preserve">  </v>
      </c>
      <c r="L33" s="79"/>
    </row>
    <row r="34" spans="1:16" ht="23.25" hidden="1" customHeight="1" x14ac:dyDescent="0.35">
      <c r="A34" s="93" t="s">
        <v>336</v>
      </c>
      <c r="B34" s="8" t="str">
        <f>VLOOKUP(A34,'Date Calcs'!A:B,2,)</f>
        <v>Epic Systems</v>
      </c>
      <c r="C34" s="9">
        <f>VLOOKUP(A34,'Actual Dates'!A:AF,18,)</f>
        <v>3</v>
      </c>
      <c r="D34" s="10">
        <f>IF(C34=0,VLOOKUP(A34,'Date Calcs'!A:AF,8,),IF(C34=1,VLOOKUP(A34,'Date Calcs'!A:AF,10,),IF(C34=2,VLOOKUP(A34,'Date Calcs'!A:AF,12,),IF(C34=3,VLOOKUP(A34,'Date Calcs'!A:AF,14,),4))))</f>
        <v>46079</v>
      </c>
      <c r="E34" s="10"/>
      <c r="F34" s="9">
        <f ca="1">ROUND(IF(A34="","",IF(E34=0,D34-Date!$B$3,D34-E34)),0)</f>
        <v>6</v>
      </c>
      <c r="G34" s="9"/>
      <c r="I34" s="76" t="str">
        <f t="shared" si="8"/>
        <v>N</v>
      </c>
      <c r="J34" s="76" t="str">
        <f t="shared" si="9"/>
        <v>y</v>
      </c>
      <c r="L34" s="79"/>
    </row>
    <row r="35" spans="1:16" ht="23.25" hidden="1" customHeight="1" x14ac:dyDescent="0.35">
      <c r="A35" s="93" t="s">
        <v>337</v>
      </c>
      <c r="B35" s="8" t="str">
        <f>VLOOKUP(A35,'Date Calcs'!A:B,2,)</f>
        <v>Epic Systems</v>
      </c>
      <c r="C35" s="9">
        <f>VLOOKUP(A35,'Actual Dates'!A:AF,18,)</f>
        <v>3</v>
      </c>
      <c r="D35" s="10">
        <f>IF(C35=0,VLOOKUP(A35,'Date Calcs'!A:AF,8,),IF(C35=1,VLOOKUP(A35,'Date Calcs'!A:AF,10,),IF(C35=2,VLOOKUP(A35,'Date Calcs'!A:AF,12,),IF(C35=3,VLOOKUP(A35,'Date Calcs'!A:AF,14,),4))))</f>
        <v>46079</v>
      </c>
      <c r="E35" s="10"/>
      <c r="F35" s="9">
        <f ca="1">ROUND(IF(A35="","",IF(E35=0,D35-Date!$B$3,D35-E35)),0)</f>
        <v>6</v>
      </c>
      <c r="G35" s="9"/>
      <c r="I35" s="76" t="str">
        <f t="shared" si="8"/>
        <v>N</v>
      </c>
      <c r="J35" s="76" t="str">
        <f t="shared" si="9"/>
        <v>y</v>
      </c>
      <c r="L35" s="79"/>
    </row>
    <row r="36" spans="1:16" ht="23.25" hidden="1" customHeight="1" x14ac:dyDescent="0.35">
      <c r="A36" s="93" t="s">
        <v>338</v>
      </c>
      <c r="B36" s="8" t="str">
        <f>VLOOKUP(A36,'Date Calcs'!A:B,2,)</f>
        <v>Epic Systems</v>
      </c>
      <c r="C36" s="9">
        <f>VLOOKUP(A36,'Actual Dates'!A:AF,18,)</f>
        <v>3</v>
      </c>
      <c r="D36" s="10">
        <f>IF(C36=0,VLOOKUP(A36,'Date Calcs'!A:AF,8,),IF(C36=1,VLOOKUP(A36,'Date Calcs'!A:AF,10,),IF(C36=2,VLOOKUP(A36,'Date Calcs'!A:AF,12,),IF(C36=3,VLOOKUP(A36,'Date Calcs'!A:AF,14,),4))))</f>
        <v>46079</v>
      </c>
      <c r="E36" s="10"/>
      <c r="F36" s="9">
        <f ca="1">ROUND(IF(A36="","",IF(E36=0,D36-Date!$B$3,D36-E36)),0)</f>
        <v>6</v>
      </c>
      <c r="G36" s="9"/>
      <c r="I36" s="76" t="str">
        <f t="shared" si="8"/>
        <v>N</v>
      </c>
      <c r="J36" s="76" t="str">
        <f t="shared" si="9"/>
        <v>y</v>
      </c>
      <c r="L36" s="79"/>
    </row>
    <row r="37" spans="1:16" ht="23.25" customHeight="1" x14ac:dyDescent="0.35">
      <c r="A37" s="93" t="s">
        <v>339</v>
      </c>
      <c r="B37" s="8" t="str">
        <f>VLOOKUP(A37,'Date Calcs'!A:B,2,)</f>
        <v>Epic Systems</v>
      </c>
      <c r="C37" s="9">
        <f>VLOOKUP(A37,'Actual Dates'!A:AF,18,)</f>
        <v>3</v>
      </c>
      <c r="D37" s="10">
        <f>IF(C37=0,VLOOKUP(A37,'Date Calcs'!A:AF,8,),IF(C37=1,VLOOKUP(A37,'Date Calcs'!A:AF,10,),IF(C37=2,VLOOKUP(A37,'Date Calcs'!A:AF,12,),IF(C37=3,VLOOKUP(A37,'Date Calcs'!A:AF,14,),4))))</f>
        <v>46079</v>
      </c>
      <c r="E37" s="10"/>
      <c r="F37" s="9">
        <f ca="1">ROUND(IF(A37="","",IF(E37=0,D37-Date!$B$3,D37-E37)),0)</f>
        <v>6</v>
      </c>
      <c r="G37" s="9"/>
      <c r="I37" s="76" t="str">
        <f t="shared" si="8"/>
        <v>N</v>
      </c>
      <c r="J37" s="76" t="str">
        <f t="shared" si="9"/>
        <v xml:space="preserve">  </v>
      </c>
      <c r="L37" s="79"/>
    </row>
    <row r="38" spans="1:16" ht="23.25" customHeight="1" x14ac:dyDescent="0.35">
      <c r="A38" s="93" t="s">
        <v>340</v>
      </c>
      <c r="B38" s="8" t="str">
        <f>VLOOKUP(A38,'Date Calcs'!A:B,2,)</f>
        <v>Epic Systems</v>
      </c>
      <c r="C38" s="9">
        <f>VLOOKUP(A38,'Actual Dates'!A:AF,18,)</f>
        <v>1</v>
      </c>
      <c r="D38" s="10">
        <f>IF(C38=0,VLOOKUP(A38,'Date Calcs'!A:AF,8,),IF(C38=1,VLOOKUP(A38,'Date Calcs'!A:AF,10,),IF(C38=2,VLOOKUP(A38,'Date Calcs'!A:AF,12,),IF(C38=3,VLOOKUP(A38,'Date Calcs'!A:AF,14,),4))))</f>
        <v>46062</v>
      </c>
      <c r="E38" s="10"/>
      <c r="F38" s="9">
        <f ca="1">ROUND(IF(A38="","",IF(E38=0,D38-Date!$B$3,D38-E38)),0)</f>
        <v>-11</v>
      </c>
      <c r="G38" s="9"/>
      <c r="I38" s="76" t="str">
        <f t="shared" si="8"/>
        <v>N</v>
      </c>
      <c r="J38" s="76" t="str">
        <f t="shared" si="9"/>
        <v xml:space="preserve">  </v>
      </c>
      <c r="L38" s="100" t="s">
        <v>375</v>
      </c>
      <c r="P38" s="108">
        <f>D38+14</f>
        <v>46076</v>
      </c>
    </row>
    <row r="39" spans="1:16" ht="23.25" hidden="1" customHeight="1" x14ac:dyDescent="0.35">
      <c r="A39" s="93" t="s">
        <v>341</v>
      </c>
      <c r="B39" s="8" t="str">
        <f>VLOOKUP(A39,'Date Calcs'!A:B,2,)</f>
        <v>Epic Systems</v>
      </c>
      <c r="C39" s="9">
        <f>VLOOKUP(A39,'Actual Dates'!A:AF,18,)</f>
        <v>2</v>
      </c>
      <c r="D39" s="10">
        <f>IF(C39=0,VLOOKUP(A39,'Date Calcs'!A:AF,8,),IF(C39=1,VLOOKUP(A39,'Date Calcs'!A:AF,10,),IF(C39=2,VLOOKUP(A39,'Date Calcs'!A:AF,12,),IF(C39=3,VLOOKUP(A39,'Date Calcs'!A:AF,14,),4))))</f>
        <v>46078</v>
      </c>
      <c r="E39" s="10"/>
      <c r="F39" s="9">
        <f ca="1">ROUND(IF(A39="","",IF(E39=0,D39-Date!$B$3,D39-E39)),0)</f>
        <v>5</v>
      </c>
      <c r="G39" s="9"/>
      <c r="I39" s="76" t="str">
        <f t="shared" si="8"/>
        <v>Y</v>
      </c>
      <c r="J39" s="76" t="str">
        <f t="shared" si="9"/>
        <v xml:space="preserve">  </v>
      </c>
      <c r="L39" s="100"/>
    </row>
    <row r="40" spans="1:16" ht="23.25" hidden="1" x14ac:dyDescent="0.35">
      <c r="A40" s="93" t="s">
        <v>342</v>
      </c>
      <c r="B40" s="8" t="str">
        <f>VLOOKUP(A40,'Date Calcs'!A:B,2,)</f>
        <v>Epic Systems</v>
      </c>
      <c r="C40" s="9">
        <f>VLOOKUP(A40,'Actual Dates'!A:AF,18,)</f>
        <v>4</v>
      </c>
      <c r="D40" s="10">
        <f>IF(C40=0,VLOOKUP(A40,'Date Calcs'!A:AF,8,),IF(C40=1,VLOOKUP(A40,'Date Calcs'!A:AF,10,),IF(C40=2,VLOOKUP(A40,'Date Calcs'!A:AF,12,),IF(C40=3,VLOOKUP(A40,'Date Calcs'!A:AF,14,),4))))</f>
        <v>4</v>
      </c>
      <c r="E40" s="10"/>
      <c r="F40" s="9">
        <f ca="1">ROUND(IF(A40="","",IF(E40=0,D40-Date!$B$3,D40-E40)),0)</f>
        <v>-46069</v>
      </c>
      <c r="G40" s="9"/>
      <c r="I40" s="76" t="str">
        <f t="shared" si="8"/>
        <v>Y</v>
      </c>
      <c r="J40" s="76" t="str">
        <f t="shared" si="9"/>
        <v>y</v>
      </c>
      <c r="L40" s="6"/>
    </row>
    <row r="41" spans="1:16" ht="23.25" hidden="1" x14ac:dyDescent="0.35">
      <c r="A41" s="93" t="s">
        <v>343</v>
      </c>
      <c r="B41" s="8" t="str">
        <f>VLOOKUP(A41,'Date Calcs'!A:B,2,)</f>
        <v>Epic Systems</v>
      </c>
      <c r="C41" s="9">
        <f>VLOOKUP(A41,'Actual Dates'!A:AF,18,)</f>
        <v>4</v>
      </c>
      <c r="D41" s="10">
        <f>IF(C41=0,VLOOKUP(A41,'Date Calcs'!A:AF,8,),IF(C41=1,VLOOKUP(A41,'Date Calcs'!A:AF,10,),IF(C41=2,VLOOKUP(A41,'Date Calcs'!A:AF,12,),IF(C41=3,VLOOKUP(A41,'Date Calcs'!A:AF,14,),4))))</f>
        <v>4</v>
      </c>
      <c r="E41" s="10"/>
      <c r="F41" s="9">
        <f ca="1">ROUND(IF(A41="","",IF(E41=0,D41-Date!$B$3,D41-E41)),0)</f>
        <v>-46069</v>
      </c>
      <c r="G41" s="9"/>
      <c r="I41" s="76" t="str">
        <f t="shared" si="8"/>
        <v>Y</v>
      </c>
      <c r="J41" s="76" t="str">
        <f t="shared" si="9"/>
        <v xml:space="preserve">  </v>
      </c>
      <c r="L41" s="6"/>
    </row>
    <row r="42" spans="1:16" ht="23.25" hidden="1" x14ac:dyDescent="0.35">
      <c r="A42" s="93" t="s">
        <v>344</v>
      </c>
      <c r="B42" s="8" t="str">
        <f>VLOOKUP(A42,'Date Calcs'!A:B,2,)</f>
        <v>Epic Systems</v>
      </c>
      <c r="C42" s="9">
        <f>VLOOKUP(A42,'Actual Dates'!A:AF,18,)</f>
        <v>4</v>
      </c>
      <c r="D42" s="10">
        <f>IF(C42=0,VLOOKUP(A42,'Date Calcs'!A:AF,8,),IF(C42=1,VLOOKUP(A42,'Date Calcs'!A:AF,10,),IF(C42=2,VLOOKUP(A42,'Date Calcs'!A:AF,12,),IF(C42=3,VLOOKUP(A42,'Date Calcs'!A:AF,14,),4))))</f>
        <v>4</v>
      </c>
      <c r="E42" s="10"/>
      <c r="F42" s="9">
        <f ca="1">ROUND(IF(A42="","",IF(E42=0,D42-Date!$B$3,D42-E42)),0)</f>
        <v>-46069</v>
      </c>
      <c r="G42" s="9"/>
      <c r="I42" s="76" t="str">
        <f t="shared" si="8"/>
        <v>Y</v>
      </c>
      <c r="J42" s="76" t="str">
        <f t="shared" si="9"/>
        <v xml:space="preserve">  </v>
      </c>
      <c r="L42" s="6"/>
    </row>
    <row r="43" spans="1:16" ht="23.25" hidden="1" x14ac:dyDescent="0.35">
      <c r="A43" s="93" t="s">
        <v>345</v>
      </c>
      <c r="B43" s="8" t="str">
        <f>VLOOKUP(A43,'Date Calcs'!A:B,2,)</f>
        <v>Epic Systems</v>
      </c>
      <c r="C43" s="9">
        <f>VLOOKUP(A43,'Actual Dates'!A:AF,18,)</f>
        <v>4</v>
      </c>
      <c r="D43" s="10">
        <f>IF(C43=0,VLOOKUP(A43,'Date Calcs'!A:AF,8,),IF(C43=1,VLOOKUP(A43,'Date Calcs'!A:AF,10,),IF(C43=2,VLOOKUP(A43,'Date Calcs'!A:AF,12,),IF(C43=3,VLOOKUP(A43,'Date Calcs'!A:AF,14,),4))))</f>
        <v>4</v>
      </c>
      <c r="E43" s="10"/>
      <c r="F43" s="9">
        <f ca="1">ROUND(IF(A43="","",IF(E43=0,D43-Date!$B$3,D43-E43)),0)</f>
        <v>-46069</v>
      </c>
      <c r="G43" s="9"/>
      <c r="I43" s="76" t="str">
        <f t="shared" si="8"/>
        <v>Y</v>
      </c>
      <c r="J43" s="76" t="str">
        <f t="shared" si="9"/>
        <v xml:space="preserve">  </v>
      </c>
      <c r="L43" s="6"/>
    </row>
    <row r="44" spans="1:16" ht="23.25" hidden="1" customHeight="1" x14ac:dyDescent="0.35">
      <c r="A44" s="93" t="s">
        <v>346</v>
      </c>
      <c r="B44" s="8" t="str">
        <f>VLOOKUP(A44,'Date Calcs'!A:B,2,)</f>
        <v>Epic Systems</v>
      </c>
      <c r="C44" s="9">
        <f>VLOOKUP(A44,'Actual Dates'!A:AF,18,)</f>
        <v>3</v>
      </c>
      <c r="D44" s="10">
        <f>IF(C44=0,VLOOKUP(A44,'Date Calcs'!A:AF,8,),IF(C44=1,VLOOKUP(A44,'Date Calcs'!A:AF,10,),IF(C44=2,VLOOKUP(A44,'Date Calcs'!A:AF,12,),IF(C44=3,VLOOKUP(A44,'Date Calcs'!A:AF,14,),4))))</f>
        <v>46072</v>
      </c>
      <c r="E44" s="10"/>
      <c r="F44" s="9">
        <f ca="1">ROUND(IF(A44="","",IF(E44=0,D44-Date!$B$3,D44-E44)),0)</f>
        <v>-1</v>
      </c>
      <c r="G44" s="9"/>
      <c r="I44" s="76" t="str">
        <f t="shared" si="8"/>
        <v>Y</v>
      </c>
      <c r="J44" s="76" t="str">
        <f t="shared" si="9"/>
        <v xml:space="preserve">  </v>
      </c>
      <c r="L44" s="79"/>
    </row>
    <row r="45" spans="1:16" ht="23.25" hidden="1" x14ac:dyDescent="0.35">
      <c r="A45" s="93" t="s">
        <v>348</v>
      </c>
      <c r="B45" s="8" t="str">
        <f>VLOOKUP(A45,'Date Calcs'!A:B,2,)</f>
        <v>Epic Systems</v>
      </c>
      <c r="C45" s="9">
        <f>VLOOKUP(A45,'Actual Dates'!A:AF,18,)</f>
        <v>3</v>
      </c>
      <c r="D45" s="10">
        <f>IF(C45=0,VLOOKUP(A45,'Date Calcs'!A:AF,8,),IF(C45=1,VLOOKUP(A45,'Date Calcs'!A:AF,10,),IF(C45=2,VLOOKUP(A45,'Date Calcs'!A:AF,12,),IF(C45=3,VLOOKUP(A45,'Date Calcs'!A:AF,14,),4))))</f>
        <v>46079</v>
      </c>
      <c r="E45" s="10"/>
      <c r="F45" s="9">
        <f ca="1">ROUND(IF(A45="","",IF(E45=0,D45-Date!$B$3,D45-E45)),0)</f>
        <v>6</v>
      </c>
      <c r="G45" s="9"/>
      <c r="I45" s="76" t="str">
        <f t="shared" ref="I45" si="10">IF(VLOOKUP(A45,Dates,2,)="N","N",IF(VLOOKUP(A45,Dates,3,)="N","N",IF(VLOOKUP(A45,Dates,4,)="N","N",IF(VLOOKUP(A45,Dates,5,)="N","N","Y"))))</f>
        <v>N</v>
      </c>
      <c r="J45" s="76" t="str">
        <f t="shared" ref="J45" si="11">VLOOKUP(A45,Dates,7,)</f>
        <v>y</v>
      </c>
      <c r="L45" s="6"/>
    </row>
    <row r="46" spans="1:16" ht="23.25" x14ac:dyDescent="0.35">
      <c r="A46" s="93" t="s">
        <v>349</v>
      </c>
      <c r="B46" s="8" t="str">
        <f>VLOOKUP(A46,'Date Calcs'!A:B,2,)</f>
        <v>Polynt</v>
      </c>
      <c r="C46" s="9">
        <f>VLOOKUP(A46,'Actual Dates'!A:AF,18,)</f>
        <v>2</v>
      </c>
      <c r="D46" s="10">
        <f>IF(C46=0,VLOOKUP(A46,'Date Calcs'!A:AF,8,),IF(C46=1,VLOOKUP(A46,'Date Calcs'!A:AF,10,),IF(C46=2,VLOOKUP(A46,'Date Calcs'!A:AF,12,),IF(C46=3,VLOOKUP(A46,'Date Calcs'!A:AF,14,),4))))</f>
        <v>46072</v>
      </c>
      <c r="E46" s="10"/>
      <c r="F46" s="9">
        <f ca="1">ROUND(IF(A46="","",IF(E46=0,D46-Date!$B$3,D46-E46)),0)</f>
        <v>-1</v>
      </c>
      <c r="G46" s="9"/>
      <c r="I46" s="76" t="str">
        <f t="shared" ref="I46" si="12">IF(VLOOKUP(A46,Dates,2,)="N","N",IF(VLOOKUP(A46,Dates,3,)="N","N",IF(VLOOKUP(A46,Dates,4,)="N","N",IF(VLOOKUP(A46,Dates,5,)="N","N","Y"))))</f>
        <v>N</v>
      </c>
      <c r="J46" s="76" t="str">
        <f t="shared" ref="J46" si="13">VLOOKUP(A46,Dates,7,)</f>
        <v xml:space="preserve">  </v>
      </c>
      <c r="L46" s="97"/>
    </row>
    <row r="47" spans="1:16" ht="23.25" hidden="1" x14ac:dyDescent="0.35">
      <c r="A47" s="93" t="s">
        <v>350</v>
      </c>
      <c r="B47" s="8" t="str">
        <f>VLOOKUP(A47,'Date Calcs'!A:B,2,)</f>
        <v>Merrick</v>
      </c>
      <c r="C47" s="9">
        <f>VLOOKUP(A47,'Actual Dates'!A:AF,18,)</f>
        <v>3</v>
      </c>
      <c r="D47" s="10">
        <f>IF(C47=0,VLOOKUP(A47,'Date Calcs'!A:AF,8,),IF(C47=1,VLOOKUP(A47,'Date Calcs'!A:AF,10,),IF(C47=2,VLOOKUP(A47,'Date Calcs'!A:AF,12,),IF(C47=3,VLOOKUP(A47,'Date Calcs'!A:AF,14,),4))))</f>
        <v>46077</v>
      </c>
      <c r="E47" s="10"/>
      <c r="F47" s="9">
        <f ca="1">ROUND(IF(A47="","",IF(E47=0,D47-Date!$B$3,D47-E47)),0)</f>
        <v>4</v>
      </c>
      <c r="G47" s="9"/>
      <c r="I47" s="76" t="str">
        <f t="shared" ref="I47:I67" si="14">IF(VLOOKUP(A47,Dates,2,)="N","N",IF(VLOOKUP(A47,Dates,3,)="N","N",IF(VLOOKUP(A47,Dates,4,)="N","N",IF(VLOOKUP(A47,Dates,5,)="N","N","Y"))))</f>
        <v>Y</v>
      </c>
      <c r="J47" s="76" t="str">
        <f t="shared" ref="J47:J67" si="15">VLOOKUP(A47,Dates,7,)</f>
        <v>y</v>
      </c>
      <c r="L47" s="6"/>
    </row>
    <row r="48" spans="1:16" ht="23.25" hidden="1" x14ac:dyDescent="0.35">
      <c r="A48" s="93" t="s">
        <v>352</v>
      </c>
      <c r="B48" s="8" t="str">
        <f>VLOOKUP(A48,'Date Calcs'!A:B,2,)</f>
        <v>Merrick</v>
      </c>
      <c r="C48" s="9">
        <f>VLOOKUP(A48,'Actual Dates'!A:AF,18,)</f>
        <v>3</v>
      </c>
      <c r="D48" s="10">
        <f>IF(C48=0,VLOOKUP(A48,'Date Calcs'!A:AF,8,),IF(C48=1,VLOOKUP(A48,'Date Calcs'!A:AF,10,),IF(C48=2,VLOOKUP(A48,'Date Calcs'!A:AF,12,),IF(C48=3,VLOOKUP(A48,'Date Calcs'!A:AF,14,),4))))</f>
        <v>46083</v>
      </c>
      <c r="E48" s="10"/>
      <c r="F48" s="9">
        <f ca="1">ROUND(IF(A48="","",IF(E48=0,D48-Date!$B$3,D48-E48)),0)</f>
        <v>10</v>
      </c>
      <c r="G48" s="9"/>
      <c r="I48" s="76" t="str">
        <f t="shared" si="14"/>
        <v>Y</v>
      </c>
      <c r="J48" s="76" t="str">
        <f t="shared" si="15"/>
        <v>y</v>
      </c>
      <c r="L48" s="6"/>
    </row>
    <row r="49" spans="1:15" ht="23.25" hidden="1" x14ac:dyDescent="0.35">
      <c r="A49" s="93" t="s">
        <v>353</v>
      </c>
      <c r="B49" s="8" t="str">
        <f>VLOOKUP(A49,'Date Calcs'!A:B,2,)</f>
        <v>Vertiv</v>
      </c>
      <c r="C49" s="9">
        <f>VLOOKUP(A49,'Actual Dates'!A:AF,18,)</f>
        <v>2</v>
      </c>
      <c r="D49" s="10">
        <f>IF(C49=0,VLOOKUP(A49,'Date Calcs'!A:AF,8,),IF(C49=1,VLOOKUP(A49,'Date Calcs'!A:AF,10,),IF(C49=2,VLOOKUP(A49,'Date Calcs'!A:AF,12,),IF(C49=3,VLOOKUP(A49,'Date Calcs'!A:AF,14,),4))))</f>
        <v>46008</v>
      </c>
      <c r="E49" s="10"/>
      <c r="F49" s="9">
        <f ca="1">ROUND(IF(A49="","",IF(E49=0,D49-Date!$B$3,D49-E49)),0)</f>
        <v>-65</v>
      </c>
      <c r="G49" s="9"/>
      <c r="I49" s="76" t="str">
        <f t="shared" ref="I49:I63" si="16">IF(VLOOKUP(A49,Dates,2,)="N","N",IF(VLOOKUP(A49,Dates,3,)="N","N",IF(VLOOKUP(A49,Dates,4,)="N","N",IF(VLOOKUP(A49,Dates,5,)="N","N","Y"))))</f>
        <v>Y</v>
      </c>
      <c r="J49" s="76" t="str">
        <f t="shared" ref="J49:J63" si="17">VLOOKUP(A49,Dates,7,)</f>
        <v>y</v>
      </c>
    </row>
    <row r="50" spans="1:15" ht="23.25" x14ac:dyDescent="0.35">
      <c r="A50" s="93" t="s">
        <v>357</v>
      </c>
      <c r="B50" s="8" t="str">
        <f>VLOOKUP(A50,'Date Calcs'!A:B,2,)</f>
        <v>Kimberly Clark</v>
      </c>
      <c r="C50" s="9">
        <f>VLOOKUP(A50,'Actual Dates'!A:AF,18,)</f>
        <v>1</v>
      </c>
      <c r="D50" s="10">
        <f>IF(C50=0,VLOOKUP(A50,'Date Calcs'!A:AF,8,),IF(C50=1,VLOOKUP(A50,'Date Calcs'!A:AF,10,),IF(C50=2,VLOOKUP(A50,'Date Calcs'!A:AF,12,),IF(C50=3,VLOOKUP(A50,'Date Calcs'!A:AF,14,),4))))</f>
        <v>46077</v>
      </c>
      <c r="E50" s="10"/>
      <c r="F50" s="9">
        <f ca="1">ROUND(IF(A50="","",IF(E50=0,D50-Date!$B$3,D50-E50)),0)</f>
        <v>4</v>
      </c>
      <c r="G50" s="9"/>
      <c r="I50" s="76" t="str">
        <f t="shared" si="16"/>
        <v>N</v>
      </c>
      <c r="J50" s="76" t="str">
        <f t="shared" si="17"/>
        <v xml:space="preserve">  </v>
      </c>
    </row>
    <row r="51" spans="1:15" ht="23.25" x14ac:dyDescent="0.35">
      <c r="A51" s="93" t="s">
        <v>358</v>
      </c>
      <c r="B51" s="8" t="str">
        <f>VLOOKUP(A51,'Date Calcs'!A:B,2,)</f>
        <v>Kimberly Clark</v>
      </c>
      <c r="C51" s="9">
        <f>VLOOKUP(A51,'Actual Dates'!A:AF,18,)</f>
        <v>1</v>
      </c>
      <c r="D51" s="10">
        <f>IF(C51=0,VLOOKUP(A51,'Date Calcs'!A:AF,8,),IF(C51=1,VLOOKUP(A51,'Date Calcs'!A:AF,10,),IF(C51=2,VLOOKUP(A51,'Date Calcs'!A:AF,12,),IF(C51=3,VLOOKUP(A51,'Date Calcs'!A:AF,14,),4))))</f>
        <v>46077</v>
      </c>
      <c r="E51" s="10"/>
      <c r="F51" s="9">
        <f ca="1">ROUND(IF(A51="","",IF(E51=0,D51-Date!$B$3,D51-E51)),0)</f>
        <v>4</v>
      </c>
      <c r="G51" s="9"/>
      <c r="I51" s="76" t="str">
        <f t="shared" si="16"/>
        <v>N</v>
      </c>
      <c r="J51" s="76" t="str">
        <f t="shared" si="17"/>
        <v xml:space="preserve">  </v>
      </c>
    </row>
    <row r="52" spans="1:15" ht="23.25" hidden="1" x14ac:dyDescent="0.35">
      <c r="A52" s="93" t="s">
        <v>359</v>
      </c>
      <c r="B52" s="8" t="str">
        <f>VLOOKUP(A52,'Date Calcs'!A:B,2,)</f>
        <v>Kimberly Clark</v>
      </c>
      <c r="C52" s="9">
        <f>VLOOKUP(A52,'Actual Dates'!A:AF,18,)</f>
        <v>1</v>
      </c>
      <c r="D52" s="10">
        <f>IF(C52=0,VLOOKUP(A52,'Date Calcs'!A:AF,8,),IF(C52=1,VLOOKUP(A52,'Date Calcs'!A:AF,10,),IF(C52=2,VLOOKUP(A52,'Date Calcs'!A:AF,12,),IF(C52=3,VLOOKUP(A52,'Date Calcs'!A:AF,14,),4))))</f>
        <v>46051</v>
      </c>
      <c r="E52" s="10"/>
      <c r="F52" s="9">
        <f ca="1">ROUND(IF(A52="","",IF(E52=0,D52-Date!$B$3,D52-E52)),0)</f>
        <v>-22</v>
      </c>
      <c r="G52" s="9"/>
      <c r="I52" s="76" t="str">
        <f t="shared" si="16"/>
        <v>Y</v>
      </c>
      <c r="J52" s="76" t="str">
        <f t="shared" si="17"/>
        <v xml:space="preserve">  </v>
      </c>
    </row>
    <row r="53" spans="1:15" ht="23.25" hidden="1" x14ac:dyDescent="0.35">
      <c r="A53" s="93" t="s">
        <v>361</v>
      </c>
      <c r="B53" s="8" t="str">
        <f>VLOOKUP(A53,'Date Calcs'!A:B,2,)</f>
        <v>Synthomer</v>
      </c>
      <c r="C53" s="9">
        <f>VLOOKUP(A53,'Actual Dates'!A:AF,18,)</f>
        <v>2</v>
      </c>
      <c r="D53" s="10">
        <f>IF(C53=0,VLOOKUP(A53,'Date Calcs'!A:AF,8,),IF(C53=1,VLOOKUP(A53,'Date Calcs'!A:AF,10,),IF(C53=2,VLOOKUP(A53,'Date Calcs'!A:AF,12,),IF(C53=3,VLOOKUP(A53,'Date Calcs'!A:AF,14,),4))))</f>
        <v>46083</v>
      </c>
      <c r="E53" s="10"/>
      <c r="F53" s="9">
        <f ca="1">ROUND(IF(A53="","",IF(E53=0,D53-Date!$B$3,D53-E53)),0)</f>
        <v>10</v>
      </c>
      <c r="G53" s="9"/>
      <c r="I53" s="76" t="str">
        <f t="shared" si="16"/>
        <v>Y</v>
      </c>
      <c r="J53" s="76" t="str">
        <f t="shared" si="17"/>
        <v xml:space="preserve">  </v>
      </c>
      <c r="L53" s="98" t="s">
        <v>376</v>
      </c>
      <c r="M53" s="98"/>
      <c r="N53" s="98"/>
      <c r="O53" s="98"/>
    </row>
    <row r="54" spans="1:15" ht="23.25" x14ac:dyDescent="0.35">
      <c r="A54" s="93" t="s">
        <v>362</v>
      </c>
      <c r="B54" s="8" t="str">
        <f>VLOOKUP(A54,'Date Calcs'!A:B,2,)</f>
        <v>Sylvamo</v>
      </c>
      <c r="C54" s="9">
        <f>VLOOKUP(A54,'Actual Dates'!A:AF,18,)</f>
        <v>1</v>
      </c>
      <c r="D54" s="10">
        <f>IF(C54=0,VLOOKUP(A54,'Date Calcs'!A:AF,8,),IF(C54=1,VLOOKUP(A54,'Date Calcs'!A:AF,10,),IF(C54=2,VLOOKUP(A54,'Date Calcs'!A:AF,12,),IF(C54=3,VLOOKUP(A54,'Date Calcs'!A:AF,14,),4))))</f>
        <v>46071</v>
      </c>
      <c r="E54" s="10"/>
      <c r="F54" s="9">
        <f ca="1">ROUND(IF(A54="","",IF(E54=0,D54-Date!$B$3,D54-E54)),0)</f>
        <v>-2</v>
      </c>
      <c r="G54" s="9"/>
      <c r="I54" s="76" t="str">
        <f t="shared" si="16"/>
        <v>N</v>
      </c>
      <c r="J54" s="76" t="str">
        <f t="shared" si="17"/>
        <v xml:space="preserve">  </v>
      </c>
    </row>
    <row r="55" spans="1:15" ht="23.25" x14ac:dyDescent="0.35">
      <c r="A55" s="93" t="s">
        <v>363</v>
      </c>
      <c r="B55" s="8" t="str">
        <f>VLOOKUP(A55,'Date Calcs'!A:B,2,)</f>
        <v>Sylvamo</v>
      </c>
      <c r="C55" s="9">
        <f>VLOOKUP(A55,'Actual Dates'!A:AF,18,)</f>
        <v>1</v>
      </c>
      <c r="D55" s="10">
        <f>IF(C55=0,VLOOKUP(A55,'Date Calcs'!A:AF,8,),IF(C55=1,VLOOKUP(A55,'Date Calcs'!A:AF,10,),IF(C55=2,VLOOKUP(A55,'Date Calcs'!A:AF,12,),IF(C55=3,VLOOKUP(A55,'Date Calcs'!A:AF,14,),4))))</f>
        <v>46071</v>
      </c>
      <c r="E55" s="10"/>
      <c r="F55" s="9">
        <f ca="1">ROUND(IF(A55="","",IF(E55=0,D55-Date!$B$3,D55-E55)),0)</f>
        <v>-2</v>
      </c>
      <c r="G55" s="9"/>
      <c r="I55" s="76" t="str">
        <f t="shared" si="16"/>
        <v>N</v>
      </c>
      <c r="J55" s="76" t="str">
        <f t="shared" si="17"/>
        <v xml:space="preserve">  </v>
      </c>
    </row>
    <row r="56" spans="1:15" ht="23.25" hidden="1" x14ac:dyDescent="0.35">
      <c r="A56" s="93" t="s">
        <v>365</v>
      </c>
      <c r="B56" s="8" t="str">
        <f>VLOOKUP(A56,'Date Calcs'!A:B,2,)</f>
        <v>SNF</v>
      </c>
      <c r="C56" s="9">
        <f>VLOOKUP(A56,'Actual Dates'!A:AF,18,)</f>
        <v>1</v>
      </c>
      <c r="D56" s="10">
        <f>IF(C56=0,VLOOKUP(A56,'Date Calcs'!A:AF,8,),IF(C56=1,VLOOKUP(A56,'Date Calcs'!A:AF,10,),IF(C56=2,VLOOKUP(A56,'Date Calcs'!A:AF,12,),IF(C56=3,VLOOKUP(A56,'Date Calcs'!A:AF,14,),4))))</f>
        <v>46080</v>
      </c>
      <c r="E56" s="10"/>
      <c r="F56" s="9">
        <f ca="1">ROUND(IF(A56="","",IF(E56=0,D56-Date!$B$3,D56-E56)),0)</f>
        <v>7</v>
      </c>
      <c r="G56" s="9"/>
      <c r="I56" s="76" t="str">
        <f t="shared" si="16"/>
        <v>Y</v>
      </c>
      <c r="J56" s="76" t="str">
        <f t="shared" si="17"/>
        <v xml:space="preserve">  </v>
      </c>
    </row>
    <row r="57" spans="1:15" ht="23.25" hidden="1" x14ac:dyDescent="0.35">
      <c r="A57" s="93" t="s">
        <v>366</v>
      </c>
      <c r="B57" s="8" t="str">
        <f>VLOOKUP(A57,'Date Calcs'!A:B,2,)</f>
        <v>SNF</v>
      </c>
      <c r="C57" s="9">
        <f>VLOOKUP(A57,'Actual Dates'!A:AF,18,)</f>
        <v>1</v>
      </c>
      <c r="D57" s="10">
        <f>IF(C57=0,VLOOKUP(A57,'Date Calcs'!A:AF,8,),IF(C57=1,VLOOKUP(A57,'Date Calcs'!A:AF,10,),IF(C57=2,VLOOKUP(A57,'Date Calcs'!A:AF,12,),IF(C57=3,VLOOKUP(A57,'Date Calcs'!A:AF,14,),4))))</f>
        <v>46080</v>
      </c>
      <c r="E57" s="10"/>
      <c r="F57" s="9">
        <f ca="1">ROUND(IF(A57="","",IF(E57=0,D57-Date!$B$3,D57-E57)),0)</f>
        <v>7</v>
      </c>
      <c r="G57" s="9"/>
      <c r="I57" s="76" t="str">
        <f t="shared" si="16"/>
        <v>Y</v>
      </c>
      <c r="J57" s="76" t="str">
        <f t="shared" si="17"/>
        <v xml:space="preserve">  </v>
      </c>
    </row>
    <row r="58" spans="1:15" ht="23.25" hidden="1" x14ac:dyDescent="0.35">
      <c r="A58" s="93" t="s">
        <v>367</v>
      </c>
      <c r="B58" s="8" t="str">
        <f>VLOOKUP(A58,'Date Calcs'!A:B,2,)</f>
        <v>SNF</v>
      </c>
      <c r="C58" s="9">
        <f>VLOOKUP(A58,'Actual Dates'!A:AF,18,)</f>
        <v>1</v>
      </c>
      <c r="D58" s="10">
        <f>IF(C58=0,VLOOKUP(A58,'Date Calcs'!A:AF,8,),IF(C58=1,VLOOKUP(A58,'Date Calcs'!A:AF,10,),IF(C58=2,VLOOKUP(A58,'Date Calcs'!A:AF,12,),IF(C58=3,VLOOKUP(A58,'Date Calcs'!A:AF,14,),4))))</f>
        <v>46080</v>
      </c>
      <c r="E58" s="10"/>
      <c r="F58" s="9">
        <f ca="1">ROUND(IF(A58="","",IF(E58=0,D58-Date!$B$3,D58-E58)),0)</f>
        <v>7</v>
      </c>
      <c r="G58" s="9"/>
      <c r="I58" s="76" t="str">
        <f t="shared" si="16"/>
        <v>Y</v>
      </c>
      <c r="J58" s="76" t="str">
        <f t="shared" si="17"/>
        <v xml:space="preserve">  </v>
      </c>
    </row>
    <row r="59" spans="1:15" ht="23.25" x14ac:dyDescent="0.35">
      <c r="A59" s="93" t="s">
        <v>368</v>
      </c>
      <c r="B59" s="8" t="str">
        <f>VLOOKUP(A59,'Date Calcs'!A:B,2,)</f>
        <v>US Sugar</v>
      </c>
      <c r="C59" s="9">
        <f>VLOOKUP(A59,'Actual Dates'!A:AF,18,)</f>
        <v>1</v>
      </c>
      <c r="D59" s="10">
        <f>IF(C59=0,VLOOKUP(A59,'Date Calcs'!A:AF,8,),IF(C59=1,VLOOKUP(A59,'Date Calcs'!A:AF,10,),IF(C59=2,VLOOKUP(A59,'Date Calcs'!A:AF,12,),IF(C59=3,VLOOKUP(A59,'Date Calcs'!A:AF,14,),4))))</f>
        <v>46071</v>
      </c>
      <c r="E59" s="10"/>
      <c r="F59" s="9">
        <f ca="1">ROUND(IF(A59="","",IF(E59=0,D59-Date!$B$3,D59-E59)),0)</f>
        <v>-2</v>
      </c>
      <c r="G59" s="9"/>
      <c r="I59" s="76" t="str">
        <f t="shared" si="16"/>
        <v>N</v>
      </c>
      <c r="J59" s="76" t="str">
        <f t="shared" si="17"/>
        <v xml:space="preserve">  </v>
      </c>
      <c r="L59" s="98" t="s">
        <v>380</v>
      </c>
      <c r="M59" s="98"/>
      <c r="N59" s="98"/>
      <c r="O59" s="98"/>
    </row>
    <row r="60" spans="1:15" ht="23.25" hidden="1" x14ac:dyDescent="0.35">
      <c r="A60" s="93" t="s">
        <v>369</v>
      </c>
      <c r="B60" s="8" t="str">
        <f>VLOOKUP(A60,'Date Calcs'!A:B,2,)</f>
        <v>SNF</v>
      </c>
      <c r="C60" s="9">
        <f>VLOOKUP(A60,'Actual Dates'!A:AF,18,)</f>
        <v>1</v>
      </c>
      <c r="D60" s="10">
        <f>IF(C60=0,VLOOKUP(A60,'Date Calcs'!A:AF,8,),IF(C60=1,VLOOKUP(A60,'Date Calcs'!A:AF,10,),IF(C60=2,VLOOKUP(A60,'Date Calcs'!A:AF,12,),IF(C60=3,VLOOKUP(A60,'Date Calcs'!A:AF,14,),4))))</f>
        <v>46085</v>
      </c>
      <c r="E60" s="10"/>
      <c r="F60" s="9">
        <f ca="1">ROUND(IF(A60="","",IF(E60=0,D60-Date!$B$3,D60-E60)),0)</f>
        <v>12</v>
      </c>
      <c r="G60" s="9"/>
      <c r="I60" s="76" t="str">
        <f t="shared" si="16"/>
        <v>Y</v>
      </c>
      <c r="J60" s="76" t="str">
        <f t="shared" si="17"/>
        <v xml:space="preserve">  </v>
      </c>
    </row>
    <row r="61" spans="1:15" ht="23.25" x14ac:dyDescent="0.35">
      <c r="A61" s="93" t="s">
        <v>370</v>
      </c>
      <c r="B61" s="8" t="str">
        <f>VLOOKUP(A61,'Date Calcs'!A:B,2,)</f>
        <v>SNF</v>
      </c>
      <c r="C61" s="9">
        <f>VLOOKUP(A61,'Actual Dates'!A:AF,18,)</f>
        <v>0</v>
      </c>
      <c r="D61" s="10">
        <f>IF(C61=0,VLOOKUP(A61,'Date Calcs'!A:AF,8,),IF(C61=1,VLOOKUP(A61,'Date Calcs'!A:AF,10,),IF(C61=2,VLOOKUP(A61,'Date Calcs'!A:AF,12,),IF(C61=3,VLOOKUP(A61,'Date Calcs'!A:AF,14,),4))))</f>
        <v>46099</v>
      </c>
      <c r="E61" s="10"/>
      <c r="F61" s="9">
        <f ca="1">ROUND(IF(A61="","",IF(E61=0,D61-Date!$B$3,D61-E61)),0)</f>
        <v>26</v>
      </c>
      <c r="G61" s="9"/>
      <c r="I61" s="76" t="str">
        <f t="shared" si="16"/>
        <v>N</v>
      </c>
      <c r="J61" s="76" t="str">
        <f t="shared" si="17"/>
        <v xml:space="preserve">  </v>
      </c>
    </row>
    <row r="62" spans="1:15" ht="23.25" x14ac:dyDescent="0.35">
      <c r="A62" s="93" t="s">
        <v>371</v>
      </c>
      <c r="B62" s="8" t="str">
        <f>VLOOKUP(A62,'Date Calcs'!A:B,2,)</f>
        <v>SNF</v>
      </c>
      <c r="C62" s="9">
        <f>VLOOKUP(A62,'Actual Dates'!A:AF,18,)</f>
        <v>0</v>
      </c>
      <c r="D62" s="10">
        <f>IF(C62=0,VLOOKUP(A62,'Date Calcs'!A:AF,8,),IF(C62=1,VLOOKUP(A62,'Date Calcs'!A:AF,10,),IF(C62=2,VLOOKUP(A62,'Date Calcs'!A:AF,12,),IF(C62=3,VLOOKUP(A62,'Date Calcs'!A:AF,14,),4))))</f>
        <v>46092</v>
      </c>
      <c r="E62" s="10"/>
      <c r="F62" s="9">
        <f ca="1">ROUND(IF(A62="","",IF(E62=0,D62-Date!$B$3,D62-E62)),0)</f>
        <v>19</v>
      </c>
      <c r="G62" s="9"/>
      <c r="I62" s="76" t="str">
        <f t="shared" si="16"/>
        <v>N</v>
      </c>
      <c r="J62" s="76" t="str">
        <f t="shared" si="17"/>
        <v xml:space="preserve">  </v>
      </c>
    </row>
    <row r="63" spans="1:15" ht="23.25" hidden="1" x14ac:dyDescent="0.35">
      <c r="A63" s="102" t="s">
        <v>372</v>
      </c>
      <c r="B63" s="8" t="str">
        <f>VLOOKUP(A63,'Date Calcs'!A:B,2,)</f>
        <v>SNF</v>
      </c>
      <c r="C63" s="9">
        <f>VLOOKUP(A63,'Actual Dates'!A:AF,18,)</f>
        <v>1</v>
      </c>
      <c r="D63" s="10">
        <f>IF(C63=0,VLOOKUP(A63,'Date Calcs'!A:AF,8,),IF(C63=1,VLOOKUP(A63,'Date Calcs'!A:AF,10,),IF(C63=2,VLOOKUP(A63,'Date Calcs'!A:AF,12,),IF(C63=3,VLOOKUP(A63,'Date Calcs'!A:AF,14,),4))))</f>
        <v>46085</v>
      </c>
      <c r="E63" s="104"/>
      <c r="F63" s="103">
        <f ca="1">ROUND(IF(A63="","",IF(E63=0,D63-Date!$B$3,D63-E63)),0)</f>
        <v>12</v>
      </c>
      <c r="G63" s="103"/>
      <c r="I63" s="76" t="str">
        <f t="shared" si="16"/>
        <v>Y</v>
      </c>
      <c r="J63" s="76" t="str">
        <f t="shared" si="17"/>
        <v xml:space="preserve">  </v>
      </c>
    </row>
    <row r="64" spans="1:15" ht="23.25" hidden="1" x14ac:dyDescent="0.35">
      <c r="A64" s="93" t="s">
        <v>373</v>
      </c>
      <c r="B64" s="8" t="str">
        <f>VLOOKUP(A64,'Date Calcs'!A:B,2,)</f>
        <v>SNF</v>
      </c>
      <c r="C64" s="9">
        <f>VLOOKUP(A64,'Actual Dates'!A:AF,18,)</f>
        <v>1</v>
      </c>
      <c r="D64" s="10">
        <f>IF(C64=0,VLOOKUP(A64,'Date Calcs'!A:AF,8,),IF(C64=1,VLOOKUP(A64,'Date Calcs'!A:AF,10,),IF(C64=2,VLOOKUP(A64,'Date Calcs'!A:AF,12,),IF(C64=3,VLOOKUP(A64,'Date Calcs'!A:AF,14,),4))))</f>
        <v>46085</v>
      </c>
      <c r="E64" s="10"/>
      <c r="F64" s="9">
        <f ca="1">ROUND(IF(A64="","",IF(E64=0,D64-Date!$B$3,D64-E64)),0)</f>
        <v>12</v>
      </c>
      <c r="G64" s="9"/>
      <c r="I64" s="76" t="str">
        <f t="shared" si="14"/>
        <v>Y</v>
      </c>
      <c r="J64" s="76" t="str">
        <f t="shared" si="15"/>
        <v xml:space="preserve">  </v>
      </c>
    </row>
    <row r="65" spans="1:10" ht="23.25" x14ac:dyDescent="0.35">
      <c r="A65" s="93" t="s">
        <v>377</v>
      </c>
      <c r="B65" s="8" t="str">
        <f>VLOOKUP(A65,'Date Calcs'!A:B,2,)</f>
        <v>US Sugar</v>
      </c>
      <c r="C65" s="9">
        <f>VLOOKUP(A65,'Actual Dates'!A:AF,18,)</f>
        <v>0</v>
      </c>
      <c r="D65" s="10">
        <f>IF(C65=0,VLOOKUP(A65,'Date Calcs'!A:AF,8,),IF(C65=1,VLOOKUP(A65,'Date Calcs'!A:AF,10,),IF(C65=2,VLOOKUP(A65,'Date Calcs'!A:AF,12,),IF(C65=3,VLOOKUP(A65,'Date Calcs'!A:AF,14,),4))))</f>
        <v>46087</v>
      </c>
      <c r="E65" s="10"/>
      <c r="F65" s="9">
        <f ca="1">ROUND(IF(A65="","",IF(E65=0,D65-Date!$B$3,D65-E65)),0)</f>
        <v>14</v>
      </c>
      <c r="G65" s="9"/>
      <c r="I65" s="76" t="str">
        <f t="shared" si="14"/>
        <v>N</v>
      </c>
      <c r="J65" s="76" t="str">
        <f t="shared" si="15"/>
        <v xml:space="preserve">  </v>
      </c>
    </row>
    <row r="66" spans="1:10" ht="23.25" x14ac:dyDescent="0.35">
      <c r="A66" s="93" t="s">
        <v>378</v>
      </c>
      <c r="B66" s="8" t="str">
        <f>VLOOKUP(A66,'Date Calcs'!A:B,2,)</f>
        <v>US Sugar</v>
      </c>
      <c r="C66" s="9">
        <f>VLOOKUP(A66,'Actual Dates'!A:AF,18,)</f>
        <v>0</v>
      </c>
      <c r="D66" s="10">
        <f>IF(C66=0,VLOOKUP(A66,'Date Calcs'!A:AF,8,),IF(C66=1,VLOOKUP(A66,'Date Calcs'!A:AF,10,),IF(C66=2,VLOOKUP(A66,'Date Calcs'!A:AF,12,),IF(C66=3,VLOOKUP(A66,'Date Calcs'!A:AF,14,),4))))</f>
        <v>46087</v>
      </c>
      <c r="E66" s="10"/>
      <c r="F66" s="9">
        <f ca="1">ROUND(IF(A66="","",IF(E66=0,D66-Date!$B$3,D66-E66)),0)</f>
        <v>14</v>
      </c>
      <c r="G66" s="9"/>
      <c r="I66" s="76" t="str">
        <f t="shared" si="14"/>
        <v>N</v>
      </c>
      <c r="J66" s="76" t="str">
        <f t="shared" si="15"/>
        <v xml:space="preserve">  </v>
      </c>
    </row>
    <row r="67" spans="1:10" ht="23.25" x14ac:dyDescent="0.35">
      <c r="A67" s="93" t="s">
        <v>379</v>
      </c>
      <c r="B67" s="8" t="str">
        <f>VLOOKUP(A67,'Date Calcs'!A:B,2,)</f>
        <v>Andritz</v>
      </c>
      <c r="C67" s="9">
        <f>VLOOKUP(A67,'Actual Dates'!A:AF,18,)</f>
        <v>0</v>
      </c>
      <c r="D67" s="10">
        <f>IF(C67=0,VLOOKUP(A67,'Date Calcs'!A:AF,8,),IF(C67=1,VLOOKUP(A67,'Date Calcs'!A:AF,10,),IF(C67=2,VLOOKUP(A67,'Date Calcs'!A:AF,12,),IF(C67=3,VLOOKUP(A67,'Date Calcs'!A:AF,14,),4))))</f>
        <v>46084</v>
      </c>
      <c r="E67" s="10"/>
      <c r="F67" s="9">
        <f ca="1">ROUND(IF(A67="","",IF(E67=0,D67-Date!$B$3,D67-E67)),0)</f>
        <v>11</v>
      </c>
      <c r="G67" s="9"/>
      <c r="I67" s="76" t="str">
        <f t="shared" si="14"/>
        <v>N</v>
      </c>
      <c r="J67" s="76" t="str">
        <f t="shared" si="15"/>
        <v xml:space="preserve">  </v>
      </c>
    </row>
  </sheetData>
  <autoFilter ref="A5:J67" xr:uid="{00000000-0009-0000-0000-000000000000}">
    <filterColumn colId="8">
      <filters>
        <filter val="N"/>
      </filters>
    </filterColumn>
    <filterColumn colId="9">
      <filters blank="1"/>
    </filterColumn>
  </autoFilter>
  <mergeCells count="1">
    <mergeCell ref="A1:G1"/>
  </mergeCells>
  <phoneticPr fontId="16" type="noConversion"/>
  <conditionalFormatting sqref="G6:G67">
    <cfRule type="expression" dxfId="57" priority="37">
      <formula>$F6=1</formula>
    </cfRule>
    <cfRule type="expression" dxfId="56" priority="38">
      <formula>$F6=0</formula>
    </cfRule>
    <cfRule type="expression" dxfId="55" priority="39">
      <formula>$F6&lt;0</formula>
    </cfRule>
    <cfRule type="expression" dxfId="54" priority="40">
      <formula>$F6&gt;1</formula>
    </cfRule>
  </conditionalFormatting>
  <pageMargins left="0.25" right="0.25" top="0.75" bottom="0.75" header="0.3" footer="0.3"/>
  <pageSetup scale="75" orientation="portrait" r:id="rId1"/>
  <headerFooter>
    <oddFooter>&amp;L&amp;D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J71"/>
  <sheetViews>
    <sheetView topLeftCell="A3" zoomScale="80" zoomScaleNormal="80" workbookViewId="0">
      <selection activeCell="B74" sqref="B74"/>
    </sheetView>
  </sheetViews>
  <sheetFormatPr defaultRowHeight="15" x14ac:dyDescent="0.25"/>
  <cols>
    <col min="1" max="1" width="19.5703125" customWidth="1"/>
    <col min="2" max="2" width="39.5703125" customWidth="1"/>
    <col min="3" max="3" width="6.7109375" customWidth="1"/>
    <col min="4" max="5" width="19.7109375" customWidth="1"/>
    <col min="6" max="6" width="15.7109375" customWidth="1"/>
    <col min="7" max="7" width="10.7109375" customWidth="1"/>
    <col min="9" max="9" width="8.140625" customWidth="1"/>
    <col min="10" max="10" width="7.85546875" customWidth="1"/>
  </cols>
  <sheetData>
    <row r="1" spans="1:10" ht="24.95" customHeight="1" x14ac:dyDescent="0.25">
      <c r="A1" s="123" t="s">
        <v>12</v>
      </c>
      <c r="B1" s="124"/>
      <c r="C1" s="124"/>
      <c r="D1" s="124"/>
      <c r="E1" s="124"/>
      <c r="F1" s="124"/>
      <c r="G1" s="125"/>
    </row>
    <row r="2" spans="1:10" ht="15" customHeight="1" x14ac:dyDescent="0.25">
      <c r="A2" s="31"/>
      <c r="B2" s="31"/>
      <c r="C2" s="31"/>
      <c r="D2" s="31"/>
      <c r="E2" s="31"/>
      <c r="F2" s="1" t="s">
        <v>8</v>
      </c>
      <c r="G2" s="2"/>
    </row>
    <row r="3" spans="1:10" ht="15" customHeight="1" x14ac:dyDescent="0.25">
      <c r="A3" s="31"/>
      <c r="B3" s="31"/>
      <c r="C3" s="31"/>
      <c r="D3" s="31"/>
      <c r="E3" s="31"/>
      <c r="F3" s="1" t="s">
        <v>9</v>
      </c>
      <c r="G3" s="3"/>
    </row>
    <row r="4" spans="1:10" ht="15" customHeight="1" x14ac:dyDescent="0.25">
      <c r="A4" s="31"/>
      <c r="B4" s="31"/>
      <c r="C4" s="31"/>
      <c r="D4" s="31"/>
      <c r="E4" s="31"/>
      <c r="F4" s="1" t="s">
        <v>10</v>
      </c>
      <c r="G4" s="4"/>
      <c r="I4" s="59" t="s">
        <v>66</v>
      </c>
      <c r="J4" s="59" t="s">
        <v>66</v>
      </c>
    </row>
    <row r="5" spans="1:10" ht="31.5" customHeight="1" x14ac:dyDescent="0.25">
      <c r="A5" s="32" t="s">
        <v>1</v>
      </c>
      <c r="B5" s="32" t="s">
        <v>7</v>
      </c>
      <c r="C5" s="32" t="s">
        <v>6</v>
      </c>
      <c r="D5" s="32" t="s">
        <v>2</v>
      </c>
      <c r="E5" s="32" t="s">
        <v>3</v>
      </c>
      <c r="F5" s="32" t="s">
        <v>5</v>
      </c>
      <c r="G5" s="32" t="s">
        <v>4</v>
      </c>
      <c r="I5" s="45" t="s">
        <v>64</v>
      </c>
      <c r="J5" s="45" t="s">
        <v>58</v>
      </c>
    </row>
    <row r="6" spans="1:10" ht="23.25" hidden="1" x14ac:dyDescent="0.25">
      <c r="A6" s="9" t="s">
        <v>237</v>
      </c>
      <c r="B6" s="8" t="str">
        <f>VLOOKUP(A6,'Date Calcs'!A:AF,2,)</f>
        <v>SYMS Engineering</v>
      </c>
      <c r="C6" s="9">
        <f>VLOOKUP(A6,'Actual Dates'!A:AF,6,)</f>
        <v>3</v>
      </c>
      <c r="D6" s="10">
        <f>IF(C6="  ","  ",IF(C6=0,VLOOKUP(A6,'Date Calcs'!A:AF,9,),IF(C6=1,VLOOKUP(A6,'Date Calcs'!A:AF,11,),IF(C6=2,VLOOKUP(A6,'Date Calcs'!A:AF,13,),IF(C6=3,VLOOKUP(A6,'Date Calcs'!A:AF,15,),4)))))</f>
        <v>45882</v>
      </c>
      <c r="E6" s="10"/>
      <c r="F6" s="40">
        <f ca="1">IF(A6="","",D6-Date!$B$3)</f>
        <v>-191</v>
      </c>
      <c r="G6" s="12"/>
      <c r="I6" s="42">
        <f t="shared" ref="I6" si="0">IF(C6=0,IF(VLOOKUP(A6,Dates,9,)&gt;0,1,"  "),IF(C6=1,IF(VLOOKUP(A6,Dates,11,)&gt;0,1,"  "),IF(C6=2,IF(VLOOKUP(A6,Dates,13,)&gt;0,1,"  "),IF(C6=3,IF(VLOOKUP(A6,Dates,15,)&gt;0,1,"  ")))))</f>
        <v>1</v>
      </c>
      <c r="J6" s="42" t="str">
        <f t="shared" ref="J6" si="1">VLOOKUP(A6,Dates,7,)</f>
        <v>y</v>
      </c>
    </row>
    <row r="7" spans="1:10" ht="23.25" hidden="1" x14ac:dyDescent="0.35">
      <c r="A7" s="93" t="s">
        <v>275</v>
      </c>
      <c r="B7" s="8" t="str">
        <f t="shared" ref="B7:B9" si="2">VLOOKUP(A7,Jobs,2,)</f>
        <v>Kraton</v>
      </c>
      <c r="C7" s="9">
        <f t="shared" ref="C7:C9" si="3">VLOOKUP(A7,Dates,6,)</f>
        <v>3</v>
      </c>
      <c r="D7" s="10">
        <f>IF(C7="  ","  ",IF(C7=0,VLOOKUP(A7,'Date Calcs'!A:AF,9,),IF(C7=1,VLOOKUP(A7,'Date Calcs'!A:AF,11,),IF(C7=2,VLOOKUP(A7,'Date Calcs'!A:AF,13,),IF(C7=3,VLOOKUP(A7,'Date Calcs'!A:AF,15,),4)))))</f>
        <v>45874</v>
      </c>
      <c r="E7" s="10"/>
      <c r="F7" s="40">
        <f ca="1">IF(A7="","",D7-Date!$B$3)</f>
        <v>-199</v>
      </c>
      <c r="G7" s="12"/>
      <c r="I7" s="42" t="str">
        <f t="shared" ref="I7:I9" si="4">IF(C7=0,IF(VLOOKUP(A7,Dates,9,)&gt;0,1,"  "),IF(C7=1,IF(VLOOKUP(A7,Dates,11,)&gt;0,1,"  "),IF(C7=2,IF(VLOOKUP(A7,Dates,13,)&gt;0,1,"  "),IF(C7=3,IF(VLOOKUP(A7,Dates,15,)&gt;0,1,"  ")))))</f>
        <v xml:space="preserve">  </v>
      </c>
      <c r="J7" s="42" t="str">
        <f t="shared" ref="J7:J9" si="5">VLOOKUP(A7,Dates,7,)</f>
        <v>y</v>
      </c>
    </row>
    <row r="8" spans="1:10" ht="23.25" hidden="1" x14ac:dyDescent="0.35">
      <c r="A8" s="93" t="s">
        <v>276</v>
      </c>
      <c r="B8" s="8" t="str">
        <f>VLOOKUP(A8,Jobs,2,)</f>
        <v>Andritz</v>
      </c>
      <c r="C8" s="9" t="str">
        <f t="shared" si="3"/>
        <v xml:space="preserve">  </v>
      </c>
      <c r="D8" s="10" t="str">
        <f>IF(C8="  ","  ",IF(C8=0,VLOOKUP(A8,'Date Calcs'!A:AF,9,),IF(C8=1,VLOOKUP(A8,'Date Calcs'!A:AF,11,),IF(C8=2,VLOOKUP(A8,'Date Calcs'!A:AF,13,),IF(C8=3,VLOOKUP(A8,'Date Calcs'!A:AF,15,),4)))))</f>
        <v xml:space="preserve">  </v>
      </c>
      <c r="E8" s="10"/>
      <c r="F8" s="40" t="e">
        <f ca="1">IF(A8="","",D8-Date!$B$3)</f>
        <v>#VALUE!</v>
      </c>
      <c r="G8" s="12"/>
      <c r="I8" s="42" t="b">
        <f t="shared" si="4"/>
        <v>0</v>
      </c>
      <c r="J8" s="42" t="str">
        <f t="shared" si="5"/>
        <v xml:space="preserve">  </v>
      </c>
    </row>
    <row r="9" spans="1:10" ht="23.25" hidden="1" x14ac:dyDescent="0.35">
      <c r="A9" s="93" t="s">
        <v>277</v>
      </c>
      <c r="B9" s="8" t="str">
        <f t="shared" si="2"/>
        <v>Chromascape</v>
      </c>
      <c r="C9" s="9">
        <f t="shared" si="3"/>
        <v>2</v>
      </c>
      <c r="D9" s="10">
        <f>IF(C9="  ","  ",IF(C9=0,VLOOKUP(A9,'Date Calcs'!A:AF,9,),IF(C9=1,VLOOKUP(A9,'Date Calcs'!A:AF,11,),IF(C9=2,VLOOKUP(A9,'Date Calcs'!A:AF,13,),IF(C9=3,VLOOKUP(A9,'Date Calcs'!A:AF,15,),4)))))</f>
        <v>45862</v>
      </c>
      <c r="E9" s="10"/>
      <c r="F9" s="40">
        <f ca="1">IF(A9="","",D9-Date!$B$3)</f>
        <v>-211</v>
      </c>
      <c r="G9" s="12"/>
      <c r="I9" s="42" t="str">
        <f t="shared" si="4"/>
        <v xml:space="preserve">  </v>
      </c>
      <c r="J9" s="42" t="str">
        <f t="shared" si="5"/>
        <v>y</v>
      </c>
    </row>
    <row r="10" spans="1:10" ht="23.25" hidden="1" x14ac:dyDescent="0.35">
      <c r="A10" s="93" t="s">
        <v>279</v>
      </c>
      <c r="B10" s="8" t="str">
        <f t="shared" ref="B10:B28" si="6">VLOOKUP(A10,Jobs,2,)</f>
        <v>Airgas</v>
      </c>
      <c r="C10" s="9">
        <f t="shared" ref="C10:C28" si="7">VLOOKUP(A10,Dates,6,)</f>
        <v>1</v>
      </c>
      <c r="D10" s="10">
        <f>IF(C10="  ","  ",IF(C10=0,VLOOKUP(A10,'Date Calcs'!A:AF,9,),IF(C10=1,VLOOKUP(A10,'Date Calcs'!A:AF,11,),IF(C10=2,VLOOKUP(A10,'Date Calcs'!A:AF,13,),IF(C10=3,VLOOKUP(A10,'Date Calcs'!A:AF,15,),4)))))</f>
        <v>46015</v>
      </c>
      <c r="E10" s="10"/>
      <c r="F10" s="40">
        <f ca="1">IF(A10="","",D10-Date!$B$3)</f>
        <v>-58</v>
      </c>
      <c r="G10" s="12"/>
      <c r="I10" s="42" t="str">
        <f t="shared" ref="I10:I28" si="8">IF(C10=0,IF(VLOOKUP(A10,Dates,9,)&gt;0,1,"  "),IF(C10=1,IF(VLOOKUP(A10,Dates,11,)&gt;0,1,"  "),IF(C10=2,IF(VLOOKUP(A10,Dates,13,)&gt;0,1,"  "),IF(C10=3,IF(VLOOKUP(A10,Dates,15,)&gt;0,1,"  ")))))</f>
        <v xml:space="preserve">  </v>
      </c>
      <c r="J10" s="42" t="str">
        <f t="shared" ref="J10:J28" si="9">VLOOKUP(A10,Dates,7,)</f>
        <v>y</v>
      </c>
    </row>
    <row r="11" spans="1:10" ht="23.25" hidden="1" x14ac:dyDescent="0.35">
      <c r="A11" s="93" t="s">
        <v>299</v>
      </c>
      <c r="B11" s="8" t="str">
        <f t="shared" si="6"/>
        <v>Kemira</v>
      </c>
      <c r="C11" s="9">
        <f t="shared" si="7"/>
        <v>1</v>
      </c>
      <c r="D11" s="10">
        <f>IF(C11="  ","  ",IF(C11=0,VLOOKUP(A11,'Date Calcs'!A:AF,9,),IF(C11=1,VLOOKUP(A11,'Date Calcs'!A:AF,11,),IF(C11=2,VLOOKUP(A11,'Date Calcs'!A:AF,13,),IF(C11=3,VLOOKUP(A11,'Date Calcs'!A:AF,15,),4)))))</f>
        <v>45867</v>
      </c>
      <c r="E11" s="10"/>
      <c r="F11" s="40">
        <f ca="1">IF(A11="","",D11-Date!$B$3)</f>
        <v>-206</v>
      </c>
      <c r="G11" s="12"/>
      <c r="I11" s="42" t="str">
        <f t="shared" si="8"/>
        <v xml:space="preserve">  </v>
      </c>
      <c r="J11" s="42" t="str">
        <f t="shared" si="9"/>
        <v>y</v>
      </c>
    </row>
    <row r="12" spans="1:10" ht="23.25" hidden="1" x14ac:dyDescent="0.35">
      <c r="A12" s="93" t="s">
        <v>300</v>
      </c>
      <c r="B12" s="8" t="str">
        <f t="shared" si="6"/>
        <v>Kemira</v>
      </c>
      <c r="C12" s="9">
        <f t="shared" si="7"/>
        <v>2</v>
      </c>
      <c r="D12" s="10">
        <f>IF(C12="  ","  ",IF(C12=0,VLOOKUP(A12,'Date Calcs'!A:AF,9,),IF(C12=1,VLOOKUP(A12,'Date Calcs'!A:AF,11,),IF(C12=2,VLOOKUP(A12,'Date Calcs'!A:AF,13,),IF(C12=3,VLOOKUP(A12,'Date Calcs'!A:AF,15,),4)))))</f>
        <v>45895</v>
      </c>
      <c r="E12" s="10"/>
      <c r="F12" s="40">
        <f ca="1">IF(A12="","",D12-Date!$B$3)</f>
        <v>-178</v>
      </c>
      <c r="G12" s="12"/>
      <c r="I12" s="42" t="str">
        <f t="shared" si="8"/>
        <v xml:space="preserve">  </v>
      </c>
      <c r="J12" s="42" t="str">
        <f t="shared" si="9"/>
        <v>y</v>
      </c>
    </row>
    <row r="13" spans="1:10" ht="23.25" hidden="1" x14ac:dyDescent="0.35">
      <c r="A13" s="93" t="s">
        <v>302</v>
      </c>
      <c r="B13" s="8" t="str">
        <f t="shared" si="6"/>
        <v>Irving tissue</v>
      </c>
      <c r="C13" s="9">
        <f t="shared" si="7"/>
        <v>1</v>
      </c>
      <c r="D13" s="10">
        <f>IF(C13="  ","  ",IF(C13=0,VLOOKUP(A13,'Date Calcs'!A:AF,9,),IF(C13=1,VLOOKUP(A13,'Date Calcs'!A:AF,11,),IF(C13=2,VLOOKUP(A13,'Date Calcs'!A:AF,13,),IF(C13=3,VLOOKUP(A13,'Date Calcs'!A:AF,15,),4)))))</f>
        <v>45895</v>
      </c>
      <c r="E13" s="10"/>
      <c r="F13" s="40">
        <f ca="1">IF(A13="","",D13-Date!$B$3)</f>
        <v>-178</v>
      </c>
      <c r="G13" s="12"/>
      <c r="I13" s="42" t="str">
        <f t="shared" si="8"/>
        <v xml:space="preserve">  </v>
      </c>
      <c r="J13" s="42" t="str">
        <f t="shared" si="9"/>
        <v>y</v>
      </c>
    </row>
    <row r="14" spans="1:10" ht="23.25" hidden="1" x14ac:dyDescent="0.35">
      <c r="A14" s="93" t="s">
        <v>303</v>
      </c>
      <c r="B14" s="8" t="str">
        <f t="shared" si="6"/>
        <v>Epic Systems</v>
      </c>
      <c r="C14" s="9">
        <f t="shared" si="7"/>
        <v>2</v>
      </c>
      <c r="D14" s="10">
        <f>IF(C14="  ","  ",IF(C14=0,VLOOKUP(A14,'Date Calcs'!A:AF,9,),IF(C14=1,VLOOKUP(A14,'Date Calcs'!A:AF,11,),IF(C14=2,VLOOKUP(A14,'Date Calcs'!A:AF,13,),IF(C14=3,VLOOKUP(A14,'Date Calcs'!A:AF,15,),4)))))</f>
        <v>45901</v>
      </c>
      <c r="E14" s="10"/>
      <c r="F14" s="40">
        <f ca="1">IF(A14="","",D14-Date!$B$3)</f>
        <v>-172</v>
      </c>
      <c r="G14" s="12"/>
      <c r="I14" s="42" t="str">
        <f t="shared" si="8"/>
        <v xml:space="preserve">  </v>
      </c>
      <c r="J14" s="42" t="str">
        <f t="shared" si="9"/>
        <v>y</v>
      </c>
    </row>
    <row r="15" spans="1:10" ht="23.25" hidden="1" x14ac:dyDescent="0.35">
      <c r="A15" s="93" t="s">
        <v>304</v>
      </c>
      <c r="B15" s="8" t="str">
        <f t="shared" si="6"/>
        <v>Epic Systems</v>
      </c>
      <c r="C15" s="9">
        <f t="shared" si="7"/>
        <v>2</v>
      </c>
      <c r="D15" s="10">
        <f>IF(C15="  ","  ",IF(C15=0,VLOOKUP(A15,'Date Calcs'!A:AF,9,),IF(C15=1,VLOOKUP(A15,'Date Calcs'!A:AF,11,),IF(C15=2,VLOOKUP(A15,'Date Calcs'!A:AF,13,),IF(C15=3,VLOOKUP(A15,'Date Calcs'!A:AF,15,),4)))))</f>
        <v>45901</v>
      </c>
      <c r="E15" s="10"/>
      <c r="F15" s="40">
        <f ca="1">IF(A15="","",D15-Date!$B$3)</f>
        <v>-172</v>
      </c>
      <c r="G15" s="12"/>
      <c r="I15" s="42" t="str">
        <f t="shared" si="8"/>
        <v xml:space="preserve">  </v>
      </c>
      <c r="J15" s="42" t="str">
        <f t="shared" si="9"/>
        <v>y</v>
      </c>
    </row>
    <row r="16" spans="1:10" ht="23.25" hidden="1" x14ac:dyDescent="0.35">
      <c r="A16" s="93" t="s">
        <v>305</v>
      </c>
      <c r="B16" s="8" t="str">
        <f t="shared" si="6"/>
        <v>Epic Systems</v>
      </c>
      <c r="C16" s="9">
        <f t="shared" si="7"/>
        <v>2</v>
      </c>
      <c r="D16" s="10">
        <f>IF(C16="  ","  ",IF(C16=0,VLOOKUP(A16,'Date Calcs'!A:AF,9,),IF(C16=1,VLOOKUP(A16,'Date Calcs'!A:AF,11,),IF(C16=2,VLOOKUP(A16,'Date Calcs'!A:AF,13,),IF(C16=3,VLOOKUP(A16,'Date Calcs'!A:AF,15,),4)))))</f>
        <v>45901</v>
      </c>
      <c r="E16" s="10"/>
      <c r="F16" s="40">
        <f ca="1">IF(A16="","",D16-Date!$B$3)</f>
        <v>-172</v>
      </c>
      <c r="G16" s="12"/>
      <c r="I16" s="42" t="str">
        <f t="shared" si="8"/>
        <v xml:space="preserve">  </v>
      </c>
      <c r="J16" s="42" t="str">
        <f t="shared" si="9"/>
        <v>y</v>
      </c>
    </row>
    <row r="17" spans="1:10" ht="23.25" hidden="1" x14ac:dyDescent="0.35">
      <c r="A17" s="93" t="s">
        <v>306</v>
      </c>
      <c r="B17" s="8" t="str">
        <f t="shared" si="6"/>
        <v>Domtar</v>
      </c>
      <c r="C17" s="9">
        <f t="shared" si="7"/>
        <v>1</v>
      </c>
      <c r="D17" s="10">
        <f>IF(C17="  ","  ",IF(C17=0,VLOOKUP(A17,'Date Calcs'!A:AF,9,),IF(C17=1,VLOOKUP(A17,'Date Calcs'!A:AF,11,),IF(C17=2,VLOOKUP(A17,'Date Calcs'!A:AF,13,),IF(C17=3,VLOOKUP(A17,'Date Calcs'!A:AF,15,),4)))))</f>
        <v>45897</v>
      </c>
      <c r="E17" s="10"/>
      <c r="F17" s="40">
        <f ca="1">IF(A17="","",D17-Date!$B$3)</f>
        <v>-176</v>
      </c>
      <c r="G17" s="12"/>
      <c r="I17" s="42" t="str">
        <f t="shared" si="8"/>
        <v xml:space="preserve">  </v>
      </c>
      <c r="J17" s="42" t="str">
        <f t="shared" si="9"/>
        <v>y</v>
      </c>
    </row>
    <row r="18" spans="1:10" ht="23.25" hidden="1" x14ac:dyDescent="0.35">
      <c r="A18" s="93" t="s">
        <v>311</v>
      </c>
      <c r="B18" s="8" t="str">
        <f t="shared" si="6"/>
        <v>Synthomer</v>
      </c>
      <c r="C18" s="9">
        <f t="shared" si="7"/>
        <v>2</v>
      </c>
      <c r="D18" s="10">
        <f>IF(C18="  ","  ",IF(C18=0,VLOOKUP(A18,'Date Calcs'!A:AF,9,),IF(C18=1,VLOOKUP(A18,'Date Calcs'!A:AF,11,),IF(C18=2,VLOOKUP(A18,'Date Calcs'!A:AF,13,),IF(C18=3,VLOOKUP(A18,'Date Calcs'!A:AF,15,),4)))))</f>
        <v>45972</v>
      </c>
      <c r="E18" s="10"/>
      <c r="F18" s="40">
        <f ca="1">IF(A18="","",D18-Date!$B$3)</f>
        <v>-101</v>
      </c>
      <c r="G18" s="12"/>
      <c r="I18" s="42">
        <f t="shared" si="8"/>
        <v>1</v>
      </c>
      <c r="J18" s="42" t="str">
        <f t="shared" si="9"/>
        <v>y</v>
      </c>
    </row>
    <row r="19" spans="1:10" ht="23.25" hidden="1" x14ac:dyDescent="0.35">
      <c r="A19" s="93" t="s">
        <v>313</v>
      </c>
      <c r="B19" s="8" t="str">
        <f t="shared" si="6"/>
        <v>Atlas Minerals</v>
      </c>
      <c r="C19" s="9">
        <f t="shared" si="7"/>
        <v>3</v>
      </c>
      <c r="D19" s="10">
        <f>IF(C19="  ","  ",IF(C19=0,VLOOKUP(A19,'Date Calcs'!A:AF,9,),IF(C19=1,VLOOKUP(A19,'Date Calcs'!A:AF,11,),IF(C19=2,VLOOKUP(A19,'Date Calcs'!A:AF,13,),IF(C19=3,VLOOKUP(A19,'Date Calcs'!A:AF,15,),4)))))</f>
        <v>45968</v>
      </c>
      <c r="E19" s="10"/>
      <c r="F19" s="40">
        <f ca="1">IF(A19="","",D19-Date!$B$3)</f>
        <v>-105</v>
      </c>
      <c r="G19" s="12"/>
      <c r="I19" s="42">
        <f t="shared" si="8"/>
        <v>1</v>
      </c>
      <c r="J19" s="42" t="str">
        <f t="shared" si="9"/>
        <v>y</v>
      </c>
    </row>
    <row r="20" spans="1:10" ht="23.25" hidden="1" x14ac:dyDescent="0.35">
      <c r="A20" s="93" t="s">
        <v>315</v>
      </c>
      <c r="B20" s="8" t="str">
        <f t="shared" si="6"/>
        <v>Noah Industrial</v>
      </c>
      <c r="C20" s="9">
        <f t="shared" si="7"/>
        <v>1</v>
      </c>
      <c r="D20" s="10">
        <f>IF(C20="  ","  ",IF(C20=0,VLOOKUP(A20,'Date Calcs'!A:AF,9,),IF(C20=1,VLOOKUP(A20,'Date Calcs'!A:AF,11,),IF(C20=2,VLOOKUP(A20,'Date Calcs'!A:AF,13,),IF(C20=3,VLOOKUP(A20,'Date Calcs'!A:AF,15,),4)))))</f>
        <v>45895</v>
      </c>
      <c r="E20" s="10"/>
      <c r="F20" s="40">
        <f ca="1">IF(A20="","",D20-Date!$B$3)</f>
        <v>-178</v>
      </c>
      <c r="G20" s="12"/>
      <c r="I20" s="42" t="str">
        <f t="shared" si="8"/>
        <v xml:space="preserve">  </v>
      </c>
      <c r="J20" s="42" t="str">
        <f t="shared" si="9"/>
        <v>y</v>
      </c>
    </row>
    <row r="21" spans="1:10" ht="23.25" hidden="1" x14ac:dyDescent="0.35">
      <c r="A21" s="93" t="s">
        <v>317</v>
      </c>
      <c r="B21" s="8" t="str">
        <f t="shared" si="6"/>
        <v>Solvay</v>
      </c>
      <c r="C21" s="9">
        <f t="shared" si="7"/>
        <v>1</v>
      </c>
      <c r="D21" s="10">
        <f>IF(C21="  ","  ",IF(C21=0,VLOOKUP(A21,'Date Calcs'!A:AF,9,),IF(C21=1,VLOOKUP(A21,'Date Calcs'!A:AF,11,),IF(C21=2,VLOOKUP(A21,'Date Calcs'!A:AF,13,),IF(C21=3,VLOOKUP(A21,'Date Calcs'!A:AF,15,),4)))))</f>
        <v>45922</v>
      </c>
      <c r="E21" s="10"/>
      <c r="F21" s="40">
        <f ca="1">IF(A21="","",D21-Date!$B$3)</f>
        <v>-151</v>
      </c>
      <c r="G21" s="12"/>
      <c r="I21" s="42" t="str">
        <f t="shared" si="8"/>
        <v xml:space="preserve">  </v>
      </c>
      <c r="J21" s="42" t="str">
        <f t="shared" si="9"/>
        <v>y</v>
      </c>
    </row>
    <row r="22" spans="1:10" ht="23.25" hidden="1" x14ac:dyDescent="0.35">
      <c r="A22" s="93" t="s">
        <v>318</v>
      </c>
      <c r="B22" s="8" t="str">
        <f t="shared" si="6"/>
        <v>CIL Isotopes</v>
      </c>
      <c r="C22" s="9">
        <f t="shared" si="7"/>
        <v>1</v>
      </c>
      <c r="D22" s="10">
        <f>IF(C22="  ","  ",IF(C22=0,VLOOKUP(A22,'Date Calcs'!A:AF,9,),IF(C22=1,VLOOKUP(A22,'Date Calcs'!A:AF,11,),IF(C22=2,VLOOKUP(A22,'Date Calcs'!A:AF,13,),IF(C22=3,VLOOKUP(A22,'Date Calcs'!A:AF,15,),4)))))</f>
        <v>45922</v>
      </c>
      <c r="E22" s="10"/>
      <c r="F22" s="40">
        <f ca="1">IF(A22="","",D22-Date!$B$3)</f>
        <v>-151</v>
      </c>
      <c r="G22" s="12"/>
      <c r="I22" s="42" t="str">
        <f t="shared" si="8"/>
        <v xml:space="preserve">  </v>
      </c>
      <c r="J22" s="42" t="str">
        <f t="shared" si="9"/>
        <v>y</v>
      </c>
    </row>
    <row r="23" spans="1:10" ht="23.25" hidden="1" x14ac:dyDescent="0.35">
      <c r="A23" s="93" t="s">
        <v>319</v>
      </c>
      <c r="B23" s="8" t="str">
        <f t="shared" si="6"/>
        <v>Valmet</v>
      </c>
      <c r="C23" s="9">
        <f t="shared" si="7"/>
        <v>1</v>
      </c>
      <c r="D23" s="10">
        <f>IF(C23="  ","  ",IF(C23=0,VLOOKUP(A23,'Date Calcs'!A:AF,9,),IF(C23=1,VLOOKUP(A23,'Date Calcs'!A:AF,11,),IF(C23=2,VLOOKUP(A23,'Date Calcs'!A:AF,13,),IF(C23=3,VLOOKUP(A23,'Date Calcs'!A:AF,15,),4)))))</f>
        <v>46002</v>
      </c>
      <c r="E23" s="10"/>
      <c r="F23" s="40">
        <f ca="1">IF(A23="","",D23-Date!$B$3)</f>
        <v>-71</v>
      </c>
      <c r="G23" s="12"/>
      <c r="I23" s="42" t="str">
        <f t="shared" si="8"/>
        <v xml:space="preserve">  </v>
      </c>
      <c r="J23" s="42" t="str">
        <f t="shared" si="9"/>
        <v>y</v>
      </c>
    </row>
    <row r="24" spans="1:10" ht="23.25" hidden="1" x14ac:dyDescent="0.35">
      <c r="A24" s="93" t="s">
        <v>320</v>
      </c>
      <c r="B24" s="8" t="str">
        <f t="shared" si="6"/>
        <v>GAF</v>
      </c>
      <c r="C24" s="9">
        <f t="shared" si="7"/>
        <v>0</v>
      </c>
      <c r="D24" s="10">
        <f>IF(C24="  ","  ",IF(C24=0,VLOOKUP(A24,'Date Calcs'!A:AF,9,),IF(C24=1,VLOOKUP(A24,'Date Calcs'!A:AF,11,),IF(C24=2,VLOOKUP(A24,'Date Calcs'!A:AF,13,),IF(C24=3,VLOOKUP(A24,'Date Calcs'!A:AF,15,),4)))))</f>
        <v>45905</v>
      </c>
      <c r="E24" s="10"/>
      <c r="F24" s="40">
        <f ca="1">IF(A24="","",D24-Date!$B$3)</f>
        <v>-168</v>
      </c>
      <c r="G24" s="12"/>
      <c r="I24" s="42" t="str">
        <f t="shared" si="8"/>
        <v xml:space="preserve">  </v>
      </c>
      <c r="J24" s="42" t="str">
        <f t="shared" si="9"/>
        <v>y</v>
      </c>
    </row>
    <row r="25" spans="1:10" ht="23.25" hidden="1" x14ac:dyDescent="0.35">
      <c r="A25" s="93" t="s">
        <v>324</v>
      </c>
      <c r="B25" s="8" t="str">
        <f t="shared" si="6"/>
        <v>US Sugar</v>
      </c>
      <c r="C25" s="9" t="str">
        <f t="shared" si="7"/>
        <v xml:space="preserve">  </v>
      </c>
      <c r="D25" s="10" t="str">
        <f>IF(C25="  ","  ",IF(C25=0,VLOOKUP(A25,'Date Calcs'!A:AF,9,),IF(C25=1,VLOOKUP(A25,'Date Calcs'!A:AF,11,),IF(C25=2,VLOOKUP(A25,'Date Calcs'!A:AF,13,),IF(C25=3,VLOOKUP(A25,'Date Calcs'!A:AF,15,),4)))))</f>
        <v xml:space="preserve">  </v>
      </c>
      <c r="E25" s="10"/>
      <c r="F25" s="40" t="e">
        <f ca="1">IF(A25="","",D25-Date!$B$3)</f>
        <v>#VALUE!</v>
      </c>
      <c r="G25" s="12"/>
      <c r="I25" s="42" t="b">
        <f t="shared" si="8"/>
        <v>0</v>
      </c>
      <c r="J25" s="42" t="str">
        <f t="shared" si="9"/>
        <v xml:space="preserve">  </v>
      </c>
    </row>
    <row r="26" spans="1:10" ht="23.25" hidden="1" x14ac:dyDescent="0.35">
      <c r="A26" s="93" t="s">
        <v>325</v>
      </c>
      <c r="B26" s="8" t="str">
        <f t="shared" si="6"/>
        <v>Symrise</v>
      </c>
      <c r="C26" s="9">
        <f t="shared" si="7"/>
        <v>2</v>
      </c>
      <c r="D26" s="10">
        <f>IF(C26="  ","  ",IF(C26=0,VLOOKUP(A26,'Date Calcs'!A:AF,9,),IF(C26=1,VLOOKUP(A26,'Date Calcs'!A:AF,11,),IF(C26=2,VLOOKUP(A26,'Date Calcs'!A:AF,13,),IF(C26=3,VLOOKUP(A26,'Date Calcs'!A:AF,15,),4)))))</f>
        <v>45964</v>
      </c>
      <c r="E26" s="10"/>
      <c r="F26" s="40">
        <f ca="1">IF(A26="","",D26-Date!$B$3)</f>
        <v>-109</v>
      </c>
      <c r="G26" s="12"/>
      <c r="I26" s="42" t="str">
        <f t="shared" si="8"/>
        <v xml:space="preserve">  </v>
      </c>
      <c r="J26" s="42" t="str">
        <f t="shared" si="9"/>
        <v>y</v>
      </c>
    </row>
    <row r="27" spans="1:10" ht="23.25" hidden="1" x14ac:dyDescent="0.35">
      <c r="A27" s="93" t="s">
        <v>326</v>
      </c>
      <c r="B27" s="8" t="str">
        <f t="shared" si="6"/>
        <v>Symrise</v>
      </c>
      <c r="C27" s="9">
        <f t="shared" si="7"/>
        <v>2</v>
      </c>
      <c r="D27" s="10">
        <f>IF(C27="  ","  ",IF(C27=0,VLOOKUP(A27,'Date Calcs'!A:AF,9,),IF(C27=1,VLOOKUP(A27,'Date Calcs'!A:AF,11,),IF(C27=2,VLOOKUP(A27,'Date Calcs'!A:AF,13,),IF(C27=3,VLOOKUP(A27,'Date Calcs'!A:AF,15,),4)))))</f>
        <v>45964</v>
      </c>
      <c r="E27" s="10"/>
      <c r="F27" s="40">
        <f ca="1">IF(A27="","",D27-Date!$B$3)</f>
        <v>-109</v>
      </c>
      <c r="G27" s="12"/>
      <c r="I27" s="42" t="str">
        <f t="shared" si="8"/>
        <v xml:space="preserve">  </v>
      </c>
      <c r="J27" s="42" t="str">
        <f t="shared" si="9"/>
        <v>y</v>
      </c>
    </row>
    <row r="28" spans="1:10" ht="23.25" hidden="1" x14ac:dyDescent="0.35">
      <c r="A28" s="93" t="s">
        <v>327</v>
      </c>
      <c r="B28" s="8" t="str">
        <f t="shared" si="6"/>
        <v>Kimberly Clark</v>
      </c>
      <c r="C28" s="9">
        <f t="shared" si="7"/>
        <v>1</v>
      </c>
      <c r="D28" s="10">
        <f>IF(C28="  ","  ",IF(C28=0,VLOOKUP(A28,'Date Calcs'!A:AF,9,),IF(C28=1,VLOOKUP(A28,'Date Calcs'!A:AF,11,),IF(C28=2,VLOOKUP(A28,'Date Calcs'!A:AF,13,),IF(C28=3,VLOOKUP(A28,'Date Calcs'!A:AF,15,),4)))))</f>
        <v>45986</v>
      </c>
      <c r="E28" s="10"/>
      <c r="F28" s="40">
        <f ca="1">IF(A28="","",D28-Date!$B$3)</f>
        <v>-87</v>
      </c>
      <c r="G28" s="12"/>
      <c r="I28" s="42" t="str">
        <f t="shared" si="8"/>
        <v xml:space="preserve">  </v>
      </c>
      <c r="J28" s="42" t="str">
        <f t="shared" si="9"/>
        <v>y</v>
      </c>
    </row>
    <row r="29" spans="1:10" ht="23.25" x14ac:dyDescent="0.35">
      <c r="A29" s="93" t="s">
        <v>328</v>
      </c>
      <c r="B29" s="8" t="str">
        <f t="shared" ref="B29:B68" si="10">VLOOKUP(A29,Jobs,2,)</f>
        <v>Andritz</v>
      </c>
      <c r="C29" s="9">
        <f t="shared" ref="C29:C68" si="11">VLOOKUP(A29,Dates,6,)</f>
        <v>2</v>
      </c>
      <c r="D29" s="10">
        <f>IF(C29="  ","  ",IF(C29=0,VLOOKUP(A29,'Date Calcs'!A:AF,9,),IF(C29=1,VLOOKUP(A29,'Date Calcs'!A:AF,11,),IF(C29=2,VLOOKUP(A29,'Date Calcs'!A:AF,13,),IF(C29=3,VLOOKUP(A29,'Date Calcs'!A:AF,15,),4)))))</f>
        <v>46073</v>
      </c>
      <c r="E29" s="10"/>
      <c r="F29" s="40">
        <f ca="1">IF(A29="","",D29-Date!$B$3)</f>
        <v>0</v>
      </c>
      <c r="G29" s="12"/>
      <c r="I29" s="42" t="str">
        <f t="shared" ref="I29:I68" si="12">IF(C29=0,IF(VLOOKUP(A29,Dates,9,)&gt;0,1,"  "),IF(C29=1,IF(VLOOKUP(A29,Dates,11,)&gt;0,1,"  "),IF(C29=2,IF(VLOOKUP(A29,Dates,13,)&gt;0,1,"  "),IF(C29=3,IF(VLOOKUP(A29,Dates,15,)&gt;0,1,"  ")))))</f>
        <v xml:space="preserve">  </v>
      </c>
      <c r="J29" s="42" t="str">
        <f t="shared" ref="J29:J68" si="13">VLOOKUP(A29,Dates,7,)</f>
        <v xml:space="preserve">  </v>
      </c>
    </row>
    <row r="30" spans="1:10" ht="23.25" hidden="1" x14ac:dyDescent="0.35">
      <c r="A30" s="93" t="s">
        <v>329</v>
      </c>
      <c r="B30" s="8" t="str">
        <f t="shared" si="10"/>
        <v>Milliken</v>
      </c>
      <c r="C30" s="9">
        <f t="shared" si="11"/>
        <v>1</v>
      </c>
      <c r="D30" s="10">
        <f>IF(C30="  ","  ",IF(C30=0,VLOOKUP(A30,'Date Calcs'!A:AF,9,),IF(C30=1,VLOOKUP(A30,'Date Calcs'!A:AF,11,),IF(C30=2,VLOOKUP(A30,'Date Calcs'!A:AF,13,),IF(C30=3,VLOOKUP(A30,'Date Calcs'!A:AF,15,),4)))))</f>
        <v>45960</v>
      </c>
      <c r="E30" s="10"/>
      <c r="F30" s="40">
        <f ca="1">IF(A30="","",D30-Date!$B$3)</f>
        <v>-113</v>
      </c>
      <c r="G30" s="12"/>
      <c r="I30" s="42" t="str">
        <f t="shared" si="12"/>
        <v xml:space="preserve">  </v>
      </c>
      <c r="J30" s="42" t="str">
        <f t="shared" si="13"/>
        <v>y</v>
      </c>
    </row>
    <row r="31" spans="1:10" ht="23.25" hidden="1" x14ac:dyDescent="0.35">
      <c r="A31" s="93" t="s">
        <v>330</v>
      </c>
      <c r="B31" s="8" t="str">
        <f t="shared" si="10"/>
        <v>Milliken</v>
      </c>
      <c r="C31" s="9">
        <f t="shared" si="11"/>
        <v>1</v>
      </c>
      <c r="D31" s="10">
        <f>IF(C31="  ","  ",IF(C31=0,VLOOKUP(A31,'Date Calcs'!A:AF,9,),IF(C31=1,VLOOKUP(A31,'Date Calcs'!A:AF,11,),IF(C31=2,VLOOKUP(A31,'Date Calcs'!A:AF,13,),IF(C31=3,VLOOKUP(A31,'Date Calcs'!A:AF,15,),4)))))</f>
        <v>45960</v>
      </c>
      <c r="E31" s="10"/>
      <c r="F31" s="40">
        <f ca="1">IF(A31="","",D31-Date!$B$3)</f>
        <v>-113</v>
      </c>
      <c r="G31" s="12"/>
      <c r="I31" s="42" t="str">
        <f t="shared" si="12"/>
        <v xml:space="preserve">  </v>
      </c>
      <c r="J31" s="42" t="str">
        <f t="shared" si="13"/>
        <v>y</v>
      </c>
    </row>
    <row r="32" spans="1:10" ht="23.25" hidden="1" x14ac:dyDescent="0.35">
      <c r="A32" s="93" t="s">
        <v>331</v>
      </c>
      <c r="B32" s="8" t="str">
        <f t="shared" si="10"/>
        <v>Coastal Technologies</v>
      </c>
      <c r="C32" s="9">
        <f t="shared" si="11"/>
        <v>1</v>
      </c>
      <c r="D32" s="10">
        <f>IF(C32="  ","  ",IF(C32=0,VLOOKUP(A32,'Date Calcs'!A:AF,9,),IF(C32=1,VLOOKUP(A32,'Date Calcs'!A:AF,11,),IF(C32=2,VLOOKUP(A32,'Date Calcs'!A:AF,13,),IF(C32=3,VLOOKUP(A32,'Date Calcs'!A:AF,15,),4)))))</f>
        <v>45967</v>
      </c>
      <c r="E32" s="10"/>
      <c r="F32" s="40">
        <f ca="1">IF(A32="","",D32-Date!$B$3)</f>
        <v>-106</v>
      </c>
      <c r="G32" s="12"/>
      <c r="I32" s="42" t="str">
        <f t="shared" si="12"/>
        <v xml:space="preserve">  </v>
      </c>
      <c r="J32" s="42" t="str">
        <f t="shared" si="13"/>
        <v>y</v>
      </c>
    </row>
    <row r="33" spans="1:10" ht="23.25" hidden="1" x14ac:dyDescent="0.35">
      <c r="A33" s="93" t="s">
        <v>333</v>
      </c>
      <c r="B33" s="8" t="str">
        <f t="shared" si="10"/>
        <v>Burke Industrial</v>
      </c>
      <c r="C33" s="9">
        <f t="shared" si="11"/>
        <v>1</v>
      </c>
      <c r="D33" s="10">
        <f>IF(C33="  ","  ",IF(C33=0,VLOOKUP(A33,'Date Calcs'!A:AF,9,),IF(C33=1,VLOOKUP(A33,'Date Calcs'!A:AF,11,),IF(C33=2,VLOOKUP(A33,'Date Calcs'!A:AF,13,),IF(C33=3,VLOOKUP(A33,'Date Calcs'!A:AF,15,),4)))))</f>
        <v>45973</v>
      </c>
      <c r="E33" s="10"/>
      <c r="F33" s="40">
        <f ca="1">IF(A33="","",D33-Date!$B$3)</f>
        <v>-100</v>
      </c>
      <c r="G33" s="12"/>
      <c r="I33" s="42" t="str">
        <f t="shared" si="12"/>
        <v xml:space="preserve">  </v>
      </c>
      <c r="J33" s="42" t="str">
        <f t="shared" si="13"/>
        <v>y</v>
      </c>
    </row>
    <row r="34" spans="1:10" ht="17.25" hidden="1" x14ac:dyDescent="0.35">
      <c r="A34" s="93" t="s">
        <v>334</v>
      </c>
      <c r="B34" s="8" t="str">
        <f t="shared" si="10"/>
        <v>Harper Love</v>
      </c>
      <c r="C34" s="9">
        <f t="shared" si="11"/>
        <v>1</v>
      </c>
      <c r="D34" s="10">
        <f>IF(C34="  ","  ",IF(C34=0,VLOOKUP(A34,'Date Calcs'!A:AF,9,),IF(C34=1,VLOOKUP(A34,'Date Calcs'!A:AF,11,),IF(C34=2,VLOOKUP(A34,'Date Calcs'!A:AF,13,),IF(C34=3,VLOOKUP(A34,'Date Calcs'!A:AF,15,),4)))))</f>
        <v>46006</v>
      </c>
      <c r="E34" s="10"/>
      <c r="F34" s="40">
        <f ca="1">IF(A34="","",D34-Date!$B$3)</f>
        <v>-67</v>
      </c>
      <c r="G34" s="12"/>
      <c r="I34" s="42" t="str">
        <f t="shared" si="12"/>
        <v xml:space="preserve">  </v>
      </c>
      <c r="J34" s="42" t="str">
        <f t="shared" si="13"/>
        <v>y</v>
      </c>
    </row>
    <row r="35" spans="1:10" ht="23.25" hidden="1" x14ac:dyDescent="0.35">
      <c r="A35" s="93" t="s">
        <v>335</v>
      </c>
      <c r="B35" s="8" t="str">
        <f t="shared" si="10"/>
        <v>Epic Systems</v>
      </c>
      <c r="C35" s="9">
        <f t="shared" si="11"/>
        <v>2</v>
      </c>
      <c r="D35" s="10">
        <f>IF(C35="  ","  ",IF(C35=0,VLOOKUP(A35,'Date Calcs'!A:AF,9,),IF(C35=1,VLOOKUP(A35,'Date Calcs'!A:AF,11,),IF(C35=2,VLOOKUP(A35,'Date Calcs'!A:AF,13,),IF(C35=3,VLOOKUP(A35,'Date Calcs'!A:AF,15,),4)))))</f>
        <v>46064</v>
      </c>
      <c r="E35" s="10"/>
      <c r="F35" s="40">
        <f ca="1">IF(A35="","",D35-Date!$B$3)</f>
        <v>-9</v>
      </c>
      <c r="G35" s="12"/>
      <c r="I35" s="42">
        <f t="shared" si="12"/>
        <v>1</v>
      </c>
      <c r="J35" s="42" t="s">
        <v>75</v>
      </c>
    </row>
    <row r="36" spans="1:10" ht="23.25" hidden="1" x14ac:dyDescent="0.35">
      <c r="A36" s="93" t="s">
        <v>336</v>
      </c>
      <c r="B36" s="8" t="str">
        <f t="shared" si="10"/>
        <v>Epic Systems</v>
      </c>
      <c r="C36" s="9">
        <f t="shared" si="11"/>
        <v>2</v>
      </c>
      <c r="D36" s="10">
        <f>IF(C36="  ","  ",IF(C36=0,VLOOKUP(A36,'Date Calcs'!A:AF,9,),IF(C36=1,VLOOKUP(A36,'Date Calcs'!A:AF,11,),IF(C36=2,VLOOKUP(A36,'Date Calcs'!A:AF,13,),IF(C36=3,VLOOKUP(A36,'Date Calcs'!A:AF,15,),4)))))</f>
        <v>46064</v>
      </c>
      <c r="E36" s="10"/>
      <c r="F36" s="40">
        <f ca="1">IF(A36="","",D36-Date!$B$3)</f>
        <v>-9</v>
      </c>
      <c r="G36" s="12"/>
      <c r="I36" s="42">
        <f t="shared" si="12"/>
        <v>1</v>
      </c>
      <c r="J36" s="42" t="s">
        <v>75</v>
      </c>
    </row>
    <row r="37" spans="1:10" ht="23.25" hidden="1" x14ac:dyDescent="0.35">
      <c r="A37" s="93" t="s">
        <v>337</v>
      </c>
      <c r="B37" s="8" t="str">
        <f t="shared" si="10"/>
        <v>Epic Systems</v>
      </c>
      <c r="C37" s="9">
        <f t="shared" si="11"/>
        <v>2</v>
      </c>
      <c r="D37" s="10">
        <f>IF(C37="  ","  ",IF(C37=0,VLOOKUP(A37,'Date Calcs'!A:AF,9,),IF(C37=1,VLOOKUP(A37,'Date Calcs'!A:AF,11,),IF(C37=2,VLOOKUP(A37,'Date Calcs'!A:AF,13,),IF(C37=3,VLOOKUP(A37,'Date Calcs'!A:AF,15,),4)))))</f>
        <v>46064</v>
      </c>
      <c r="E37" s="10"/>
      <c r="F37" s="40">
        <f ca="1">IF(A37="","",D37-Date!$B$3)</f>
        <v>-9</v>
      </c>
      <c r="G37" s="12"/>
      <c r="I37" s="42">
        <f t="shared" si="12"/>
        <v>1</v>
      </c>
      <c r="J37" s="42" t="s">
        <v>75</v>
      </c>
    </row>
    <row r="38" spans="1:10" ht="23.25" hidden="1" x14ac:dyDescent="0.35">
      <c r="A38" s="93" t="s">
        <v>338</v>
      </c>
      <c r="B38" s="8" t="str">
        <f t="shared" si="10"/>
        <v>Epic Systems</v>
      </c>
      <c r="C38" s="9">
        <f t="shared" si="11"/>
        <v>2</v>
      </c>
      <c r="D38" s="10">
        <f>IF(C38="  ","  ",IF(C38=0,VLOOKUP(A38,'Date Calcs'!A:AF,9,),IF(C38=1,VLOOKUP(A38,'Date Calcs'!A:AF,11,),IF(C38=2,VLOOKUP(A38,'Date Calcs'!A:AF,13,),IF(C38=3,VLOOKUP(A38,'Date Calcs'!A:AF,15,),4)))))</f>
        <v>46064</v>
      </c>
      <c r="E38" s="10"/>
      <c r="F38" s="40">
        <f ca="1">IF(A38="","",D38-Date!$B$3)</f>
        <v>-9</v>
      </c>
      <c r="G38" s="12"/>
      <c r="I38" s="42">
        <f t="shared" si="12"/>
        <v>1</v>
      </c>
      <c r="J38" s="42" t="s">
        <v>75</v>
      </c>
    </row>
    <row r="39" spans="1:10" ht="23.25" hidden="1" x14ac:dyDescent="0.35">
      <c r="A39" s="93" t="s">
        <v>339</v>
      </c>
      <c r="B39" s="8" t="str">
        <f t="shared" si="10"/>
        <v>Epic Systems</v>
      </c>
      <c r="C39" s="9">
        <f t="shared" si="11"/>
        <v>2</v>
      </c>
      <c r="D39" s="10">
        <f>IF(C39="  ","  ",IF(C39=0,VLOOKUP(A39,'Date Calcs'!A:AF,9,),IF(C39=1,VLOOKUP(A39,'Date Calcs'!A:AF,11,),IF(C39=2,VLOOKUP(A39,'Date Calcs'!A:AF,13,),IF(C39=3,VLOOKUP(A39,'Date Calcs'!A:AF,15,),4)))))</f>
        <v>46065</v>
      </c>
      <c r="E39" s="10"/>
      <c r="F39" s="40">
        <f ca="1">IF(A39="","",D39-Date!$B$3)</f>
        <v>-8</v>
      </c>
      <c r="G39" s="12"/>
      <c r="I39" s="42">
        <f t="shared" si="12"/>
        <v>1</v>
      </c>
      <c r="J39" s="42" t="s">
        <v>75</v>
      </c>
    </row>
    <row r="40" spans="1:10" ht="23.25" hidden="1" x14ac:dyDescent="0.35">
      <c r="A40" s="93" t="s">
        <v>340</v>
      </c>
      <c r="B40" s="8" t="str">
        <f t="shared" si="10"/>
        <v>Epic Systems</v>
      </c>
      <c r="C40" s="9">
        <f t="shared" si="11"/>
        <v>0</v>
      </c>
      <c r="D40" s="10">
        <f>IF(C40="  ","  ",IF(C40=0,VLOOKUP(A40,'Date Calcs'!A:AF,9,),IF(C40=1,VLOOKUP(A40,'Date Calcs'!A:AF,11,),IF(C40=2,VLOOKUP(A40,'Date Calcs'!A:AF,13,),IF(C40=3,VLOOKUP(A40,'Date Calcs'!A:AF,15,),4)))))</f>
        <v>46001</v>
      </c>
      <c r="E40" s="10"/>
      <c r="F40" s="40">
        <f ca="1">IF(A40="","",D40-Date!$B$3)</f>
        <v>-72</v>
      </c>
      <c r="G40" s="12"/>
      <c r="I40" s="42">
        <f t="shared" si="12"/>
        <v>1</v>
      </c>
      <c r="J40" s="42" t="str">
        <f t="shared" si="13"/>
        <v xml:space="preserve">  </v>
      </c>
    </row>
    <row r="41" spans="1:10" ht="23.25" x14ac:dyDescent="0.35">
      <c r="A41" s="93" t="s">
        <v>341</v>
      </c>
      <c r="B41" s="8" t="str">
        <f t="shared" si="10"/>
        <v>Epic Systems</v>
      </c>
      <c r="C41" s="9">
        <f t="shared" si="11"/>
        <v>1</v>
      </c>
      <c r="D41" s="10">
        <f>IF(C41="  ","  ",IF(C41=0,VLOOKUP(A41,'Date Calcs'!A:AF,9,),IF(C41=1,VLOOKUP(A41,'Date Calcs'!A:AF,11,),IF(C41=2,VLOOKUP(A41,'Date Calcs'!A:AF,13,),IF(C41=3,VLOOKUP(A41,'Date Calcs'!A:AF,15,),4)))))</f>
        <v>46071</v>
      </c>
      <c r="E41" s="10"/>
      <c r="F41" s="40">
        <f ca="1">IF(A41="","",D41-Date!$B$3)</f>
        <v>-2</v>
      </c>
      <c r="G41" s="12"/>
      <c r="I41" s="42" t="str">
        <f t="shared" si="12"/>
        <v xml:space="preserve">  </v>
      </c>
      <c r="J41" s="42" t="str">
        <f t="shared" si="13"/>
        <v xml:space="preserve">  </v>
      </c>
    </row>
    <row r="42" spans="1:10" ht="23.25" hidden="1" x14ac:dyDescent="0.35">
      <c r="A42" s="93" t="s">
        <v>342</v>
      </c>
      <c r="B42" s="8" t="str">
        <f t="shared" si="10"/>
        <v>Epic Systems</v>
      </c>
      <c r="C42" s="9">
        <f t="shared" si="11"/>
        <v>3</v>
      </c>
      <c r="D42" s="10">
        <f>IF(C42="  ","  ",IF(C42=0,VLOOKUP(A42,'Date Calcs'!A:AF,9,),IF(C42=1,VLOOKUP(A42,'Date Calcs'!A:AF,11,),IF(C42=2,VLOOKUP(A42,'Date Calcs'!A:AF,13,),IF(C42=3,VLOOKUP(A42,'Date Calcs'!A:AF,15,),4)))))</f>
        <v>46059</v>
      </c>
      <c r="E42" s="10"/>
      <c r="F42" s="40">
        <f ca="1">IF(A42="","",D42-Date!$B$3)</f>
        <v>-14</v>
      </c>
      <c r="G42" s="12"/>
      <c r="I42" s="42">
        <f t="shared" si="12"/>
        <v>1</v>
      </c>
      <c r="J42" s="42" t="s">
        <v>75</v>
      </c>
    </row>
    <row r="43" spans="1:10" ht="23.25" x14ac:dyDescent="0.35">
      <c r="A43" s="93" t="s">
        <v>343</v>
      </c>
      <c r="B43" s="8" t="str">
        <f t="shared" si="10"/>
        <v>Epic Systems</v>
      </c>
      <c r="C43" s="9">
        <f t="shared" si="11"/>
        <v>3</v>
      </c>
      <c r="D43" s="10">
        <f>IF(C43="  ","  ",IF(C43=0,VLOOKUP(A43,'Date Calcs'!A:AF,9,),IF(C43=1,VLOOKUP(A43,'Date Calcs'!A:AF,11,),IF(C43=2,VLOOKUP(A43,'Date Calcs'!A:AF,13,),IF(C43=3,VLOOKUP(A43,'Date Calcs'!A:AF,15,),4)))))</f>
        <v>46059</v>
      </c>
      <c r="E43" s="10"/>
      <c r="F43" s="40">
        <f ca="1">IF(A43="","",D43-Date!$B$3)</f>
        <v>-14</v>
      </c>
      <c r="G43" s="12"/>
      <c r="I43" s="42" t="str">
        <f t="shared" si="12"/>
        <v xml:space="preserve">  </v>
      </c>
      <c r="J43" s="42" t="str">
        <f t="shared" si="13"/>
        <v xml:space="preserve">  </v>
      </c>
    </row>
    <row r="44" spans="1:10" ht="23.25" x14ac:dyDescent="0.35">
      <c r="A44" s="93" t="s">
        <v>344</v>
      </c>
      <c r="B44" s="8" t="str">
        <f t="shared" si="10"/>
        <v>Epic Systems</v>
      </c>
      <c r="C44" s="9">
        <f t="shared" si="11"/>
        <v>3</v>
      </c>
      <c r="D44" s="10">
        <f>IF(C44="  ","  ",IF(C44=0,VLOOKUP(A44,'Date Calcs'!A:AF,9,),IF(C44=1,VLOOKUP(A44,'Date Calcs'!A:AF,11,),IF(C44=2,VLOOKUP(A44,'Date Calcs'!A:AF,13,),IF(C44=3,VLOOKUP(A44,'Date Calcs'!A:AF,15,),4)))))</f>
        <v>46059</v>
      </c>
      <c r="E44" s="10"/>
      <c r="F44" s="40">
        <f ca="1">IF(A44="","",D44-Date!$B$3)</f>
        <v>-14</v>
      </c>
      <c r="G44" s="12"/>
      <c r="I44" s="42" t="str">
        <f t="shared" si="12"/>
        <v xml:space="preserve">  </v>
      </c>
      <c r="J44" s="42" t="str">
        <f t="shared" si="13"/>
        <v xml:space="preserve">  </v>
      </c>
    </row>
    <row r="45" spans="1:10" ht="23.25" x14ac:dyDescent="0.35">
      <c r="A45" s="93" t="s">
        <v>345</v>
      </c>
      <c r="B45" s="8" t="str">
        <f t="shared" si="10"/>
        <v>Epic Systems</v>
      </c>
      <c r="C45" s="9">
        <f t="shared" si="11"/>
        <v>3</v>
      </c>
      <c r="D45" s="10">
        <f>IF(C45="  ","  ",IF(C45=0,VLOOKUP(A45,'Date Calcs'!A:AF,9,),IF(C45=1,VLOOKUP(A45,'Date Calcs'!A:AF,11,),IF(C45=2,VLOOKUP(A45,'Date Calcs'!A:AF,13,),IF(C45=3,VLOOKUP(A45,'Date Calcs'!A:AF,15,),4)))))</f>
        <v>46059</v>
      </c>
      <c r="E45" s="10"/>
      <c r="F45" s="40">
        <f ca="1">IF(A45="","",D45-Date!$B$3)</f>
        <v>-14</v>
      </c>
      <c r="G45" s="12"/>
      <c r="I45" s="42" t="str">
        <f t="shared" si="12"/>
        <v xml:space="preserve">  </v>
      </c>
      <c r="J45" s="42" t="str">
        <f t="shared" si="13"/>
        <v xml:space="preserve">  </v>
      </c>
    </row>
    <row r="46" spans="1:10" ht="23.25" x14ac:dyDescent="0.35">
      <c r="A46" s="93" t="s">
        <v>346</v>
      </c>
      <c r="B46" s="8" t="str">
        <f t="shared" si="10"/>
        <v>Epic Systems</v>
      </c>
      <c r="C46" s="9">
        <f t="shared" si="11"/>
        <v>2</v>
      </c>
      <c r="D46" s="10">
        <f>IF(C46="  ","  ",IF(C46=0,VLOOKUP(A46,'Date Calcs'!A:AF,9,),IF(C46=1,VLOOKUP(A46,'Date Calcs'!A:AF,11,),IF(C46=2,VLOOKUP(A46,'Date Calcs'!A:AF,13,),IF(C46=3,VLOOKUP(A46,'Date Calcs'!A:AF,15,),4)))))</f>
        <v>46065</v>
      </c>
      <c r="E46" s="10"/>
      <c r="F46" s="40">
        <f ca="1">IF(A46="","",D46-Date!$B$3)</f>
        <v>-8</v>
      </c>
      <c r="G46" s="12"/>
      <c r="I46" s="42" t="str">
        <f t="shared" si="12"/>
        <v xml:space="preserve">  </v>
      </c>
      <c r="J46" s="42" t="str">
        <f t="shared" si="13"/>
        <v xml:space="preserve">  </v>
      </c>
    </row>
    <row r="47" spans="1:10" ht="23.25" hidden="1" x14ac:dyDescent="0.35">
      <c r="A47" s="93" t="s">
        <v>347</v>
      </c>
      <c r="B47" s="8" t="e">
        <f t="shared" si="10"/>
        <v>#N/A</v>
      </c>
      <c r="C47" s="9" t="e">
        <f t="shared" si="11"/>
        <v>#N/A</v>
      </c>
      <c r="D47" s="10" t="e">
        <f>IF(C47="  ","  ",IF(C47=0,VLOOKUP(A47,'Date Calcs'!A:AF,9,),IF(C47=1,VLOOKUP(A47,'Date Calcs'!A:AF,11,),IF(C47=2,VLOOKUP(A47,'Date Calcs'!A:AF,13,),IF(C47=3,VLOOKUP(A47,'Date Calcs'!A:AF,15,),4)))))</f>
        <v>#N/A</v>
      </c>
      <c r="E47" s="10"/>
      <c r="F47" s="40" t="e">
        <f ca="1">IF(A47="","",D47-Date!$B$3)</f>
        <v>#N/A</v>
      </c>
      <c r="G47" s="12"/>
      <c r="I47" s="42" t="e">
        <f t="shared" si="12"/>
        <v>#N/A</v>
      </c>
      <c r="J47" s="42" t="e">
        <f t="shared" si="13"/>
        <v>#N/A</v>
      </c>
    </row>
    <row r="48" spans="1:10" ht="23.25" hidden="1" x14ac:dyDescent="0.35">
      <c r="A48" s="93" t="s">
        <v>348</v>
      </c>
      <c r="B48" s="8" t="str">
        <f t="shared" si="10"/>
        <v>Epic Systems</v>
      </c>
      <c r="C48" s="9">
        <f t="shared" si="11"/>
        <v>2</v>
      </c>
      <c r="D48" s="10">
        <f>IF(C48="  ","  ",IF(C48=0,VLOOKUP(A48,'Date Calcs'!A:AF,9,),IF(C48=1,VLOOKUP(A48,'Date Calcs'!A:AF,11,),IF(C48=2,VLOOKUP(A48,'Date Calcs'!A:AF,13,),IF(C48=3,VLOOKUP(A48,'Date Calcs'!A:AF,15,),4)))))</f>
        <v>46059</v>
      </c>
      <c r="E48" s="10"/>
      <c r="F48" s="40">
        <f ca="1">IF(A48="","",D48-Date!$B$3)</f>
        <v>-14</v>
      </c>
      <c r="G48" s="12"/>
      <c r="I48" s="42">
        <f t="shared" si="12"/>
        <v>1</v>
      </c>
      <c r="J48" s="42" t="s">
        <v>75</v>
      </c>
    </row>
    <row r="49" spans="1:10" ht="23.25" hidden="1" x14ac:dyDescent="0.35">
      <c r="A49" s="93" t="s">
        <v>349</v>
      </c>
      <c r="B49" s="8" t="str">
        <f t="shared" si="10"/>
        <v>Polynt</v>
      </c>
      <c r="C49" s="9">
        <f t="shared" si="11"/>
        <v>1</v>
      </c>
      <c r="D49" s="10">
        <f>IF(C49="  ","  ",IF(C49=0,VLOOKUP(A49,'Date Calcs'!A:AF,9,),IF(C49=1,VLOOKUP(A49,'Date Calcs'!A:AF,11,),IF(C49=2,VLOOKUP(A49,'Date Calcs'!A:AF,13,),IF(C49=3,VLOOKUP(A49,'Date Calcs'!A:AF,15,),4)))))</f>
        <v>46038</v>
      </c>
      <c r="E49" s="10"/>
      <c r="F49" s="40">
        <f ca="1">IF(A49="","",D49-Date!$B$3)</f>
        <v>-35</v>
      </c>
      <c r="G49" s="12"/>
      <c r="I49" s="42">
        <f t="shared" si="12"/>
        <v>1</v>
      </c>
      <c r="J49" s="42" t="str">
        <f t="shared" si="13"/>
        <v xml:space="preserve">  </v>
      </c>
    </row>
    <row r="50" spans="1:10" ht="23.25" hidden="1" x14ac:dyDescent="0.35">
      <c r="A50" s="93" t="s">
        <v>350</v>
      </c>
      <c r="B50" s="8" t="str">
        <f t="shared" si="10"/>
        <v>Merrick</v>
      </c>
      <c r="C50" s="9">
        <f t="shared" si="11"/>
        <v>2</v>
      </c>
      <c r="D50" s="10">
        <f>IF(C50="  ","  ",IF(C50=0,VLOOKUP(A50,'Date Calcs'!A:AF,9,),IF(C50=1,VLOOKUP(A50,'Date Calcs'!A:AF,11,),IF(C50=2,VLOOKUP(A50,'Date Calcs'!A:AF,13,),IF(C50=3,VLOOKUP(A50,'Date Calcs'!A:AF,15,),4)))))</f>
        <v>46070</v>
      </c>
      <c r="E50" s="10"/>
      <c r="F50" s="40">
        <f ca="1">IF(A50="","",D50-Date!$B$3)</f>
        <v>-3</v>
      </c>
      <c r="G50" s="12"/>
      <c r="I50" s="42" t="str">
        <f t="shared" si="12"/>
        <v xml:space="preserve">  </v>
      </c>
      <c r="J50" s="42" t="str">
        <f t="shared" si="13"/>
        <v>y</v>
      </c>
    </row>
    <row r="51" spans="1:10" ht="23.25" hidden="1" x14ac:dyDescent="0.35">
      <c r="A51" s="93" t="s">
        <v>352</v>
      </c>
      <c r="B51" s="8" t="str">
        <f t="shared" si="10"/>
        <v>Merrick</v>
      </c>
      <c r="C51" s="9">
        <f t="shared" si="11"/>
        <v>2</v>
      </c>
      <c r="D51" s="10">
        <f>IF(C51="  ","  ",IF(C51=0,VLOOKUP(A51,'Date Calcs'!A:AF,9,),IF(C51=1,VLOOKUP(A51,'Date Calcs'!A:AF,11,),IF(C51=2,VLOOKUP(A51,'Date Calcs'!A:AF,13,),IF(C51=3,VLOOKUP(A51,'Date Calcs'!A:AF,15,),4)))))</f>
        <v>46076</v>
      </c>
      <c r="E51" s="10"/>
      <c r="F51" s="40">
        <f ca="1">IF(A51="","",D51-Date!$B$3)</f>
        <v>3</v>
      </c>
      <c r="G51" s="12"/>
      <c r="I51" s="42" t="str">
        <f t="shared" si="12"/>
        <v xml:space="preserve">  </v>
      </c>
      <c r="J51" s="42" t="str">
        <f t="shared" si="13"/>
        <v>y</v>
      </c>
    </row>
    <row r="52" spans="1:10" ht="23.25" hidden="1" x14ac:dyDescent="0.35">
      <c r="A52" s="93" t="s">
        <v>353</v>
      </c>
      <c r="B52" s="8" t="str">
        <f t="shared" si="10"/>
        <v>Vertiv</v>
      </c>
      <c r="C52" s="9">
        <f t="shared" si="11"/>
        <v>1</v>
      </c>
      <c r="D52" s="10">
        <f>IF(C52="  ","  ",IF(C52=0,VLOOKUP(A52,'Date Calcs'!A:AF,9,),IF(C52=1,VLOOKUP(A52,'Date Calcs'!A:AF,11,),IF(C52=2,VLOOKUP(A52,'Date Calcs'!A:AF,13,),IF(C52=3,VLOOKUP(A52,'Date Calcs'!A:AF,15,),4)))))</f>
        <v>46001</v>
      </c>
      <c r="E52" s="10"/>
      <c r="F52" s="40">
        <f ca="1">IF(A52="","",D52-Date!$B$3)</f>
        <v>-72</v>
      </c>
      <c r="G52" s="12"/>
      <c r="I52" s="42" t="str">
        <f t="shared" si="12"/>
        <v xml:space="preserve">  </v>
      </c>
      <c r="J52" s="42" t="str">
        <f t="shared" si="13"/>
        <v>y</v>
      </c>
    </row>
    <row r="53" spans="1:10" ht="23.25" hidden="1" x14ac:dyDescent="0.35">
      <c r="A53" s="93" t="s">
        <v>357</v>
      </c>
      <c r="B53" s="8" t="str">
        <f t="shared" si="10"/>
        <v>Kimberly Clark</v>
      </c>
      <c r="C53" s="9">
        <f t="shared" si="11"/>
        <v>0</v>
      </c>
      <c r="D53" s="10">
        <f>IF(C53="  ","  ",IF(C53=0,VLOOKUP(A53,'Date Calcs'!A:AF,9,),IF(C53=1,VLOOKUP(A53,'Date Calcs'!A:AF,11,),IF(C53=2,VLOOKUP(A53,'Date Calcs'!A:AF,13,),IF(C53=3,VLOOKUP(A53,'Date Calcs'!A:AF,15,),4)))))</f>
        <v>46044</v>
      </c>
      <c r="E53" s="10"/>
      <c r="F53" s="40">
        <f ca="1">IF(A53="","",D53-Date!$B$3)</f>
        <v>-29</v>
      </c>
      <c r="G53" s="12"/>
      <c r="I53" s="42">
        <f t="shared" si="12"/>
        <v>1</v>
      </c>
      <c r="J53" s="42" t="str">
        <f t="shared" si="13"/>
        <v xml:space="preserve">  </v>
      </c>
    </row>
    <row r="54" spans="1:10" ht="23.25" hidden="1" x14ac:dyDescent="0.35">
      <c r="A54" s="93" t="s">
        <v>358</v>
      </c>
      <c r="B54" s="8" t="str">
        <f t="shared" si="10"/>
        <v>Kimberly Clark</v>
      </c>
      <c r="C54" s="9">
        <f t="shared" si="11"/>
        <v>0</v>
      </c>
      <c r="D54" s="10">
        <f>IF(C54="  ","  ",IF(C54=0,VLOOKUP(A54,'Date Calcs'!A:AF,9,),IF(C54=1,VLOOKUP(A54,'Date Calcs'!A:AF,11,),IF(C54=2,VLOOKUP(A54,'Date Calcs'!A:AF,13,),IF(C54=3,VLOOKUP(A54,'Date Calcs'!A:AF,15,),4)))))</f>
        <v>46044</v>
      </c>
      <c r="E54" s="10"/>
      <c r="F54" s="40">
        <f ca="1">IF(A54="","",D54-Date!$B$3)</f>
        <v>-29</v>
      </c>
      <c r="G54" s="12"/>
      <c r="I54" s="42">
        <f t="shared" si="12"/>
        <v>1</v>
      </c>
      <c r="J54" s="42" t="str">
        <f t="shared" si="13"/>
        <v xml:space="preserve">  </v>
      </c>
    </row>
    <row r="55" spans="1:10" ht="23.25" x14ac:dyDescent="0.35">
      <c r="A55" s="93" t="s">
        <v>359</v>
      </c>
      <c r="B55" s="8" t="str">
        <f t="shared" si="10"/>
        <v>Kimberly Clark</v>
      </c>
      <c r="C55" s="9">
        <f t="shared" si="11"/>
        <v>0</v>
      </c>
      <c r="D55" s="10">
        <f>IF(C55="  ","  ",IF(C55=0,VLOOKUP(A55,'Date Calcs'!A:AF,9,),IF(C55=1,VLOOKUP(A55,'Date Calcs'!A:AF,11,),IF(C55=2,VLOOKUP(A55,'Date Calcs'!A:AF,13,),IF(C55=3,VLOOKUP(A55,'Date Calcs'!A:AF,15,),4)))))</f>
        <v>46044</v>
      </c>
      <c r="E55" s="10"/>
      <c r="F55" s="40">
        <f ca="1">IF(A55="","",D55-Date!$B$3)</f>
        <v>-29</v>
      </c>
      <c r="G55" s="12"/>
      <c r="I55" s="42" t="str">
        <f t="shared" si="12"/>
        <v xml:space="preserve">  </v>
      </c>
      <c r="J55" s="42" t="str">
        <f t="shared" si="13"/>
        <v xml:space="preserve">  </v>
      </c>
    </row>
    <row r="56" spans="1:10" ht="23.25" hidden="1" x14ac:dyDescent="0.35">
      <c r="A56" s="93" t="s">
        <v>360</v>
      </c>
      <c r="B56" s="8" t="str">
        <f t="shared" si="10"/>
        <v>Vertiv</v>
      </c>
      <c r="C56" s="9" t="str">
        <f t="shared" si="11"/>
        <v xml:space="preserve">  </v>
      </c>
      <c r="D56" s="10" t="str">
        <f>IF(C56="  ","  ",IF(C56=0,VLOOKUP(A56,'Date Calcs'!A:AF,9,),IF(C56=1,VLOOKUP(A56,'Date Calcs'!A:AF,11,),IF(C56=2,VLOOKUP(A56,'Date Calcs'!A:AF,13,),IF(C56=3,VLOOKUP(A56,'Date Calcs'!A:AF,15,),4)))))</f>
        <v xml:space="preserve">  </v>
      </c>
      <c r="E56" s="10"/>
      <c r="F56" s="40" t="e">
        <f ca="1">IF(A56="","",D56-Date!$B$3)</f>
        <v>#VALUE!</v>
      </c>
      <c r="G56" s="12"/>
      <c r="I56" s="42" t="b">
        <f t="shared" si="12"/>
        <v>0</v>
      </c>
      <c r="J56" s="42" t="str">
        <f t="shared" si="13"/>
        <v xml:space="preserve">  </v>
      </c>
    </row>
    <row r="57" spans="1:10" ht="23.25" x14ac:dyDescent="0.35">
      <c r="A57" s="93" t="s">
        <v>361</v>
      </c>
      <c r="B57" s="8" t="str">
        <f t="shared" si="10"/>
        <v>Synthomer</v>
      </c>
      <c r="C57" s="9">
        <f t="shared" si="11"/>
        <v>1</v>
      </c>
      <c r="D57" s="10">
        <f>IF(C57="  ","  ",IF(C57=0,VLOOKUP(A57,'Date Calcs'!A:AF,9,),IF(C57=1,VLOOKUP(A57,'Date Calcs'!A:AF,11,),IF(C57=2,VLOOKUP(A57,'Date Calcs'!A:AF,13,),IF(C57=3,VLOOKUP(A57,'Date Calcs'!A:AF,15,),4)))))</f>
        <v>46076</v>
      </c>
      <c r="E57" s="10"/>
      <c r="F57" s="40">
        <f ca="1">IF(A57="","",D57-Date!$B$3)</f>
        <v>3</v>
      </c>
      <c r="G57" s="12"/>
      <c r="I57" s="42" t="str">
        <f t="shared" si="12"/>
        <v xml:space="preserve">  </v>
      </c>
      <c r="J57" s="42" t="str">
        <f t="shared" si="13"/>
        <v xml:space="preserve">  </v>
      </c>
    </row>
    <row r="58" spans="1:10" ht="23.25" hidden="1" x14ac:dyDescent="0.35">
      <c r="A58" s="93" t="s">
        <v>362</v>
      </c>
      <c r="B58" s="8" t="str">
        <f t="shared" si="10"/>
        <v>Sylvamo</v>
      </c>
      <c r="C58" s="9">
        <f t="shared" si="11"/>
        <v>0</v>
      </c>
      <c r="D58" s="10">
        <f>IF(C58="  ","  ",IF(C58=0,VLOOKUP(A58,'Date Calcs'!A:AF,9,),IF(C58=1,VLOOKUP(A58,'Date Calcs'!A:AF,11,),IF(C58=2,VLOOKUP(A58,'Date Calcs'!A:AF,13,),IF(C58=3,VLOOKUP(A58,'Date Calcs'!A:AF,15,),4)))))</f>
        <v>46065</v>
      </c>
      <c r="E58" s="10"/>
      <c r="F58" s="40">
        <f ca="1">IF(A58="","",D58-Date!$B$3)</f>
        <v>-8</v>
      </c>
      <c r="G58" s="12"/>
      <c r="I58" s="42">
        <f t="shared" si="12"/>
        <v>1</v>
      </c>
      <c r="J58" s="42" t="str">
        <f t="shared" si="13"/>
        <v xml:space="preserve">  </v>
      </c>
    </row>
    <row r="59" spans="1:10" ht="23.25" hidden="1" x14ac:dyDescent="0.35">
      <c r="A59" s="93" t="s">
        <v>363</v>
      </c>
      <c r="B59" s="8" t="str">
        <f t="shared" si="10"/>
        <v>Sylvamo</v>
      </c>
      <c r="C59" s="9">
        <f t="shared" si="11"/>
        <v>0</v>
      </c>
      <c r="D59" s="10">
        <f>IF(C59="  ","  ",IF(C59=0,VLOOKUP(A59,'Date Calcs'!A:AF,9,),IF(C59=1,VLOOKUP(A59,'Date Calcs'!A:AF,11,),IF(C59=2,VLOOKUP(A59,'Date Calcs'!A:AF,13,),IF(C59=3,VLOOKUP(A59,'Date Calcs'!A:AF,15,),4)))))</f>
        <v>46066</v>
      </c>
      <c r="E59" s="10"/>
      <c r="F59" s="40">
        <f ca="1">IF(A59="","",D59-Date!$B$3)</f>
        <v>-7</v>
      </c>
      <c r="G59" s="12"/>
      <c r="I59" s="42">
        <f t="shared" si="12"/>
        <v>1</v>
      </c>
      <c r="J59" s="42" t="str">
        <f t="shared" si="13"/>
        <v xml:space="preserve">  </v>
      </c>
    </row>
    <row r="60" spans="1:10" ht="23.25" x14ac:dyDescent="0.35">
      <c r="A60" s="93" t="s">
        <v>365</v>
      </c>
      <c r="B60" s="8" t="str">
        <f t="shared" si="10"/>
        <v>SNF</v>
      </c>
      <c r="C60" s="9">
        <f t="shared" si="11"/>
        <v>0</v>
      </c>
      <c r="D60" s="10">
        <f>IF(C60="  ","  ",IF(C60=0,VLOOKUP(A60,'Date Calcs'!A:AF,9,),IF(C60=1,VLOOKUP(A60,'Date Calcs'!A:AF,11,),IF(C60=2,VLOOKUP(A60,'Date Calcs'!A:AF,13,),IF(C60=3,VLOOKUP(A60,'Date Calcs'!A:AF,15,),4)))))</f>
        <v>46073</v>
      </c>
      <c r="E60" s="10"/>
      <c r="F60" s="40">
        <f ca="1">IF(A60="","",D60-Date!$B$3)</f>
        <v>0</v>
      </c>
      <c r="G60" s="12"/>
      <c r="I60" s="42" t="str">
        <f t="shared" si="12"/>
        <v xml:space="preserve">  </v>
      </c>
      <c r="J60" s="42" t="str">
        <f t="shared" si="13"/>
        <v xml:space="preserve">  </v>
      </c>
    </row>
    <row r="61" spans="1:10" ht="23.25" x14ac:dyDescent="0.35">
      <c r="A61" s="93" t="s">
        <v>366</v>
      </c>
      <c r="B61" s="8" t="str">
        <f t="shared" si="10"/>
        <v>SNF</v>
      </c>
      <c r="C61" s="9">
        <f t="shared" si="11"/>
        <v>0</v>
      </c>
      <c r="D61" s="10">
        <f>IF(C61="  ","  ",IF(C61=0,VLOOKUP(A61,'Date Calcs'!A:AF,9,),IF(C61=1,VLOOKUP(A61,'Date Calcs'!A:AF,11,),IF(C61=2,VLOOKUP(A61,'Date Calcs'!A:AF,13,),IF(C61=3,VLOOKUP(A61,'Date Calcs'!A:AF,15,),4)))))</f>
        <v>46073</v>
      </c>
      <c r="E61" s="10"/>
      <c r="F61" s="40">
        <f ca="1">IF(A61="","",D61-Date!$B$3)</f>
        <v>0</v>
      </c>
      <c r="G61" s="12"/>
      <c r="I61" s="42" t="str">
        <f t="shared" si="12"/>
        <v xml:space="preserve">  </v>
      </c>
      <c r="J61" s="42" t="str">
        <f t="shared" si="13"/>
        <v xml:space="preserve">  </v>
      </c>
    </row>
    <row r="62" spans="1:10" ht="23.25" x14ac:dyDescent="0.35">
      <c r="A62" s="93" t="s">
        <v>367</v>
      </c>
      <c r="B62" s="8" t="str">
        <f t="shared" si="10"/>
        <v>SNF</v>
      </c>
      <c r="C62" s="9">
        <f t="shared" si="11"/>
        <v>0</v>
      </c>
      <c r="D62" s="10">
        <f>IF(C62="  ","  ",IF(C62=0,VLOOKUP(A62,'Date Calcs'!A:AF,9,),IF(C62=1,VLOOKUP(A62,'Date Calcs'!A:AF,11,),IF(C62=2,VLOOKUP(A62,'Date Calcs'!A:AF,13,),IF(C62=3,VLOOKUP(A62,'Date Calcs'!A:AF,15,),4)))))</f>
        <v>46073</v>
      </c>
      <c r="E62" s="10"/>
      <c r="F62" s="40">
        <f ca="1">IF(A62="","",D62-Date!$B$3)</f>
        <v>0</v>
      </c>
      <c r="G62" s="12"/>
      <c r="I62" s="42" t="str">
        <f t="shared" si="12"/>
        <v xml:space="preserve">  </v>
      </c>
      <c r="J62" s="42" t="str">
        <f t="shared" si="13"/>
        <v xml:space="preserve">  </v>
      </c>
    </row>
    <row r="63" spans="1:10" ht="23.25" hidden="1" x14ac:dyDescent="0.35">
      <c r="A63" s="93" t="s">
        <v>368</v>
      </c>
      <c r="B63" s="8" t="str">
        <f t="shared" si="10"/>
        <v>US Sugar</v>
      </c>
      <c r="C63" s="9">
        <f t="shared" si="11"/>
        <v>0</v>
      </c>
      <c r="D63" s="10">
        <f>IF(C63="  ","  ",IF(C63=0,VLOOKUP(A63,'Date Calcs'!A:AF,9,),IF(C63=1,VLOOKUP(A63,'Date Calcs'!A:AF,11,),IF(C63=2,VLOOKUP(A63,'Date Calcs'!A:AF,13,),IF(C63=3,VLOOKUP(A63,'Date Calcs'!A:AF,15,),4)))))</f>
        <v>46072</v>
      </c>
      <c r="E63" s="10"/>
      <c r="F63" s="40">
        <f ca="1">IF(A63="","",D63-Date!$B$3)</f>
        <v>-1</v>
      </c>
      <c r="G63" s="12"/>
      <c r="I63" s="42">
        <f t="shared" si="12"/>
        <v>1</v>
      </c>
      <c r="J63" s="42" t="str">
        <f t="shared" si="13"/>
        <v xml:space="preserve">  </v>
      </c>
    </row>
    <row r="64" spans="1:10" ht="23.25" x14ac:dyDescent="0.35">
      <c r="A64" s="93" t="s">
        <v>369</v>
      </c>
      <c r="B64" s="8" t="str">
        <f t="shared" si="10"/>
        <v>SNF</v>
      </c>
      <c r="C64" s="9">
        <f t="shared" si="11"/>
        <v>0</v>
      </c>
      <c r="D64" s="10">
        <f>IF(C64="  ","  ",IF(C64=0,VLOOKUP(A64,'Date Calcs'!A:AF,9,),IF(C64=1,VLOOKUP(A64,'Date Calcs'!A:AF,11,),IF(C64=2,VLOOKUP(A64,'Date Calcs'!A:AF,13,),IF(C64=3,VLOOKUP(A64,'Date Calcs'!A:AF,15,),4)))))</f>
        <v>46078</v>
      </c>
      <c r="E64" s="10"/>
      <c r="F64" s="40">
        <f ca="1">IF(A64="","",D64-Date!$B$3)</f>
        <v>5</v>
      </c>
      <c r="G64" s="12"/>
      <c r="I64" s="42" t="str">
        <f t="shared" si="12"/>
        <v xml:space="preserve">  </v>
      </c>
      <c r="J64" s="42" t="str">
        <f t="shared" si="13"/>
        <v xml:space="preserve">  </v>
      </c>
    </row>
    <row r="65" spans="1:10" ht="23.25" hidden="1" x14ac:dyDescent="0.35">
      <c r="A65" s="93" t="s">
        <v>370</v>
      </c>
      <c r="B65" s="8" t="str">
        <f t="shared" si="10"/>
        <v>SNF</v>
      </c>
      <c r="C65" s="9" t="str">
        <f t="shared" si="11"/>
        <v xml:space="preserve">  </v>
      </c>
      <c r="D65" s="10" t="str">
        <f>IF(C65="  ","  ",IF(C65=0,VLOOKUP(A65,'Date Calcs'!A:AF,9,),IF(C65=1,VLOOKUP(A65,'Date Calcs'!A:AF,11,),IF(C65=2,VLOOKUP(A65,'Date Calcs'!A:AF,13,),IF(C65=3,VLOOKUP(A65,'Date Calcs'!A:AF,15,),4)))))</f>
        <v xml:space="preserve">  </v>
      </c>
      <c r="E65" s="10"/>
      <c r="F65" s="40" t="e">
        <f ca="1">IF(A65="","",D65-Date!$B$3)</f>
        <v>#VALUE!</v>
      </c>
      <c r="G65" s="12"/>
      <c r="I65" s="42" t="b">
        <f t="shared" si="12"/>
        <v>0</v>
      </c>
      <c r="J65" s="42" t="str">
        <f t="shared" si="13"/>
        <v xml:space="preserve">  </v>
      </c>
    </row>
    <row r="66" spans="1:10" ht="23.25" hidden="1" x14ac:dyDescent="0.35">
      <c r="A66" s="93" t="s">
        <v>371</v>
      </c>
      <c r="B66" s="8" t="str">
        <f t="shared" si="10"/>
        <v>SNF</v>
      </c>
      <c r="C66" s="9" t="str">
        <f t="shared" si="11"/>
        <v xml:space="preserve">  </v>
      </c>
      <c r="D66" s="10" t="str">
        <f>IF(C66="  ","  ",IF(C66=0,VLOOKUP(A66,'Date Calcs'!A:AF,9,),IF(C66=1,VLOOKUP(A66,'Date Calcs'!A:AF,11,),IF(C66=2,VLOOKUP(A66,'Date Calcs'!A:AF,13,),IF(C66=3,VLOOKUP(A66,'Date Calcs'!A:AF,15,),4)))))</f>
        <v xml:space="preserve">  </v>
      </c>
      <c r="E66" s="10"/>
      <c r="F66" s="40" t="e">
        <f ca="1">IF(A66="","",D66-Date!$B$3)</f>
        <v>#VALUE!</v>
      </c>
      <c r="G66" s="12"/>
      <c r="I66" s="42" t="b">
        <f t="shared" si="12"/>
        <v>0</v>
      </c>
      <c r="J66" s="42" t="str">
        <f t="shared" si="13"/>
        <v xml:space="preserve">  </v>
      </c>
    </row>
    <row r="67" spans="1:10" ht="23.25" x14ac:dyDescent="0.35">
      <c r="A67" s="93" t="s">
        <v>372</v>
      </c>
      <c r="B67" s="8" t="str">
        <f t="shared" si="10"/>
        <v>SNF</v>
      </c>
      <c r="C67" s="9">
        <f t="shared" si="11"/>
        <v>0</v>
      </c>
      <c r="D67" s="10">
        <f>IF(C67="  ","  ",IF(C67=0,VLOOKUP(A67,'Date Calcs'!A:AF,9,),IF(C67=1,VLOOKUP(A67,'Date Calcs'!A:AF,11,),IF(C67=2,VLOOKUP(A67,'Date Calcs'!A:AF,13,),IF(C67=3,VLOOKUP(A67,'Date Calcs'!A:AF,15,),4)))))</f>
        <v>46078</v>
      </c>
      <c r="E67" s="10"/>
      <c r="F67" s="40">
        <f ca="1">IF(A67="","",D67-Date!$B$3)</f>
        <v>5</v>
      </c>
      <c r="G67" s="12"/>
      <c r="I67" s="42" t="str">
        <f t="shared" si="12"/>
        <v xml:space="preserve">  </v>
      </c>
      <c r="J67" s="42" t="str">
        <f t="shared" si="13"/>
        <v xml:space="preserve">  </v>
      </c>
    </row>
    <row r="68" spans="1:10" ht="23.25" x14ac:dyDescent="0.35">
      <c r="A68" s="93" t="s">
        <v>373</v>
      </c>
      <c r="B68" s="8" t="str">
        <f t="shared" si="10"/>
        <v>SNF</v>
      </c>
      <c r="C68" s="9">
        <f t="shared" si="11"/>
        <v>0</v>
      </c>
      <c r="D68" s="10">
        <f>IF(C68="  ","  ",IF(C68=0,VLOOKUP(A68,'Date Calcs'!A:AF,9,),IF(C68=1,VLOOKUP(A68,'Date Calcs'!A:AF,11,),IF(C68=2,VLOOKUP(A68,'Date Calcs'!A:AF,13,),IF(C68=3,VLOOKUP(A68,'Date Calcs'!A:AF,15,),4)))))</f>
        <v>46078</v>
      </c>
      <c r="E68" s="10"/>
      <c r="F68" s="40">
        <f ca="1">IF(A68="","",D68-Date!$B$3)</f>
        <v>5</v>
      </c>
      <c r="G68" s="12"/>
      <c r="I68" s="42" t="str">
        <f t="shared" si="12"/>
        <v xml:space="preserve">  </v>
      </c>
      <c r="J68" s="42" t="str">
        <f t="shared" si="13"/>
        <v xml:space="preserve">  </v>
      </c>
    </row>
    <row r="69" spans="1:10" ht="23.25" hidden="1" x14ac:dyDescent="0.35">
      <c r="A69" s="101" t="s">
        <v>377</v>
      </c>
      <c r="B69" s="8" t="str">
        <f t="shared" ref="B69:B71" si="14">VLOOKUP(A69,Jobs,2,)</f>
        <v>US Sugar</v>
      </c>
      <c r="C69" s="9" t="str">
        <f t="shared" ref="C69:C71" si="15">VLOOKUP(A69,Dates,6,)</f>
        <v xml:space="preserve">  </v>
      </c>
      <c r="D69" s="10" t="str">
        <f>IF(C69="  ","  ",IF(C69=0,VLOOKUP(A69,'Date Calcs'!A:AF,9,),IF(C69=1,VLOOKUP(A69,'Date Calcs'!A:AF,11,),IF(C69=2,VLOOKUP(A69,'Date Calcs'!A:AF,13,),IF(C69=3,VLOOKUP(A69,'Date Calcs'!A:AF,15,),4)))))</f>
        <v xml:space="preserve">  </v>
      </c>
      <c r="E69" s="10"/>
      <c r="F69" s="40" t="e">
        <f ca="1">IF(A69="","",D69-Date!$B$3)</f>
        <v>#VALUE!</v>
      </c>
      <c r="G69" s="12"/>
      <c r="I69" s="42" t="b">
        <f t="shared" ref="I69:I71" si="16">IF(C69=0,IF(VLOOKUP(A69,Dates,9,)&gt;0,1,"  "),IF(C69=1,IF(VLOOKUP(A69,Dates,11,)&gt;0,1,"  "),IF(C69=2,IF(VLOOKUP(A69,Dates,13,)&gt;0,1,"  "),IF(C69=3,IF(VLOOKUP(A69,Dates,15,)&gt;0,1,"  ")))))</f>
        <v>0</v>
      </c>
      <c r="J69" s="42" t="str">
        <f t="shared" ref="J69:J71" si="17">VLOOKUP(A69,Dates,7,)</f>
        <v xml:space="preserve">  </v>
      </c>
    </row>
    <row r="70" spans="1:10" ht="23.25" hidden="1" x14ac:dyDescent="0.35">
      <c r="A70" s="101" t="s">
        <v>378</v>
      </c>
      <c r="B70" s="8" t="str">
        <f t="shared" si="14"/>
        <v>US Sugar</v>
      </c>
      <c r="C70" s="9" t="str">
        <f t="shared" si="15"/>
        <v xml:space="preserve">  </v>
      </c>
      <c r="D70" s="10" t="str">
        <f>IF(C70="  ","  ",IF(C70=0,VLOOKUP(A70,'Date Calcs'!A:AF,9,),IF(C70=1,VLOOKUP(A70,'Date Calcs'!A:AF,11,),IF(C70=2,VLOOKUP(A70,'Date Calcs'!A:AF,13,),IF(C70=3,VLOOKUP(A70,'Date Calcs'!A:AF,15,),4)))))</f>
        <v xml:space="preserve">  </v>
      </c>
      <c r="E70" s="10"/>
      <c r="F70" s="40" t="e">
        <f ca="1">IF(A70="","",D70-Date!$B$3)</f>
        <v>#VALUE!</v>
      </c>
      <c r="G70" s="12"/>
      <c r="I70" s="42" t="b">
        <f t="shared" si="16"/>
        <v>0</v>
      </c>
      <c r="J70" s="42" t="str">
        <f t="shared" si="17"/>
        <v xml:space="preserve">  </v>
      </c>
    </row>
    <row r="71" spans="1:10" ht="23.25" hidden="1" x14ac:dyDescent="0.35">
      <c r="A71" s="101" t="s">
        <v>379</v>
      </c>
      <c r="B71" s="8" t="str">
        <f t="shared" si="14"/>
        <v>Andritz</v>
      </c>
      <c r="C71" s="9" t="str">
        <f t="shared" si="15"/>
        <v xml:space="preserve">  </v>
      </c>
      <c r="D71" s="10" t="str">
        <f>IF(C71="  ","  ",IF(C71=0,VLOOKUP(A71,'Date Calcs'!A:AF,9,),IF(C71=1,VLOOKUP(A71,'Date Calcs'!A:AF,11,),IF(C71=2,VLOOKUP(A71,'Date Calcs'!A:AF,13,),IF(C71=3,VLOOKUP(A71,'Date Calcs'!A:AF,15,),4)))))</f>
        <v xml:space="preserve">  </v>
      </c>
      <c r="E71" s="10"/>
      <c r="F71" s="40" t="e">
        <f ca="1">IF(A71="","",D71-Date!$B$3)</f>
        <v>#VALUE!</v>
      </c>
      <c r="G71" s="12"/>
      <c r="I71" s="42" t="b">
        <f t="shared" si="16"/>
        <v>0</v>
      </c>
      <c r="J71" s="42" t="str">
        <f t="shared" si="17"/>
        <v xml:space="preserve">  </v>
      </c>
    </row>
  </sheetData>
  <autoFilter ref="A5:J71" xr:uid="{00000000-0009-0000-0000-000001000000}">
    <filterColumn colId="8">
      <filters blank="1"/>
    </filterColumn>
    <filterColumn colId="9">
      <filters blank="1"/>
    </filterColumn>
    <sortState xmlns:xlrd2="http://schemas.microsoft.com/office/spreadsheetml/2017/richdata2" ref="A29:J68">
      <sortCondition ref="I5:I6"/>
    </sortState>
  </autoFilter>
  <mergeCells count="1">
    <mergeCell ref="A1:G1"/>
  </mergeCells>
  <phoneticPr fontId="16" type="noConversion"/>
  <conditionalFormatting sqref="G6:G71">
    <cfRule type="expression" dxfId="53" priority="22">
      <formula>$F6&gt;1.99</formula>
    </cfRule>
    <cfRule type="expression" dxfId="52" priority="23">
      <formula>AND($F6&gt;-2,$F6&lt;2)</formula>
    </cfRule>
    <cfRule type="expression" dxfId="51" priority="24">
      <formula>$F6&lt;-2</formula>
    </cfRule>
  </conditionalFormatting>
  <pageMargins left="0.7" right="0.7" top="0.25" bottom="0.25" header="0.3" footer="0.3"/>
  <pageSetup scale="98" orientation="landscape" r:id="rId1"/>
  <headerFooter>
    <oddFooter>&amp;L&amp;D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V51"/>
  <sheetViews>
    <sheetView tabSelected="1" zoomScale="80" zoomScaleNormal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5" sqref="AW5"/>
    </sheetView>
  </sheetViews>
  <sheetFormatPr defaultRowHeight="15" x14ac:dyDescent="0.25"/>
  <cols>
    <col min="1" max="1" width="19.5703125" bestFit="1" customWidth="1"/>
    <col min="2" max="2" width="29.85546875" customWidth="1"/>
    <col min="3" max="3" width="1.85546875" hidden="1" customWidth="1"/>
    <col min="4" max="4" width="6.28515625" hidden="1" customWidth="1"/>
    <col min="5" max="5" width="3.42578125" hidden="1" customWidth="1"/>
    <col min="6" max="6" width="6.28515625" hidden="1" customWidth="1"/>
    <col min="7" max="7" width="3.42578125" hidden="1" customWidth="1"/>
    <col min="8" max="8" width="8.5703125" hidden="1" customWidth="1"/>
    <col min="9" max="9" width="3.42578125" hidden="1" customWidth="1"/>
    <col min="10" max="10" width="1.85546875" hidden="1" customWidth="1"/>
    <col min="11" max="11" width="6.28515625" hidden="1" customWidth="1"/>
    <col min="12" max="12" width="3.42578125" hidden="1" customWidth="1"/>
    <col min="13" max="13" width="6.28515625" hidden="1" customWidth="1"/>
    <col min="14" max="14" width="3.42578125" hidden="1" customWidth="1"/>
    <col min="15" max="15" width="6.42578125" hidden="1" customWidth="1"/>
    <col min="16" max="16" width="3.42578125" hidden="1" customWidth="1"/>
    <col min="17" max="17" width="6.28515625" hidden="1" customWidth="1"/>
    <col min="18" max="18" width="3.42578125" hidden="1" customWidth="1"/>
    <col min="19" max="19" width="6.28515625" hidden="1" customWidth="1"/>
    <col min="20" max="20" width="3.42578125" hidden="1" customWidth="1"/>
    <col min="21" max="21" width="6.42578125" hidden="1" customWidth="1"/>
    <col min="22" max="22" width="3.42578125" hidden="1" customWidth="1"/>
    <col min="23" max="23" width="6.42578125" hidden="1" customWidth="1"/>
    <col min="24" max="24" width="3.42578125" hidden="1" customWidth="1"/>
    <col min="25" max="25" width="6.42578125" hidden="1" customWidth="1"/>
    <col min="26" max="26" width="3.42578125" hidden="1" customWidth="1"/>
    <col min="27" max="27" width="6.42578125" hidden="1" customWidth="1"/>
    <col min="28" max="28" width="3.42578125" hidden="1" customWidth="1"/>
    <col min="29" max="29" width="6.42578125" hidden="1" customWidth="1"/>
    <col min="30" max="30" width="3.42578125" hidden="1" customWidth="1"/>
    <col min="31" max="31" width="6.42578125" hidden="1" customWidth="1"/>
    <col min="32" max="32" width="3.42578125" hidden="1" customWidth="1"/>
    <col min="33" max="34" width="15.7109375" bestFit="1" customWidth="1"/>
    <col min="35" max="35" width="8" customWidth="1"/>
    <col min="36" max="36" width="15.7109375" customWidth="1"/>
    <col min="37" max="37" width="7.5703125" customWidth="1"/>
    <col min="38" max="38" width="14.42578125" customWidth="1"/>
    <col min="39" max="39" width="7.7109375" customWidth="1"/>
    <col min="40" max="40" width="14.42578125" customWidth="1"/>
    <col min="41" max="41" width="10.85546875" customWidth="1"/>
    <col min="42" max="42" width="14.42578125" customWidth="1"/>
    <col min="43" max="43" width="7.7109375" customWidth="1"/>
    <col min="44" max="44" width="15.7109375" bestFit="1" customWidth="1"/>
    <col min="45" max="46" width="12.7109375" customWidth="1"/>
    <col min="47" max="47" width="14.42578125" customWidth="1"/>
    <col min="48" max="48" width="44.140625" customWidth="1"/>
  </cols>
  <sheetData>
    <row r="1" spans="1:48" ht="24" customHeight="1" x14ac:dyDescent="0.25">
      <c r="A1" s="119" t="s">
        <v>14</v>
      </c>
      <c r="B1" s="12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</row>
    <row r="2" spans="1:48" ht="6.75" customHeight="1" x14ac:dyDescent="0.25"/>
    <row r="3" spans="1:48" ht="19.5" customHeight="1" x14ac:dyDescent="0.25">
      <c r="A3" s="16"/>
      <c r="B3" s="16"/>
      <c r="D3" s="123" t="s">
        <v>16</v>
      </c>
      <c r="E3" s="124"/>
      <c r="F3" s="124"/>
      <c r="G3" s="124"/>
      <c r="H3" s="124"/>
      <c r="I3" s="125"/>
      <c r="J3" s="6"/>
      <c r="K3" s="123" t="s">
        <v>23</v>
      </c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5"/>
      <c r="AC3" s="105"/>
      <c r="AD3" s="105"/>
      <c r="AE3" s="105"/>
      <c r="AF3" s="105"/>
      <c r="AG3" s="109"/>
      <c r="AH3" s="123" t="s">
        <v>400</v>
      </c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05"/>
      <c r="AU3" s="109"/>
    </row>
    <row r="4" spans="1:48" ht="7.5" customHeight="1" x14ac:dyDescent="0.25">
      <c r="D4" s="48"/>
      <c r="E4" s="49"/>
      <c r="F4" s="51"/>
      <c r="G4" s="51"/>
      <c r="H4" s="52"/>
      <c r="I4" s="47"/>
    </row>
    <row r="5" spans="1:48" ht="44.25" customHeight="1" x14ac:dyDescent="0.25">
      <c r="A5" s="9" t="s">
        <v>1</v>
      </c>
      <c r="B5" s="8" t="s">
        <v>7</v>
      </c>
      <c r="C5" s="13"/>
      <c r="D5" s="121" t="s">
        <v>26</v>
      </c>
      <c r="E5" s="122"/>
      <c r="F5" s="121" t="s">
        <v>24</v>
      </c>
      <c r="G5" s="122"/>
      <c r="H5" s="126" t="s">
        <v>27</v>
      </c>
      <c r="I5" s="127"/>
      <c r="J5" s="7"/>
      <c r="K5" s="126" t="s">
        <v>20</v>
      </c>
      <c r="L5" s="127"/>
      <c r="M5" s="126" t="s">
        <v>11</v>
      </c>
      <c r="N5" s="127"/>
      <c r="O5" s="126" t="s">
        <v>17</v>
      </c>
      <c r="P5" s="127"/>
      <c r="Q5" s="126" t="s">
        <v>22</v>
      </c>
      <c r="R5" s="127"/>
      <c r="S5" s="126" t="s">
        <v>18</v>
      </c>
      <c r="T5" s="127"/>
      <c r="U5" s="126" t="s">
        <v>412</v>
      </c>
      <c r="V5" s="127"/>
      <c r="W5" s="126" t="s">
        <v>19</v>
      </c>
      <c r="X5" s="127"/>
      <c r="Y5" s="126" t="s">
        <v>25</v>
      </c>
      <c r="Z5" s="127"/>
      <c r="AA5" s="126" t="s">
        <v>381</v>
      </c>
      <c r="AB5" s="127"/>
      <c r="AC5" s="126" t="s">
        <v>404</v>
      </c>
      <c r="AD5" s="127"/>
      <c r="AE5" s="126" t="s">
        <v>414</v>
      </c>
      <c r="AF5" s="127"/>
      <c r="AG5" s="111" t="s">
        <v>403</v>
      </c>
      <c r="AH5" s="5" t="s">
        <v>25</v>
      </c>
      <c r="AI5" s="14" t="s">
        <v>409</v>
      </c>
      <c r="AJ5" s="5" t="s">
        <v>404</v>
      </c>
      <c r="AK5" s="14" t="s">
        <v>405</v>
      </c>
      <c r="AL5" s="5" t="s">
        <v>381</v>
      </c>
      <c r="AM5" s="14" t="s">
        <v>405</v>
      </c>
      <c r="AN5" s="14" t="s">
        <v>415</v>
      </c>
      <c r="AO5" s="14" t="s">
        <v>413</v>
      </c>
      <c r="AP5" s="14" t="s">
        <v>15</v>
      </c>
      <c r="AQ5" s="14" t="s">
        <v>405</v>
      </c>
      <c r="AR5" s="14" t="s">
        <v>402</v>
      </c>
      <c r="AS5" s="14" t="s">
        <v>410</v>
      </c>
      <c r="AT5" s="14" t="s">
        <v>420</v>
      </c>
      <c r="AU5" s="117" t="s">
        <v>416</v>
      </c>
      <c r="AV5" s="117" t="s">
        <v>417</v>
      </c>
    </row>
    <row r="6" spans="1:48" ht="23.25" x14ac:dyDescent="0.25">
      <c r="A6" s="9" t="s">
        <v>237</v>
      </c>
      <c r="B6" s="8" t="str">
        <f t="shared" ref="B6:B51" si="0">VLOOKUP(A6,Jobs,2,)</f>
        <v>SYMS Engineering</v>
      </c>
      <c r="C6" s="13"/>
      <c r="D6" s="46" t="str">
        <f t="shared" ref="D6:D51" si="1">IF(VLOOKUP($A6,Jobs,8,)&gt;0,"Y","  ")</f>
        <v>Y</v>
      </c>
      <c r="E6" s="50">
        <f t="shared" ref="E6:E51" si="2">IF(VLOOKUP($A6,Dates,8,)&gt;0,VLOOKUP($A6,Dates,8,)-VLOOKUP($A6,Jobs,8,),"  ")</f>
        <v>4</v>
      </c>
      <c r="F6" s="46" t="str">
        <f t="shared" ref="F6:F51" si="3">IF(VLOOKUP($A6,Dates,16,)&gt;0,"Y","  ")</f>
        <v>Y</v>
      </c>
      <c r="G6" s="50">
        <f t="shared" ref="G6:G51" si="4">IF(VLOOKUP($A6,Dates,16,)&gt;0,VLOOKUP($A6,Dates,16,)-VLOOKUP($A6,Jobs,16,),"  ")</f>
        <v>-2</v>
      </c>
      <c r="H6" s="46" t="str">
        <f t="shared" ref="H6:H51" si="5">_xlfn.IFNA(IF(VLOOKUP($A10,Dates,17,)&gt;0,"Y","  "),"")</f>
        <v>Y</v>
      </c>
      <c r="I6" s="50" t="e">
        <f t="shared" ref="I6:I51" si="6">IF(VLOOKUP($A10,Dates,17,)&gt;0,VLOOKUP($A10,Dates,17,)-VLOOKUP($A10,Jobs,17,),"  ")</f>
        <v>#VALUE!</v>
      </c>
      <c r="J6" s="13"/>
      <c r="K6" s="46" t="str">
        <f t="shared" ref="K6:K51" si="7">IF(VLOOKUP($A6,Dates,19,)&gt;0,"Y","  ")</f>
        <v>Y</v>
      </c>
      <c r="L6" s="50">
        <f t="shared" ref="L6:L51" si="8">IF(VLOOKUP($A6,Dates,19,)&gt;0,VLOOKUP($A6,Dates,19,)-VLOOKUP($A6,Jobs,19,),"  ")</f>
        <v>4</v>
      </c>
      <c r="M6" s="46" t="str">
        <f t="shared" ref="M6:M51" si="9">IF(VLOOKUP($A6,Dates,20,)&gt;0,"Y","  ")</f>
        <v xml:space="preserve">  </v>
      </c>
      <c r="N6" s="50" t="str">
        <f t="shared" ref="N6:N51" si="10">IF(VLOOKUP($A6,Dates,20,)&gt;0,VLOOKUP($A6,Dates,20,)-VLOOKUP($A6,Jobs,20,),"  ")</f>
        <v xml:space="preserve">  </v>
      </c>
      <c r="O6" s="46" t="str">
        <f t="shared" ref="O6:O51" si="11">IF(VLOOKUP($A6,Dates,21,)&gt;0,"Y","  ")</f>
        <v>Y</v>
      </c>
      <c r="P6" s="50">
        <f t="shared" ref="P6:P51" si="12">IF(VLOOKUP($A6,Dates,21,)&gt;0,VLOOKUP($A6,Dates,21,)-VLOOKUP($A6,Jobs,21,),"  ")</f>
        <v>-1</v>
      </c>
      <c r="Q6" s="46" t="str">
        <f t="shared" ref="Q6:Q51" si="13">IF(VLOOKUP($A6,Dates,23,)&gt;0,"Y","  ")</f>
        <v>Y</v>
      </c>
      <c r="R6" s="50">
        <f t="shared" ref="R6:R51" si="14">IF(VLOOKUP($A6,Dates,23,)&gt;0,VLOOKUP($A6,Dates,23,)-VLOOKUP($A6,Jobs,23,),"  ")</f>
        <v>-276</v>
      </c>
      <c r="S6" s="46" t="str">
        <f t="shared" ref="S6:S51" si="15">IF(VLOOKUP($A6,Dates,24,)&gt;0,"Y","  ")</f>
        <v>Y</v>
      </c>
      <c r="T6" s="50">
        <f t="shared" ref="T6:T51" si="16">IF(VLOOKUP($A6,Dates,24,)&gt;0,VLOOKUP($A6,Dates,24,)-VLOOKUP($A6,Jobs,24,),"  ")</f>
        <v>-3</v>
      </c>
      <c r="U6" s="46" t="str">
        <f t="shared" ref="U6:U51" si="17">IF(VLOOKUP($A6,Dates,26,)&gt;0,"Y","  ")</f>
        <v>Y</v>
      </c>
      <c r="V6" s="50">
        <f t="shared" ref="V6:V51" si="18">IF(VLOOKUP($A6,Dates,26,)&gt;0,VLOOKUP($A6,Dates,26,)-VLOOKUP($A6,Jobs,26,),"  ")</f>
        <v>-269</v>
      </c>
      <c r="W6" s="46" t="str">
        <f t="shared" ref="W6:W51" si="19">IF(VLOOKUP($A6,Dates,27,)&gt;0,"Y","  ")</f>
        <v>Y</v>
      </c>
      <c r="X6" s="50">
        <f t="shared" ref="X6:X51" si="20">IF(VLOOKUP($A6,Dates,27,)&gt;0,VLOOKUP($A6,Dates,27,)-VLOOKUP($A6,Jobs,27,),"  ")</f>
        <v>69</v>
      </c>
      <c r="Y6" s="46" t="str">
        <f t="shared" ref="Y6:Y51" si="21">IF(VLOOKUP($A6,Dates,28,)&gt;0,"Y","  ")</f>
        <v>Y</v>
      </c>
      <c r="Z6" s="50">
        <f t="shared" ref="Z6:Z51" si="22">IF(VLOOKUP($A6,Dates,28,)&gt;0,VLOOKUP($A6,Dates,28,)-VLOOKUP($A6,Jobs,28,),"  ")</f>
        <v>85</v>
      </c>
      <c r="AA6" s="46" t="str">
        <f t="shared" ref="AA6:AA51" si="23">IF(VLOOKUP($A6,Dates,29,)&gt;0,"Y","  ")</f>
        <v>Y</v>
      </c>
      <c r="AB6" s="50">
        <f t="shared" ref="AB6:AB51" si="24">IF(VLOOKUP($A6,Dates,29,)&gt;0,VLOOKUP($A6,Dates,29,)-VLOOKUP($A6,Jobs,29,),"  ")</f>
        <v>80</v>
      </c>
      <c r="AC6" s="46" t="str">
        <f t="shared" ref="AC6:AC51" si="25">IF(VLOOKUP($A6,Dates,30,)&gt;0,"Y","  ")</f>
        <v>Y</v>
      </c>
      <c r="AD6" s="50">
        <f t="shared" ref="AD6:AD51" si="26">IF(VLOOKUP($A6,Dates,30,)&gt;0,VLOOKUP($A6,Dates,30,)-VLOOKUP($A6,Jobs,30,),"  ")</f>
        <v>94</v>
      </c>
      <c r="AE6" s="46" t="str">
        <f t="shared" ref="AE6:AE51" si="27">IF(VLOOKUP($A6,Dates,31,)&gt;0,"Y","  ")</f>
        <v>Y</v>
      </c>
      <c r="AF6" s="50">
        <f t="shared" ref="AF6:AF51" si="28">IF(VLOOKUP($A6,Dates,31,)&gt;0,VLOOKUP($A6,Dates,31,)-VLOOKUP($A6,Jobs,31,),"  ")</f>
        <v>95</v>
      </c>
      <c r="AG6" s="15">
        <f t="shared" ref="AG6:AG51" si="29">_xlfn.IFNA(VLOOKUP(A6,Dates,22,FALSE),"")</f>
        <v>46163</v>
      </c>
      <c r="AH6" s="15" t="str">
        <f>_xlfn.IFNA(IF(Y6="Y","DONE",VLOOKUP(A6,'Date Calcs from Ship Date'!A:AE,27,0)),"")</f>
        <v>DONE</v>
      </c>
      <c r="AI6" s="40">
        <f ca="1">IFERROR(AH6-TODAY(),0)</f>
        <v>0</v>
      </c>
      <c r="AJ6" s="15" t="str">
        <f>_xlfn.IFNA(IF(AC6="Y","DONE",VLOOKUP(A6,'Date Calcs from Ship Date'!A:AE,29,0)),"")</f>
        <v>DONE</v>
      </c>
      <c r="AK6" s="40">
        <f ca="1">IFERROR(AJ6-TODAY(),0)</f>
        <v>0</v>
      </c>
      <c r="AL6" s="15" t="str">
        <f>_xlfn.IFNA(IF(AA6="Y","DONE",VLOOKUP(A6,'Date Calcs from Ship Date'!A:AI,28,0)),"")</f>
        <v>DONE</v>
      </c>
      <c r="AM6" s="40">
        <f ca="1">IFERROR(AL6-TODAY(),0)</f>
        <v>0</v>
      </c>
      <c r="AN6" s="15" t="str">
        <f>IF(U6="Y","DONE",VLOOKUP(A6,'Date Calcs from Ship Date'!A:AE,25,0))</f>
        <v>DONE</v>
      </c>
      <c r="AO6" s="40">
        <f>IFERROR(AP6-AN6,0)</f>
        <v>0</v>
      </c>
      <c r="AP6" s="15" t="str">
        <f>IF(AE6="Y","DONE",VLOOKUP(A6,'Date Calcs from Ship Date'!A:AE,30,0))</f>
        <v>DONE</v>
      </c>
      <c r="AQ6" s="40">
        <f ca="1">IFERROR(AP6-TODAY(),0)</f>
        <v>0</v>
      </c>
      <c r="AR6" s="15">
        <f>_xlfn.IFNA(VLOOKUP(A6,'Date Calcs from Ship Date'!A:C,3,0),"")</f>
        <v>46128</v>
      </c>
      <c r="AS6" s="40">
        <f>AG6-AR6</f>
        <v>35</v>
      </c>
      <c r="AT6" s="40"/>
      <c r="AU6" s="15" t="str">
        <f t="shared" ref="AU6:AU51" si="30">IF(VLOOKUP(A6,Dates,32,)&gt;0,VLOOKUP(A6,Dates,32,),"  ")</f>
        <v xml:space="preserve">  </v>
      </c>
      <c r="AV6" s="9"/>
    </row>
    <row r="7" spans="1:48" ht="23.25" x14ac:dyDescent="0.35">
      <c r="A7" s="93" t="s">
        <v>276</v>
      </c>
      <c r="B7" s="8" t="str">
        <f t="shared" si="0"/>
        <v>Andritz</v>
      </c>
      <c r="C7" s="13"/>
      <c r="D7" s="46" t="str">
        <f t="shared" si="1"/>
        <v>Y</v>
      </c>
      <c r="E7" s="50" t="str">
        <f t="shared" si="2"/>
        <v xml:space="preserve">  </v>
      </c>
      <c r="F7" s="46" t="str">
        <f t="shared" si="3"/>
        <v>Y</v>
      </c>
      <c r="G7" s="50">
        <f t="shared" si="4"/>
        <v>58</v>
      </c>
      <c r="H7" s="46" t="str">
        <f t="shared" si="5"/>
        <v>Y</v>
      </c>
      <c r="I7" s="50" t="e">
        <f t="shared" si="6"/>
        <v>#VALUE!</v>
      </c>
      <c r="J7" s="13"/>
      <c r="K7" s="46" t="str">
        <f t="shared" si="7"/>
        <v xml:space="preserve">  </v>
      </c>
      <c r="L7" s="50" t="str">
        <f t="shared" si="8"/>
        <v xml:space="preserve">  </v>
      </c>
      <c r="M7" s="46" t="str">
        <f t="shared" si="9"/>
        <v xml:space="preserve">  </v>
      </c>
      <c r="N7" s="50" t="str">
        <f t="shared" si="10"/>
        <v xml:space="preserve">  </v>
      </c>
      <c r="O7" s="46" t="str">
        <f t="shared" si="11"/>
        <v xml:space="preserve">  </v>
      </c>
      <c r="P7" s="50" t="str">
        <f t="shared" si="12"/>
        <v xml:space="preserve">  </v>
      </c>
      <c r="Q7" s="46" t="str">
        <f t="shared" si="13"/>
        <v>Y</v>
      </c>
      <c r="R7" s="50">
        <f t="shared" si="14"/>
        <v>-348</v>
      </c>
      <c r="S7" s="46" t="str">
        <f t="shared" si="15"/>
        <v>Y</v>
      </c>
      <c r="T7" s="50">
        <f t="shared" si="16"/>
        <v>-173</v>
      </c>
      <c r="U7" s="46" t="str">
        <f t="shared" si="17"/>
        <v>Y</v>
      </c>
      <c r="V7" s="50">
        <f t="shared" si="18"/>
        <v>-160</v>
      </c>
      <c r="W7" s="46" t="str">
        <f t="shared" si="19"/>
        <v>Y</v>
      </c>
      <c r="X7" s="50">
        <f t="shared" si="20"/>
        <v>-168</v>
      </c>
      <c r="Y7" s="46" t="str">
        <f t="shared" si="21"/>
        <v>Y</v>
      </c>
      <c r="Z7" s="50">
        <f t="shared" si="22"/>
        <v>-165</v>
      </c>
      <c r="AA7" s="46" t="str">
        <f t="shared" si="23"/>
        <v>Y</v>
      </c>
      <c r="AB7" s="50">
        <f t="shared" si="24"/>
        <v>-139</v>
      </c>
      <c r="AC7" s="46" t="str">
        <f t="shared" si="25"/>
        <v xml:space="preserve">  </v>
      </c>
      <c r="AD7" s="50" t="str">
        <f t="shared" si="26"/>
        <v xml:space="preserve">  </v>
      </c>
      <c r="AE7" s="46" t="str">
        <f t="shared" si="27"/>
        <v>Y</v>
      </c>
      <c r="AF7" s="50">
        <f t="shared" si="28"/>
        <v>-168</v>
      </c>
      <c r="AG7" s="15">
        <f t="shared" si="29"/>
        <v>46230</v>
      </c>
      <c r="AH7" s="15" t="str">
        <f>_xlfn.IFNA(IF(Y7="Y","DONE",VLOOKUP(A7,'Date Calcs from Ship Date'!A:AE,27,0)),"")</f>
        <v>DONE</v>
      </c>
      <c r="AI7" s="40">
        <f t="shared" ref="AI7:AI51" ca="1" si="31">IFERROR(AH7-TODAY(),0)</f>
        <v>0</v>
      </c>
      <c r="AJ7" s="15">
        <f>_xlfn.IFNA(IF(AC7="Y","DONE",VLOOKUP(A7,'Date Calcs from Ship Date'!A:AE,29,0)),"")</f>
        <v>46105</v>
      </c>
      <c r="AK7" s="40">
        <f t="shared" ref="AK7:AK51" ca="1" si="32">IFERROR(AJ7-TODAY(),0)</f>
        <v>32</v>
      </c>
      <c r="AL7" s="15" t="str">
        <f>_xlfn.IFNA(IF(AA7="Y","DONE",VLOOKUP(A7,'Date Calcs from Ship Date'!A:AI,28,0)),"")</f>
        <v>DONE</v>
      </c>
      <c r="AM7" s="40">
        <f t="shared" ref="AM7:AM51" ca="1" si="33">IFERROR(AL7-TODAY(),0)</f>
        <v>0</v>
      </c>
      <c r="AN7" s="15" t="str">
        <f>IF(U7="Y","DONE",VLOOKUP(A7,'Date Calcs from Ship Date'!A:AE,25,0))</f>
        <v>DONE</v>
      </c>
      <c r="AO7" s="40">
        <f t="shared" ref="AO7:AO51" si="34">IFERROR(AP7-AN7,0)</f>
        <v>0</v>
      </c>
      <c r="AP7" s="15" t="str">
        <f>IF(AE7="Y","DONE",VLOOKUP(A7,'Date Calcs from Ship Date'!A:AE,30,0))</f>
        <v>DONE</v>
      </c>
      <c r="AQ7" s="40">
        <f t="shared" ref="AQ7:AQ51" ca="1" si="35">IFERROR(AP7-TODAY(),0)</f>
        <v>0</v>
      </c>
      <c r="AR7" s="15">
        <f>_xlfn.IFNA(VLOOKUP(A7,'Date Calcs from Ship Date'!A:C,3,0),"")</f>
        <v>46175</v>
      </c>
      <c r="AS7" s="40">
        <f t="shared" ref="AS7:AS51" si="36">AG7-AR7</f>
        <v>55</v>
      </c>
      <c r="AT7" s="40"/>
      <c r="AU7" s="15" t="str">
        <f t="shared" si="30"/>
        <v xml:space="preserve">  </v>
      </c>
      <c r="AV7" s="9"/>
    </row>
    <row r="8" spans="1:48" ht="23.25" x14ac:dyDescent="0.35">
      <c r="A8" s="93" t="s">
        <v>279</v>
      </c>
      <c r="B8" s="8" t="str">
        <f t="shared" si="0"/>
        <v>Airgas</v>
      </c>
      <c r="C8" s="13"/>
      <c r="D8" s="46" t="str">
        <f t="shared" si="1"/>
        <v>Y</v>
      </c>
      <c r="E8" s="50">
        <f t="shared" si="2"/>
        <v>54</v>
      </c>
      <c r="F8" s="46" t="str">
        <f t="shared" si="3"/>
        <v>Y</v>
      </c>
      <c r="G8" s="50">
        <f t="shared" si="4"/>
        <v>166</v>
      </c>
      <c r="H8" s="46" t="str">
        <f t="shared" si="5"/>
        <v>Y</v>
      </c>
      <c r="I8" s="50" t="e">
        <f t="shared" si="6"/>
        <v>#VALUE!</v>
      </c>
      <c r="J8" s="13"/>
      <c r="K8" s="46" t="str">
        <f t="shared" si="7"/>
        <v>Y</v>
      </c>
      <c r="L8" s="50">
        <f t="shared" si="8"/>
        <v>5</v>
      </c>
      <c r="M8" s="46" t="str">
        <f t="shared" si="9"/>
        <v xml:space="preserve">  </v>
      </c>
      <c r="N8" s="50" t="str">
        <f t="shared" si="10"/>
        <v xml:space="preserve">  </v>
      </c>
      <c r="O8" s="46" t="str">
        <f t="shared" si="11"/>
        <v>Y</v>
      </c>
      <c r="P8" s="50">
        <f t="shared" si="12"/>
        <v>0</v>
      </c>
      <c r="Q8" s="46" t="str">
        <f t="shared" si="13"/>
        <v>Y</v>
      </c>
      <c r="R8" s="50">
        <f t="shared" si="14"/>
        <v>-166</v>
      </c>
      <c r="S8" s="46" t="str">
        <f t="shared" si="15"/>
        <v>Y</v>
      </c>
      <c r="T8" s="50">
        <f t="shared" si="16"/>
        <v>12</v>
      </c>
      <c r="U8" s="46" t="str">
        <f t="shared" si="17"/>
        <v xml:space="preserve">  </v>
      </c>
      <c r="V8" s="50" t="str">
        <f t="shared" si="18"/>
        <v xml:space="preserve">  </v>
      </c>
      <c r="W8" s="46" t="str">
        <f t="shared" si="19"/>
        <v>Y</v>
      </c>
      <c r="X8" s="50">
        <f t="shared" si="20"/>
        <v>7</v>
      </c>
      <c r="Y8" s="46" t="str">
        <f t="shared" si="21"/>
        <v xml:space="preserve">  </v>
      </c>
      <c r="Z8" s="50" t="str">
        <f t="shared" si="22"/>
        <v xml:space="preserve">  </v>
      </c>
      <c r="AA8" s="46" t="str">
        <f t="shared" si="23"/>
        <v>Y</v>
      </c>
      <c r="AB8" s="50">
        <f t="shared" si="24"/>
        <v>40</v>
      </c>
      <c r="AC8" s="46" t="str">
        <f t="shared" si="25"/>
        <v>Y</v>
      </c>
      <c r="AD8" s="50">
        <f t="shared" si="26"/>
        <v>46</v>
      </c>
      <c r="AE8" s="46" t="str">
        <f t="shared" si="27"/>
        <v xml:space="preserve">  </v>
      </c>
      <c r="AF8" s="50" t="str">
        <f t="shared" si="28"/>
        <v xml:space="preserve">  </v>
      </c>
      <c r="AG8" s="15">
        <f t="shared" si="29"/>
        <v>46190</v>
      </c>
      <c r="AH8" s="15">
        <f>_xlfn.IFNA(IF(Y8="Y","DONE",VLOOKUP(A8,'Date Calcs from Ship Date'!A:AE,27,0)),"")</f>
        <v>46098</v>
      </c>
      <c r="AI8" s="40">
        <f t="shared" ca="1" si="31"/>
        <v>25</v>
      </c>
      <c r="AJ8" s="15" t="str">
        <f>_xlfn.IFNA(IF(AC8="Y","DONE",VLOOKUP(A8,'Date Calcs from Ship Date'!A:AE,29,0)),"")</f>
        <v>DONE</v>
      </c>
      <c r="AK8" s="40">
        <f t="shared" ca="1" si="32"/>
        <v>0</v>
      </c>
      <c r="AL8" s="15" t="str">
        <f>_xlfn.IFNA(IF(AA8="Y","DONE",VLOOKUP(A8,'Date Calcs from Ship Date'!A:AI,28,0)),"")</f>
        <v>DONE</v>
      </c>
      <c r="AM8" s="40">
        <f t="shared" ca="1" si="33"/>
        <v>0</v>
      </c>
      <c r="AN8" s="15">
        <f>IF(U8="Y","DONE",VLOOKUP(A8,'Date Calcs from Ship Date'!A:AE,25,0))</f>
        <v>46105</v>
      </c>
      <c r="AO8" s="40">
        <f t="shared" si="34"/>
        <v>7</v>
      </c>
      <c r="AP8" s="15">
        <f>IF(AE8="Y","DONE",VLOOKUP(A8,'Date Calcs from Ship Date'!A:AE,30,0))</f>
        <v>46112</v>
      </c>
      <c r="AQ8" s="40">
        <f t="shared" ca="1" si="35"/>
        <v>39</v>
      </c>
      <c r="AR8" s="15">
        <f>_xlfn.IFNA(VLOOKUP(A8,'Date Calcs from Ship Date'!A:C,3,0),"")</f>
        <v>46168</v>
      </c>
      <c r="AS8" s="40">
        <f t="shared" si="36"/>
        <v>22</v>
      </c>
      <c r="AT8" s="40"/>
      <c r="AU8" s="15" t="str">
        <f t="shared" si="30"/>
        <v xml:space="preserve">  </v>
      </c>
      <c r="AV8" s="118" t="s">
        <v>419</v>
      </c>
    </row>
    <row r="9" spans="1:48" ht="23.25" x14ac:dyDescent="0.35">
      <c r="A9" s="93" t="s">
        <v>291</v>
      </c>
      <c r="B9" s="8" t="str">
        <f t="shared" si="0"/>
        <v>Reco</v>
      </c>
      <c r="C9" s="13"/>
      <c r="D9" s="46" t="str">
        <f t="shared" si="1"/>
        <v>Y</v>
      </c>
      <c r="E9" s="50">
        <f t="shared" si="2"/>
        <v>5</v>
      </c>
      <c r="F9" s="46" t="str">
        <f t="shared" si="3"/>
        <v>Y</v>
      </c>
      <c r="G9" s="50" t="e">
        <f t="shared" si="4"/>
        <v>#VALUE!</v>
      </c>
      <c r="H9" s="46" t="str">
        <f t="shared" si="5"/>
        <v>Y</v>
      </c>
      <c r="I9" s="50" t="e">
        <f t="shared" si="6"/>
        <v>#VALUE!</v>
      </c>
      <c r="J9" s="13"/>
      <c r="K9" s="46" t="str">
        <f t="shared" si="7"/>
        <v>Y</v>
      </c>
      <c r="L9" s="50">
        <f t="shared" si="8"/>
        <v>5</v>
      </c>
      <c r="M9" s="46" t="str">
        <f t="shared" si="9"/>
        <v xml:space="preserve">  </v>
      </c>
      <c r="N9" s="50" t="str">
        <f t="shared" si="10"/>
        <v xml:space="preserve">  </v>
      </c>
      <c r="O9" s="46" t="str">
        <f t="shared" si="11"/>
        <v>Y</v>
      </c>
      <c r="P9" s="50">
        <f t="shared" si="12"/>
        <v>0</v>
      </c>
      <c r="Q9" s="46" t="str">
        <f t="shared" si="13"/>
        <v>Y</v>
      </c>
      <c r="R9" s="50">
        <f t="shared" si="14"/>
        <v>-237</v>
      </c>
      <c r="S9" s="46" t="str">
        <f t="shared" si="15"/>
        <v>Y</v>
      </c>
      <c r="T9" s="50">
        <f t="shared" si="16"/>
        <v>-6</v>
      </c>
      <c r="U9" s="46" t="str">
        <f t="shared" si="17"/>
        <v>Y</v>
      </c>
      <c r="V9" s="50">
        <f t="shared" si="18"/>
        <v>-5</v>
      </c>
      <c r="W9" s="46" t="str">
        <f t="shared" si="19"/>
        <v>Y</v>
      </c>
      <c r="X9" s="50">
        <f t="shared" si="20"/>
        <v>-12</v>
      </c>
      <c r="Y9" s="46" t="str">
        <f t="shared" si="21"/>
        <v>Y</v>
      </c>
      <c r="Z9" s="50">
        <f t="shared" si="22"/>
        <v>-17</v>
      </c>
      <c r="AA9" s="46" t="str">
        <f t="shared" si="23"/>
        <v>Y</v>
      </c>
      <c r="AB9" s="50">
        <f t="shared" si="24"/>
        <v>185</v>
      </c>
      <c r="AC9" s="46" t="str">
        <f t="shared" si="25"/>
        <v>Y</v>
      </c>
      <c r="AD9" s="50">
        <f t="shared" si="26"/>
        <v>-10</v>
      </c>
      <c r="AE9" s="46" t="str">
        <f t="shared" si="27"/>
        <v>Y</v>
      </c>
      <c r="AF9" s="50">
        <f t="shared" si="28"/>
        <v>144</v>
      </c>
      <c r="AG9" s="15">
        <f t="shared" si="29"/>
        <v>46111</v>
      </c>
      <c r="AH9" s="15" t="str">
        <f>_xlfn.IFNA(IF(Y9="Y","DONE",VLOOKUP(A9,'Date Calcs from Ship Date'!A:AE,27,0)),"")</f>
        <v>DONE</v>
      </c>
      <c r="AI9" s="40">
        <f t="shared" ca="1" si="31"/>
        <v>0</v>
      </c>
      <c r="AJ9" s="15" t="str">
        <f>_xlfn.IFNA(IF(AC9="Y","DONE",VLOOKUP(A9,'Date Calcs from Ship Date'!A:AE,29,0)),"")</f>
        <v>DONE</v>
      </c>
      <c r="AK9" s="40">
        <f t="shared" ca="1" si="32"/>
        <v>0</v>
      </c>
      <c r="AL9" s="15" t="str">
        <f>_xlfn.IFNA(IF(AA9="Y","DONE",VLOOKUP(A9,'Date Calcs from Ship Date'!A:AI,28,0)),"")</f>
        <v>DONE</v>
      </c>
      <c r="AM9" s="40">
        <f t="shared" ca="1" si="33"/>
        <v>0</v>
      </c>
      <c r="AN9" s="15" t="str">
        <f>IF(U9="Y","DONE",VLOOKUP(A9,'Date Calcs from Ship Date'!A:AE,25,0))</f>
        <v>DONE</v>
      </c>
      <c r="AO9" s="40">
        <f t="shared" si="34"/>
        <v>0</v>
      </c>
      <c r="AP9" s="15" t="str">
        <f>IF(AE9="Y","DONE",VLOOKUP(A9,'Date Calcs from Ship Date'!A:AE,30,0))</f>
        <v>DONE</v>
      </c>
      <c r="AQ9" s="40">
        <f t="shared" ca="1" si="35"/>
        <v>0</v>
      </c>
      <c r="AR9" s="15">
        <f>_xlfn.IFNA(VLOOKUP(A9,'Date Calcs from Ship Date'!A:C,3,0),"")</f>
        <v>46090</v>
      </c>
      <c r="AS9" s="40">
        <f t="shared" si="36"/>
        <v>21</v>
      </c>
      <c r="AT9" s="40"/>
      <c r="AU9" s="15" t="str">
        <f t="shared" si="30"/>
        <v xml:space="preserve">  </v>
      </c>
      <c r="AV9" s="9"/>
    </row>
    <row r="10" spans="1:48" ht="23.25" x14ac:dyDescent="0.35">
      <c r="A10" s="93" t="s">
        <v>292</v>
      </c>
      <c r="B10" s="8" t="str">
        <f t="shared" si="0"/>
        <v>Reco</v>
      </c>
      <c r="C10" s="13"/>
      <c r="D10" s="46" t="str">
        <f t="shared" si="1"/>
        <v>Y</v>
      </c>
      <c r="E10" s="50">
        <f t="shared" si="2"/>
        <v>5</v>
      </c>
      <c r="F10" s="46" t="str">
        <f t="shared" si="3"/>
        <v>Y</v>
      </c>
      <c r="G10" s="50" t="e">
        <f t="shared" si="4"/>
        <v>#VALUE!</v>
      </c>
      <c r="H10" s="46" t="str">
        <f t="shared" si="5"/>
        <v>Y</v>
      </c>
      <c r="I10" s="50" t="e">
        <f t="shared" si="6"/>
        <v>#VALUE!</v>
      </c>
      <c r="J10" s="13"/>
      <c r="K10" s="46" t="str">
        <f t="shared" si="7"/>
        <v>Y</v>
      </c>
      <c r="L10" s="50">
        <f t="shared" si="8"/>
        <v>5</v>
      </c>
      <c r="M10" s="46" t="str">
        <f t="shared" si="9"/>
        <v xml:space="preserve">  </v>
      </c>
      <c r="N10" s="50" t="str">
        <f t="shared" si="10"/>
        <v xml:space="preserve">  </v>
      </c>
      <c r="O10" s="46" t="str">
        <f t="shared" si="11"/>
        <v>Y</v>
      </c>
      <c r="P10" s="50">
        <f t="shared" si="12"/>
        <v>0</v>
      </c>
      <c r="Q10" s="46" t="str">
        <f t="shared" si="13"/>
        <v>Y</v>
      </c>
      <c r="R10" s="50">
        <f t="shared" si="14"/>
        <v>-237</v>
      </c>
      <c r="S10" s="46" t="str">
        <f t="shared" si="15"/>
        <v>Y</v>
      </c>
      <c r="T10" s="50">
        <f t="shared" si="16"/>
        <v>-6</v>
      </c>
      <c r="U10" s="46" t="str">
        <f t="shared" si="17"/>
        <v>Y</v>
      </c>
      <c r="V10" s="50">
        <f t="shared" si="18"/>
        <v>-5</v>
      </c>
      <c r="W10" s="46" t="str">
        <f t="shared" si="19"/>
        <v>Y</v>
      </c>
      <c r="X10" s="50">
        <f t="shared" si="20"/>
        <v>-12</v>
      </c>
      <c r="Y10" s="46" t="str">
        <f t="shared" si="21"/>
        <v>Y</v>
      </c>
      <c r="Z10" s="50">
        <f t="shared" si="22"/>
        <v>-17</v>
      </c>
      <c r="AA10" s="46" t="str">
        <f t="shared" si="23"/>
        <v>Y</v>
      </c>
      <c r="AB10" s="50">
        <f t="shared" si="24"/>
        <v>185</v>
      </c>
      <c r="AC10" s="46" t="str">
        <f t="shared" si="25"/>
        <v>Y</v>
      </c>
      <c r="AD10" s="50">
        <f t="shared" si="26"/>
        <v>-10</v>
      </c>
      <c r="AE10" s="46" t="str">
        <f t="shared" si="27"/>
        <v>Y</v>
      </c>
      <c r="AF10" s="50">
        <f t="shared" si="28"/>
        <v>144</v>
      </c>
      <c r="AG10" s="15">
        <f t="shared" si="29"/>
        <v>46111</v>
      </c>
      <c r="AH10" s="15" t="str">
        <f>_xlfn.IFNA(IF(Y10="Y","DONE",VLOOKUP(A10,'Date Calcs from Ship Date'!A:AE,27,0)),"")</f>
        <v>DONE</v>
      </c>
      <c r="AI10" s="40">
        <f t="shared" ca="1" si="31"/>
        <v>0</v>
      </c>
      <c r="AJ10" s="15" t="str">
        <f>_xlfn.IFNA(IF(AC10="Y","DONE",VLOOKUP(A10,'Date Calcs from Ship Date'!A:AE,29,0)),"")</f>
        <v>DONE</v>
      </c>
      <c r="AK10" s="40">
        <f t="shared" ca="1" si="32"/>
        <v>0</v>
      </c>
      <c r="AL10" s="15" t="str">
        <f>_xlfn.IFNA(IF(AA10="Y","DONE",VLOOKUP(A10,'Date Calcs from Ship Date'!A:AI,28,0)),"")</f>
        <v>DONE</v>
      </c>
      <c r="AM10" s="40">
        <f t="shared" ca="1" si="33"/>
        <v>0</v>
      </c>
      <c r="AN10" s="15" t="str">
        <f>IF(U10="Y","DONE",VLOOKUP(A10,'Date Calcs from Ship Date'!A:AE,25,0))</f>
        <v>DONE</v>
      </c>
      <c r="AO10" s="40">
        <f t="shared" si="34"/>
        <v>0</v>
      </c>
      <c r="AP10" s="15" t="str">
        <f>IF(AE10="Y","DONE",VLOOKUP(A10,'Date Calcs from Ship Date'!A:AE,30,0))</f>
        <v>DONE</v>
      </c>
      <c r="AQ10" s="40">
        <f t="shared" ca="1" si="35"/>
        <v>0</v>
      </c>
      <c r="AR10" s="15">
        <f>_xlfn.IFNA(VLOOKUP(A10,'Date Calcs from Ship Date'!A:C,3,0),"")</f>
        <v>46090</v>
      </c>
      <c r="AS10" s="40">
        <f t="shared" si="36"/>
        <v>21</v>
      </c>
      <c r="AT10" s="40"/>
      <c r="AU10" s="15" t="str">
        <f t="shared" si="30"/>
        <v xml:space="preserve">  </v>
      </c>
      <c r="AV10" s="9"/>
    </row>
    <row r="11" spans="1:48" ht="23.25" x14ac:dyDescent="0.35">
      <c r="A11" s="93" t="s">
        <v>293</v>
      </c>
      <c r="B11" s="8" t="str">
        <f t="shared" si="0"/>
        <v>Reco</v>
      </c>
      <c r="C11" s="13"/>
      <c r="D11" s="46" t="str">
        <f t="shared" si="1"/>
        <v>Y</v>
      </c>
      <c r="E11" s="50">
        <f t="shared" si="2"/>
        <v>5</v>
      </c>
      <c r="F11" s="46" t="str">
        <f t="shared" si="3"/>
        <v>Y</v>
      </c>
      <c r="G11" s="50" t="e">
        <f t="shared" si="4"/>
        <v>#VALUE!</v>
      </c>
      <c r="H11" s="46" t="str">
        <f t="shared" si="5"/>
        <v>Y</v>
      </c>
      <c r="I11" s="50">
        <f t="shared" si="6"/>
        <v>-5</v>
      </c>
      <c r="J11" s="13"/>
      <c r="K11" s="46" t="str">
        <f t="shared" si="7"/>
        <v>Y</v>
      </c>
      <c r="L11" s="50">
        <f t="shared" si="8"/>
        <v>5</v>
      </c>
      <c r="M11" s="46" t="str">
        <f t="shared" si="9"/>
        <v xml:space="preserve">  </v>
      </c>
      <c r="N11" s="50" t="str">
        <f t="shared" si="10"/>
        <v xml:space="preserve">  </v>
      </c>
      <c r="O11" s="46" t="str">
        <f t="shared" si="11"/>
        <v>Y</v>
      </c>
      <c r="P11" s="50">
        <f t="shared" si="12"/>
        <v>0</v>
      </c>
      <c r="Q11" s="46" t="str">
        <f t="shared" si="13"/>
        <v>Y</v>
      </c>
      <c r="R11" s="50">
        <f t="shared" si="14"/>
        <v>-265</v>
      </c>
      <c r="S11" s="46" t="str">
        <f t="shared" si="15"/>
        <v>Y</v>
      </c>
      <c r="T11" s="50">
        <f t="shared" si="16"/>
        <v>-6</v>
      </c>
      <c r="U11" s="46" t="str">
        <f t="shared" si="17"/>
        <v>Y</v>
      </c>
      <c r="V11" s="50">
        <f t="shared" si="18"/>
        <v>-5</v>
      </c>
      <c r="W11" s="46" t="str">
        <f t="shared" si="19"/>
        <v>Y</v>
      </c>
      <c r="X11" s="50">
        <f t="shared" si="20"/>
        <v>-12</v>
      </c>
      <c r="Y11" s="46" t="str">
        <f t="shared" si="21"/>
        <v>Y</v>
      </c>
      <c r="Z11" s="50">
        <f t="shared" si="22"/>
        <v>-17</v>
      </c>
      <c r="AA11" s="46" t="str">
        <f t="shared" si="23"/>
        <v>Y</v>
      </c>
      <c r="AB11" s="50">
        <f t="shared" si="24"/>
        <v>185</v>
      </c>
      <c r="AC11" s="46" t="str">
        <f t="shared" si="25"/>
        <v>Y</v>
      </c>
      <c r="AD11" s="50">
        <f t="shared" si="26"/>
        <v>-10</v>
      </c>
      <c r="AE11" s="46" t="str">
        <f t="shared" si="27"/>
        <v>Y</v>
      </c>
      <c r="AF11" s="50">
        <f t="shared" si="28"/>
        <v>172</v>
      </c>
      <c r="AG11" s="15">
        <f t="shared" si="29"/>
        <v>46139</v>
      </c>
      <c r="AH11" s="15" t="str">
        <f>_xlfn.IFNA(IF(Y11="Y","DONE",VLOOKUP(A11,'Date Calcs from Ship Date'!A:AE,27,0)),"")</f>
        <v>DONE</v>
      </c>
      <c r="AI11" s="40">
        <f t="shared" ca="1" si="31"/>
        <v>0</v>
      </c>
      <c r="AJ11" s="15" t="str">
        <f>_xlfn.IFNA(IF(AC11="Y","DONE",VLOOKUP(A11,'Date Calcs from Ship Date'!A:AE,29,0)),"")</f>
        <v>DONE</v>
      </c>
      <c r="AK11" s="40">
        <f t="shared" ca="1" si="32"/>
        <v>0</v>
      </c>
      <c r="AL11" s="15" t="str">
        <f>_xlfn.IFNA(IF(AA11="Y","DONE",VLOOKUP(A11,'Date Calcs from Ship Date'!A:AI,28,0)),"")</f>
        <v>DONE</v>
      </c>
      <c r="AM11" s="40">
        <f t="shared" ca="1" si="33"/>
        <v>0</v>
      </c>
      <c r="AN11" s="15" t="str">
        <f>IF(U11="Y","DONE",VLOOKUP(A11,'Date Calcs from Ship Date'!A:AE,25,0))</f>
        <v>DONE</v>
      </c>
      <c r="AO11" s="40">
        <f t="shared" si="34"/>
        <v>0</v>
      </c>
      <c r="AP11" s="15" t="str">
        <f>IF(AE11="Y","DONE",VLOOKUP(A11,'Date Calcs from Ship Date'!A:AE,30,0))</f>
        <v>DONE</v>
      </c>
      <c r="AQ11" s="40">
        <f t="shared" ca="1" si="35"/>
        <v>0</v>
      </c>
      <c r="AR11" s="15">
        <f>_xlfn.IFNA(VLOOKUP(A11,'Date Calcs from Ship Date'!A:C,3,0),"")</f>
        <v>46118</v>
      </c>
      <c r="AS11" s="40">
        <f t="shared" si="36"/>
        <v>21</v>
      </c>
      <c r="AT11" s="40"/>
      <c r="AU11" s="15" t="str">
        <f t="shared" si="30"/>
        <v xml:space="preserve">  </v>
      </c>
      <c r="AV11" s="9"/>
    </row>
    <row r="12" spans="1:48" ht="23.25" x14ac:dyDescent="0.35">
      <c r="A12" s="93" t="s">
        <v>294</v>
      </c>
      <c r="B12" s="8" t="str">
        <f t="shared" si="0"/>
        <v>Reco</v>
      </c>
      <c r="C12" s="13"/>
      <c r="D12" s="46" t="str">
        <f t="shared" si="1"/>
        <v>Y</v>
      </c>
      <c r="E12" s="50">
        <f t="shared" si="2"/>
        <v>5</v>
      </c>
      <c r="F12" s="46" t="str">
        <f t="shared" si="3"/>
        <v>Y</v>
      </c>
      <c r="G12" s="50" t="e">
        <f t="shared" si="4"/>
        <v>#VALUE!</v>
      </c>
      <c r="H12" s="46" t="str">
        <f t="shared" si="5"/>
        <v>Y</v>
      </c>
      <c r="I12" s="50">
        <f t="shared" si="6"/>
        <v>-8</v>
      </c>
      <c r="J12" s="13"/>
      <c r="K12" s="46" t="str">
        <f t="shared" si="7"/>
        <v>Y</v>
      </c>
      <c r="L12" s="50">
        <f t="shared" si="8"/>
        <v>5</v>
      </c>
      <c r="M12" s="46" t="str">
        <f t="shared" si="9"/>
        <v xml:space="preserve">  </v>
      </c>
      <c r="N12" s="50" t="str">
        <f t="shared" si="10"/>
        <v xml:space="preserve">  </v>
      </c>
      <c r="O12" s="46" t="str">
        <f t="shared" si="11"/>
        <v>Y</v>
      </c>
      <c r="P12" s="50">
        <f t="shared" si="12"/>
        <v>0</v>
      </c>
      <c r="Q12" s="46" t="str">
        <f t="shared" si="13"/>
        <v>Y</v>
      </c>
      <c r="R12" s="50">
        <f t="shared" si="14"/>
        <v>-265</v>
      </c>
      <c r="S12" s="46" t="str">
        <f t="shared" si="15"/>
        <v>Y</v>
      </c>
      <c r="T12" s="50">
        <f t="shared" si="16"/>
        <v>-6</v>
      </c>
      <c r="U12" s="46" t="str">
        <f t="shared" si="17"/>
        <v>Y</v>
      </c>
      <c r="V12" s="50">
        <f t="shared" si="18"/>
        <v>-5</v>
      </c>
      <c r="W12" s="46" t="str">
        <f t="shared" si="19"/>
        <v>Y</v>
      </c>
      <c r="X12" s="50">
        <f t="shared" si="20"/>
        <v>-12</v>
      </c>
      <c r="Y12" s="46" t="str">
        <f t="shared" si="21"/>
        <v>Y</v>
      </c>
      <c r="Z12" s="50">
        <f t="shared" si="22"/>
        <v>-17</v>
      </c>
      <c r="AA12" s="46" t="str">
        <f t="shared" si="23"/>
        <v>Y</v>
      </c>
      <c r="AB12" s="50">
        <f t="shared" si="24"/>
        <v>185</v>
      </c>
      <c r="AC12" s="46" t="str">
        <f t="shared" si="25"/>
        <v>Y</v>
      </c>
      <c r="AD12" s="50">
        <f t="shared" si="26"/>
        <v>-10</v>
      </c>
      <c r="AE12" s="46" t="str">
        <f t="shared" si="27"/>
        <v>Y</v>
      </c>
      <c r="AF12" s="50">
        <f t="shared" si="28"/>
        <v>172</v>
      </c>
      <c r="AG12" s="15">
        <f t="shared" si="29"/>
        <v>46139</v>
      </c>
      <c r="AH12" s="15" t="str">
        <f>_xlfn.IFNA(IF(Y12="Y","DONE",VLOOKUP(A12,'Date Calcs from Ship Date'!A:AE,27,0)),"")</f>
        <v>DONE</v>
      </c>
      <c r="AI12" s="40">
        <f t="shared" ca="1" si="31"/>
        <v>0</v>
      </c>
      <c r="AJ12" s="15" t="str">
        <f>_xlfn.IFNA(IF(AC12="Y","DONE",VLOOKUP(A12,'Date Calcs from Ship Date'!A:AE,29,0)),"")</f>
        <v>DONE</v>
      </c>
      <c r="AK12" s="40">
        <f t="shared" ca="1" si="32"/>
        <v>0</v>
      </c>
      <c r="AL12" s="15" t="str">
        <f>_xlfn.IFNA(IF(AA12="Y","DONE",VLOOKUP(A12,'Date Calcs from Ship Date'!A:AI,28,0)),"")</f>
        <v>DONE</v>
      </c>
      <c r="AM12" s="40">
        <f t="shared" ca="1" si="33"/>
        <v>0</v>
      </c>
      <c r="AN12" s="15" t="str">
        <f>IF(U12="Y","DONE",VLOOKUP(A12,'Date Calcs from Ship Date'!A:AE,25,0))</f>
        <v>DONE</v>
      </c>
      <c r="AO12" s="40">
        <f t="shared" si="34"/>
        <v>0</v>
      </c>
      <c r="AP12" s="15" t="str">
        <f>IF(AE12="Y","DONE",VLOOKUP(A12,'Date Calcs from Ship Date'!A:AE,30,0))</f>
        <v>DONE</v>
      </c>
      <c r="AQ12" s="40">
        <f t="shared" ca="1" si="35"/>
        <v>0</v>
      </c>
      <c r="AR12" s="15">
        <f>_xlfn.IFNA(VLOOKUP(A12,'Date Calcs from Ship Date'!A:C,3,0),"")</f>
        <v>46118</v>
      </c>
      <c r="AS12" s="40">
        <f t="shared" si="36"/>
        <v>21</v>
      </c>
      <c r="AT12" s="40"/>
      <c r="AU12" s="15" t="str">
        <f t="shared" si="30"/>
        <v xml:space="preserve">  </v>
      </c>
      <c r="AV12" s="9"/>
    </row>
    <row r="13" spans="1:48" ht="23.25" x14ac:dyDescent="0.35">
      <c r="A13" s="93" t="s">
        <v>295</v>
      </c>
      <c r="B13" s="8" t="str">
        <f t="shared" si="0"/>
        <v>Reco</v>
      </c>
      <c r="C13" s="13"/>
      <c r="D13" s="46" t="str">
        <f t="shared" si="1"/>
        <v>Y</v>
      </c>
      <c r="E13" s="50">
        <f t="shared" si="2"/>
        <v>5</v>
      </c>
      <c r="F13" s="46" t="str">
        <f t="shared" si="3"/>
        <v>Y</v>
      </c>
      <c r="G13" s="50" t="e">
        <f t="shared" si="4"/>
        <v>#VALUE!</v>
      </c>
      <c r="H13" s="46" t="str">
        <f t="shared" si="5"/>
        <v>Y</v>
      </c>
      <c r="I13" s="50">
        <f t="shared" si="6"/>
        <v>-1</v>
      </c>
      <c r="J13" s="13"/>
      <c r="K13" s="46" t="str">
        <f t="shared" si="7"/>
        <v>Y</v>
      </c>
      <c r="L13" s="50">
        <f t="shared" si="8"/>
        <v>5</v>
      </c>
      <c r="M13" s="46" t="str">
        <f t="shared" si="9"/>
        <v xml:space="preserve">  </v>
      </c>
      <c r="N13" s="50" t="str">
        <f t="shared" si="10"/>
        <v xml:space="preserve">  </v>
      </c>
      <c r="O13" s="46" t="str">
        <f t="shared" si="11"/>
        <v>Y</v>
      </c>
      <c r="P13" s="50">
        <f t="shared" si="12"/>
        <v>0</v>
      </c>
      <c r="Q13" s="46" t="str">
        <f t="shared" si="13"/>
        <v>Y</v>
      </c>
      <c r="R13" s="50">
        <f t="shared" si="14"/>
        <v>-293</v>
      </c>
      <c r="S13" s="46" t="str">
        <f t="shared" si="15"/>
        <v>Y</v>
      </c>
      <c r="T13" s="50">
        <f t="shared" si="16"/>
        <v>-6</v>
      </c>
      <c r="U13" s="46" t="str">
        <f t="shared" si="17"/>
        <v>Y</v>
      </c>
      <c r="V13" s="50">
        <f t="shared" si="18"/>
        <v>-5</v>
      </c>
      <c r="W13" s="46" t="str">
        <f t="shared" si="19"/>
        <v>Y</v>
      </c>
      <c r="X13" s="50">
        <f t="shared" si="20"/>
        <v>-12</v>
      </c>
      <c r="Y13" s="46" t="str">
        <f t="shared" si="21"/>
        <v>Y</v>
      </c>
      <c r="Z13" s="50">
        <f t="shared" si="22"/>
        <v>-17</v>
      </c>
      <c r="AA13" s="46" t="str">
        <f t="shared" si="23"/>
        <v>Y</v>
      </c>
      <c r="AB13" s="50">
        <f t="shared" si="24"/>
        <v>185</v>
      </c>
      <c r="AC13" s="46" t="str">
        <f t="shared" si="25"/>
        <v>Y</v>
      </c>
      <c r="AD13" s="50">
        <f t="shared" si="26"/>
        <v>-10</v>
      </c>
      <c r="AE13" s="46" t="str">
        <f t="shared" si="27"/>
        <v>Y</v>
      </c>
      <c r="AF13" s="50">
        <f t="shared" si="28"/>
        <v>181</v>
      </c>
      <c r="AG13" s="15">
        <f t="shared" si="29"/>
        <v>46167</v>
      </c>
      <c r="AH13" s="15" t="str">
        <f>_xlfn.IFNA(IF(Y13="Y","DONE",VLOOKUP(A13,'Date Calcs from Ship Date'!A:AE,27,0)),"")</f>
        <v>DONE</v>
      </c>
      <c r="AI13" s="40">
        <f t="shared" ca="1" si="31"/>
        <v>0</v>
      </c>
      <c r="AJ13" s="15" t="str">
        <f>_xlfn.IFNA(IF(AC13="Y","DONE",VLOOKUP(A13,'Date Calcs from Ship Date'!A:AE,29,0)),"")</f>
        <v>DONE</v>
      </c>
      <c r="AK13" s="40">
        <f t="shared" ca="1" si="32"/>
        <v>0</v>
      </c>
      <c r="AL13" s="15" t="str">
        <f>_xlfn.IFNA(IF(AA13="Y","DONE",VLOOKUP(A13,'Date Calcs from Ship Date'!A:AI,28,0)),"")</f>
        <v>DONE</v>
      </c>
      <c r="AM13" s="40">
        <f t="shared" ca="1" si="33"/>
        <v>0</v>
      </c>
      <c r="AN13" s="15" t="str">
        <f>IF(U13="Y","DONE",VLOOKUP(A13,'Date Calcs from Ship Date'!A:AE,25,0))</f>
        <v>DONE</v>
      </c>
      <c r="AO13" s="40">
        <f t="shared" si="34"/>
        <v>0</v>
      </c>
      <c r="AP13" s="15" t="str">
        <f>IF(AE13="Y","DONE",VLOOKUP(A13,'Date Calcs from Ship Date'!A:AE,30,0))</f>
        <v>DONE</v>
      </c>
      <c r="AQ13" s="40">
        <f t="shared" ca="1" si="35"/>
        <v>0</v>
      </c>
      <c r="AR13" s="15">
        <f>_xlfn.IFNA(VLOOKUP(A13,'Date Calcs from Ship Date'!A:C,3,0),"")</f>
        <v>46139</v>
      </c>
      <c r="AS13" s="40">
        <f t="shared" si="36"/>
        <v>28</v>
      </c>
      <c r="AT13" s="40"/>
      <c r="AU13" s="15" t="str">
        <f t="shared" si="30"/>
        <v xml:space="preserve">  </v>
      </c>
      <c r="AV13" s="9"/>
    </row>
    <row r="14" spans="1:48" ht="23.25" x14ac:dyDescent="0.35">
      <c r="A14" s="93" t="s">
        <v>296</v>
      </c>
      <c r="B14" s="8" t="str">
        <f t="shared" si="0"/>
        <v>Reco</v>
      </c>
      <c r="C14" s="13"/>
      <c r="D14" s="46" t="str">
        <f t="shared" si="1"/>
        <v>Y</v>
      </c>
      <c r="E14" s="50">
        <f t="shared" si="2"/>
        <v>5</v>
      </c>
      <c r="F14" s="46" t="str">
        <f t="shared" si="3"/>
        <v>Y</v>
      </c>
      <c r="G14" s="50" t="e">
        <f t="shared" si="4"/>
        <v>#VALUE!</v>
      </c>
      <c r="H14" s="46" t="str">
        <f t="shared" si="5"/>
        <v>Y</v>
      </c>
      <c r="I14" s="50">
        <f t="shared" si="6"/>
        <v>-6</v>
      </c>
      <c r="J14" s="13"/>
      <c r="K14" s="46" t="str">
        <f t="shared" si="7"/>
        <v>Y</v>
      </c>
      <c r="L14" s="50">
        <f t="shared" si="8"/>
        <v>5</v>
      </c>
      <c r="M14" s="46" t="str">
        <f t="shared" si="9"/>
        <v xml:space="preserve">  </v>
      </c>
      <c r="N14" s="50" t="str">
        <f t="shared" si="10"/>
        <v xml:space="preserve">  </v>
      </c>
      <c r="O14" s="46" t="str">
        <f t="shared" si="11"/>
        <v>Y</v>
      </c>
      <c r="P14" s="50">
        <f t="shared" si="12"/>
        <v>0</v>
      </c>
      <c r="Q14" s="46" t="str">
        <f t="shared" si="13"/>
        <v>Y</v>
      </c>
      <c r="R14" s="50">
        <f t="shared" si="14"/>
        <v>-293</v>
      </c>
      <c r="S14" s="46" t="str">
        <f t="shared" si="15"/>
        <v>Y</v>
      </c>
      <c r="T14" s="50">
        <f t="shared" si="16"/>
        <v>-6</v>
      </c>
      <c r="U14" s="46" t="str">
        <f t="shared" si="17"/>
        <v>Y</v>
      </c>
      <c r="V14" s="50">
        <f t="shared" si="18"/>
        <v>-5</v>
      </c>
      <c r="W14" s="46" t="str">
        <f t="shared" si="19"/>
        <v>Y</v>
      </c>
      <c r="X14" s="50">
        <f t="shared" si="20"/>
        <v>-12</v>
      </c>
      <c r="Y14" s="46" t="str">
        <f t="shared" si="21"/>
        <v>Y</v>
      </c>
      <c r="Z14" s="50">
        <f t="shared" si="22"/>
        <v>-17</v>
      </c>
      <c r="AA14" s="46" t="str">
        <f t="shared" si="23"/>
        <v>Y</v>
      </c>
      <c r="AB14" s="50">
        <f t="shared" si="24"/>
        <v>185</v>
      </c>
      <c r="AC14" s="46" t="str">
        <f t="shared" si="25"/>
        <v>Y</v>
      </c>
      <c r="AD14" s="50">
        <f t="shared" si="26"/>
        <v>-10</v>
      </c>
      <c r="AE14" s="46" t="str">
        <f t="shared" si="27"/>
        <v>Y</v>
      </c>
      <c r="AF14" s="50">
        <f t="shared" si="28"/>
        <v>181</v>
      </c>
      <c r="AG14" s="15">
        <f t="shared" si="29"/>
        <v>46167</v>
      </c>
      <c r="AH14" s="15" t="str">
        <f>_xlfn.IFNA(IF(Y14="Y","DONE",VLOOKUP(A14,'Date Calcs from Ship Date'!A:AE,27,0)),"")</f>
        <v>DONE</v>
      </c>
      <c r="AI14" s="40">
        <f t="shared" ca="1" si="31"/>
        <v>0</v>
      </c>
      <c r="AJ14" s="15" t="str">
        <f>_xlfn.IFNA(IF(AC14="Y","DONE",VLOOKUP(A14,'Date Calcs from Ship Date'!A:AE,29,0)),"")</f>
        <v>DONE</v>
      </c>
      <c r="AK14" s="40">
        <f t="shared" ca="1" si="32"/>
        <v>0</v>
      </c>
      <c r="AL14" s="15" t="str">
        <f>_xlfn.IFNA(IF(AA14="Y","DONE",VLOOKUP(A14,'Date Calcs from Ship Date'!A:AI,28,0)),"")</f>
        <v>DONE</v>
      </c>
      <c r="AM14" s="40">
        <f t="shared" ca="1" si="33"/>
        <v>0</v>
      </c>
      <c r="AN14" s="15" t="str">
        <f>IF(U14="Y","DONE",VLOOKUP(A14,'Date Calcs from Ship Date'!A:AE,25,0))</f>
        <v>DONE</v>
      </c>
      <c r="AO14" s="40">
        <f t="shared" si="34"/>
        <v>0</v>
      </c>
      <c r="AP14" s="15" t="str">
        <f>IF(AE14="Y","DONE",VLOOKUP(A14,'Date Calcs from Ship Date'!A:AE,30,0))</f>
        <v>DONE</v>
      </c>
      <c r="AQ14" s="40">
        <f t="shared" ca="1" si="35"/>
        <v>0</v>
      </c>
      <c r="AR14" s="15">
        <f>_xlfn.IFNA(VLOOKUP(A14,'Date Calcs from Ship Date'!A:C,3,0),"")</f>
        <v>46139</v>
      </c>
      <c r="AS14" s="40">
        <f t="shared" si="36"/>
        <v>28</v>
      </c>
      <c r="AT14" s="40"/>
      <c r="AU14" s="15" t="str">
        <f t="shared" si="30"/>
        <v xml:space="preserve">  </v>
      </c>
      <c r="AV14" s="9"/>
    </row>
    <row r="15" spans="1:48" ht="23.25" x14ac:dyDescent="0.35">
      <c r="A15" s="93" t="s">
        <v>311</v>
      </c>
      <c r="B15" s="8" t="str">
        <f t="shared" si="0"/>
        <v>Synthomer</v>
      </c>
      <c r="C15" s="13"/>
      <c r="D15" s="46" t="str">
        <f t="shared" si="1"/>
        <v>Y</v>
      </c>
      <c r="E15" s="50">
        <f t="shared" si="2"/>
        <v>10</v>
      </c>
      <c r="F15" s="46" t="str">
        <f t="shared" si="3"/>
        <v>Y</v>
      </c>
      <c r="G15" s="50">
        <f t="shared" si="4"/>
        <v>-5</v>
      </c>
      <c r="H15" s="46" t="str">
        <f t="shared" si="5"/>
        <v>Y</v>
      </c>
      <c r="I15" s="50">
        <f t="shared" si="6"/>
        <v>-8</v>
      </c>
      <c r="J15" s="13"/>
      <c r="K15" s="46" t="str">
        <f t="shared" si="7"/>
        <v>Y</v>
      </c>
      <c r="L15" s="50">
        <f t="shared" si="8"/>
        <v>-92</v>
      </c>
      <c r="M15" s="46" t="str">
        <f t="shared" si="9"/>
        <v xml:space="preserve">  </v>
      </c>
      <c r="N15" s="50" t="str">
        <f t="shared" si="10"/>
        <v xml:space="preserve">  </v>
      </c>
      <c r="O15" s="46" t="str">
        <f t="shared" si="11"/>
        <v>Y</v>
      </c>
      <c r="P15" s="50">
        <f t="shared" si="12"/>
        <v>-97</v>
      </c>
      <c r="Q15" s="46" t="str">
        <f t="shared" si="13"/>
        <v>Y</v>
      </c>
      <c r="R15" s="50">
        <f t="shared" si="14"/>
        <v>-273</v>
      </c>
      <c r="S15" s="46" t="str">
        <f t="shared" si="15"/>
        <v>Y</v>
      </c>
      <c r="T15" s="50">
        <f t="shared" si="16"/>
        <v>-98</v>
      </c>
      <c r="U15" s="46" t="str">
        <f t="shared" si="17"/>
        <v>Y</v>
      </c>
      <c r="V15" s="50">
        <f t="shared" si="18"/>
        <v>-46</v>
      </c>
      <c r="W15" s="46" t="str">
        <f t="shared" si="19"/>
        <v>Y</v>
      </c>
      <c r="X15" s="50">
        <f t="shared" si="20"/>
        <v>-104</v>
      </c>
      <c r="Y15" s="46" t="str">
        <f t="shared" si="21"/>
        <v>Y</v>
      </c>
      <c r="Z15" s="50">
        <f t="shared" si="22"/>
        <v>-91</v>
      </c>
      <c r="AA15" s="46" t="str">
        <f t="shared" si="23"/>
        <v>Y</v>
      </c>
      <c r="AB15" s="50">
        <f t="shared" si="24"/>
        <v>-42</v>
      </c>
      <c r="AC15" s="46" t="str">
        <f t="shared" si="25"/>
        <v>Y</v>
      </c>
      <c r="AD15" s="50">
        <f t="shared" si="26"/>
        <v>-84</v>
      </c>
      <c r="AE15" s="46" t="str">
        <f t="shared" si="27"/>
        <v>Y</v>
      </c>
      <c r="AF15" s="50">
        <f t="shared" si="28"/>
        <v>-94</v>
      </c>
      <c r="AG15" s="15">
        <f t="shared" si="29"/>
        <v>46147</v>
      </c>
      <c r="AH15" s="15" t="str">
        <f>_xlfn.IFNA(IF(Y15="Y","DONE",VLOOKUP(A15,'Date Calcs from Ship Date'!A:AE,27,0)),"")</f>
        <v>DONE</v>
      </c>
      <c r="AI15" s="40">
        <f t="shared" ca="1" si="31"/>
        <v>0</v>
      </c>
      <c r="AJ15" s="15" t="str">
        <f>_xlfn.IFNA(IF(AC15="Y","DONE",VLOOKUP(A15,'Date Calcs from Ship Date'!A:AE,29,0)),"")</f>
        <v>DONE</v>
      </c>
      <c r="AK15" s="40">
        <f t="shared" ca="1" si="32"/>
        <v>0</v>
      </c>
      <c r="AL15" s="15" t="str">
        <f>_xlfn.IFNA(IF(AA15="Y","DONE",VLOOKUP(A15,'Date Calcs from Ship Date'!A:AI,28,0)),"")</f>
        <v>DONE</v>
      </c>
      <c r="AM15" s="40">
        <f t="shared" ca="1" si="33"/>
        <v>0</v>
      </c>
      <c r="AN15" s="15" t="str">
        <f>IF(U15="Y","DONE",VLOOKUP(A15,'Date Calcs from Ship Date'!A:AE,25,0))</f>
        <v>DONE</v>
      </c>
      <c r="AO15" s="40">
        <f t="shared" si="34"/>
        <v>0</v>
      </c>
      <c r="AP15" s="15" t="str">
        <f>IF(AE15="Y","DONE",VLOOKUP(A15,'Date Calcs from Ship Date'!A:AE,30,0))</f>
        <v>DONE</v>
      </c>
      <c r="AQ15" s="40">
        <f t="shared" ca="1" si="35"/>
        <v>0</v>
      </c>
      <c r="AR15" s="15">
        <f>_xlfn.IFNA(VLOOKUP(A15,'Date Calcs from Ship Date'!A:C,3,0),"")</f>
        <v>46118</v>
      </c>
      <c r="AS15" s="40">
        <f t="shared" si="36"/>
        <v>29</v>
      </c>
      <c r="AT15" s="40"/>
      <c r="AU15" s="15" t="str">
        <f t="shared" si="30"/>
        <v xml:space="preserve">  </v>
      </c>
      <c r="AV15" s="9"/>
    </row>
    <row r="16" spans="1:48" ht="23.25" x14ac:dyDescent="0.35">
      <c r="A16" s="93" t="s">
        <v>313</v>
      </c>
      <c r="B16" s="8" t="str">
        <f t="shared" si="0"/>
        <v>Atlas Minerals</v>
      </c>
      <c r="C16" s="13"/>
      <c r="D16" s="46" t="str">
        <f t="shared" si="1"/>
        <v>Y</v>
      </c>
      <c r="E16" s="50">
        <f t="shared" si="2"/>
        <v>0</v>
      </c>
      <c r="F16" s="46" t="str">
        <f t="shared" si="3"/>
        <v>Y</v>
      </c>
      <c r="G16" s="50">
        <f t="shared" si="4"/>
        <v>-8</v>
      </c>
      <c r="H16" s="46" t="str">
        <f t="shared" si="5"/>
        <v>Y</v>
      </c>
      <c r="I16" s="50">
        <f t="shared" si="6"/>
        <v>3</v>
      </c>
      <c r="J16" s="13"/>
      <c r="K16" s="46" t="str">
        <f t="shared" si="7"/>
        <v>Y</v>
      </c>
      <c r="L16" s="50">
        <f t="shared" si="8"/>
        <v>-2</v>
      </c>
      <c r="M16" s="46" t="str">
        <f t="shared" si="9"/>
        <v xml:space="preserve">  </v>
      </c>
      <c r="N16" s="50" t="str">
        <f t="shared" si="10"/>
        <v xml:space="preserve">  </v>
      </c>
      <c r="O16" s="46" t="str">
        <f t="shared" si="11"/>
        <v>Y</v>
      </c>
      <c r="P16" s="50">
        <f t="shared" si="12"/>
        <v>-7</v>
      </c>
      <c r="Q16" s="46" t="str">
        <f t="shared" si="13"/>
        <v>Y</v>
      </c>
      <c r="R16" s="50">
        <f t="shared" si="14"/>
        <v>-144</v>
      </c>
      <c r="S16" s="46" t="str">
        <f t="shared" si="15"/>
        <v>Y</v>
      </c>
      <c r="T16" s="50">
        <f t="shared" si="16"/>
        <v>-25</v>
      </c>
      <c r="U16" s="46" t="str">
        <f t="shared" si="17"/>
        <v>Y</v>
      </c>
      <c r="V16" s="50">
        <f t="shared" si="18"/>
        <v>-8</v>
      </c>
      <c r="W16" s="46" t="str">
        <f t="shared" si="19"/>
        <v>Y</v>
      </c>
      <c r="X16" s="50">
        <f t="shared" si="20"/>
        <v>-20</v>
      </c>
      <c r="Y16" s="46" t="str">
        <f t="shared" si="21"/>
        <v>Y</v>
      </c>
      <c r="Z16" s="50">
        <f t="shared" si="22"/>
        <v>-1</v>
      </c>
      <c r="AA16" s="46" t="str">
        <f t="shared" si="23"/>
        <v>Y</v>
      </c>
      <c r="AB16" s="50">
        <f t="shared" si="24"/>
        <v>34</v>
      </c>
      <c r="AC16" s="46" t="str">
        <f t="shared" si="25"/>
        <v>Y</v>
      </c>
      <c r="AD16" s="50">
        <f t="shared" si="26"/>
        <v>6</v>
      </c>
      <c r="AE16" s="46" t="str">
        <f t="shared" si="27"/>
        <v>Y</v>
      </c>
      <c r="AF16" s="50">
        <f t="shared" si="28"/>
        <v>-4</v>
      </c>
      <c r="AG16" s="15">
        <f t="shared" si="29"/>
        <v>46091</v>
      </c>
      <c r="AH16" s="15" t="str">
        <f>_xlfn.IFNA(IF(Y16="Y","DONE",VLOOKUP(A16,'Date Calcs from Ship Date'!A:AE,27,0)),"")</f>
        <v>DONE</v>
      </c>
      <c r="AI16" s="40">
        <f t="shared" ca="1" si="31"/>
        <v>0</v>
      </c>
      <c r="AJ16" s="15" t="str">
        <f>_xlfn.IFNA(IF(AC16="Y","DONE",VLOOKUP(A16,'Date Calcs from Ship Date'!A:AE,29,0)),"")</f>
        <v>DONE</v>
      </c>
      <c r="AK16" s="40">
        <f t="shared" ca="1" si="32"/>
        <v>0</v>
      </c>
      <c r="AL16" s="15" t="str">
        <f>_xlfn.IFNA(IF(AA16="Y","DONE",VLOOKUP(A16,'Date Calcs from Ship Date'!A:AI,28,0)),"")</f>
        <v>DONE</v>
      </c>
      <c r="AM16" s="40">
        <f t="shared" ca="1" si="33"/>
        <v>0</v>
      </c>
      <c r="AN16" s="15" t="str">
        <f>IF(U16="Y","DONE",VLOOKUP(A16,'Date Calcs from Ship Date'!A:AE,25,0))</f>
        <v>DONE</v>
      </c>
      <c r="AO16" s="40">
        <f t="shared" si="34"/>
        <v>0</v>
      </c>
      <c r="AP16" s="15" t="str">
        <f>IF(AE16="Y","DONE",VLOOKUP(A16,'Date Calcs from Ship Date'!A:AE,30,0))</f>
        <v>DONE</v>
      </c>
      <c r="AQ16" s="40">
        <f t="shared" ca="1" si="35"/>
        <v>0</v>
      </c>
      <c r="AR16" s="15">
        <f>_xlfn.IFNA(VLOOKUP(A16,'Date Calcs from Ship Date'!A:C,3,0),"")</f>
        <v>46076</v>
      </c>
      <c r="AS16" s="40">
        <f t="shared" si="36"/>
        <v>15</v>
      </c>
      <c r="AT16" s="40"/>
      <c r="AU16" s="15" t="str">
        <f t="shared" si="30"/>
        <v xml:space="preserve">  </v>
      </c>
      <c r="AV16" s="9"/>
    </row>
    <row r="17" spans="1:48" ht="23.25" x14ac:dyDescent="0.35">
      <c r="A17" s="93" t="s">
        <v>331</v>
      </c>
      <c r="B17" s="8" t="str">
        <f t="shared" si="0"/>
        <v>Coastal Technologies</v>
      </c>
      <c r="C17" s="13"/>
      <c r="D17" s="46" t="str">
        <f t="shared" si="1"/>
        <v>Y</v>
      </c>
      <c r="E17" s="50">
        <f t="shared" si="2"/>
        <v>0</v>
      </c>
      <c r="F17" s="46" t="str">
        <f t="shared" si="3"/>
        <v>Y</v>
      </c>
      <c r="G17" s="50">
        <f t="shared" si="4"/>
        <v>2</v>
      </c>
      <c r="H17" s="46" t="str">
        <f t="shared" si="5"/>
        <v>Y</v>
      </c>
      <c r="I17" s="50">
        <f t="shared" si="6"/>
        <v>3</v>
      </c>
      <c r="J17" s="13"/>
      <c r="K17" s="46" t="str">
        <f t="shared" si="7"/>
        <v>Y</v>
      </c>
      <c r="L17" s="50">
        <f t="shared" si="8"/>
        <v>4</v>
      </c>
      <c r="M17" s="46" t="str">
        <f t="shared" si="9"/>
        <v xml:space="preserve">  </v>
      </c>
      <c r="N17" s="50" t="str">
        <f t="shared" si="10"/>
        <v xml:space="preserve">  </v>
      </c>
      <c r="O17" s="46" t="str">
        <f t="shared" si="11"/>
        <v>Y</v>
      </c>
      <c r="P17" s="50">
        <f t="shared" si="12"/>
        <v>-1</v>
      </c>
      <c r="Q17" s="46" t="str">
        <f t="shared" si="13"/>
        <v>Y</v>
      </c>
      <c r="R17" s="50">
        <f t="shared" si="14"/>
        <v>-129</v>
      </c>
      <c r="S17" s="46" t="str">
        <f t="shared" si="15"/>
        <v>Y</v>
      </c>
      <c r="T17" s="50">
        <f t="shared" si="16"/>
        <v>4</v>
      </c>
      <c r="U17" s="46" t="str">
        <f t="shared" si="17"/>
        <v xml:space="preserve">  </v>
      </c>
      <c r="V17" s="50" t="str">
        <f t="shared" si="18"/>
        <v xml:space="preserve">  </v>
      </c>
      <c r="W17" s="46" t="str">
        <f t="shared" si="19"/>
        <v>Y</v>
      </c>
      <c r="X17" s="50">
        <f t="shared" si="20"/>
        <v>-105</v>
      </c>
      <c r="Y17" s="46" t="str">
        <f t="shared" si="21"/>
        <v>Y</v>
      </c>
      <c r="Z17" s="50">
        <f t="shared" si="22"/>
        <v>62</v>
      </c>
      <c r="AA17" s="46" t="str">
        <f t="shared" si="23"/>
        <v>Y</v>
      </c>
      <c r="AB17" s="50">
        <f t="shared" si="24"/>
        <v>-45</v>
      </c>
      <c r="AC17" s="46" t="str">
        <f t="shared" si="25"/>
        <v>Y</v>
      </c>
      <c r="AD17" s="50">
        <f t="shared" si="26"/>
        <v>69</v>
      </c>
      <c r="AE17" s="46" t="str">
        <f t="shared" si="27"/>
        <v>Y</v>
      </c>
      <c r="AF17" s="50">
        <f t="shared" si="28"/>
        <v>-39</v>
      </c>
      <c r="AG17" s="15">
        <f t="shared" si="29"/>
        <v>46100</v>
      </c>
      <c r="AH17" s="15" t="str">
        <f>_xlfn.IFNA(IF(Y17="Y","DONE",VLOOKUP(A17,'Date Calcs from Ship Date'!A:AE,27,0)),"")</f>
        <v>DONE</v>
      </c>
      <c r="AI17" s="40">
        <f t="shared" ca="1" si="31"/>
        <v>0</v>
      </c>
      <c r="AJ17" s="15" t="str">
        <f>_xlfn.IFNA(IF(AC17="Y","DONE",VLOOKUP(A17,'Date Calcs from Ship Date'!A:AE,29,0)),"")</f>
        <v>DONE</v>
      </c>
      <c r="AK17" s="40">
        <f t="shared" ca="1" si="32"/>
        <v>0</v>
      </c>
      <c r="AL17" s="15" t="str">
        <f>_xlfn.IFNA(IF(AA17="Y","DONE",VLOOKUP(A17,'Date Calcs from Ship Date'!A:AI,28,0)),"")</f>
        <v>DONE</v>
      </c>
      <c r="AM17" s="40">
        <f t="shared" ca="1" si="33"/>
        <v>0</v>
      </c>
      <c r="AN17" s="15">
        <f>IF(U17="Y","DONE",VLOOKUP(A17,'Date Calcs from Ship Date'!A:AE,25,0))</f>
        <v>46079</v>
      </c>
      <c r="AO17" s="40">
        <f>IFERROR(AP17-AN17,0)</f>
        <v>0</v>
      </c>
      <c r="AP17" s="15" t="str">
        <f>IF(AE17="Y","DONE",VLOOKUP(A17,'Date Calcs from Ship Date'!A:AE,30,0))</f>
        <v>DONE</v>
      </c>
      <c r="AQ17" s="40">
        <f t="shared" ca="1" si="35"/>
        <v>0</v>
      </c>
      <c r="AR17" s="15">
        <f>_xlfn.IFNA(VLOOKUP(A17,'Date Calcs from Ship Date'!A:C,3,0),"")</f>
        <v>46090</v>
      </c>
      <c r="AS17" s="40">
        <f t="shared" si="36"/>
        <v>10</v>
      </c>
      <c r="AT17" s="40"/>
      <c r="AU17" s="15" t="str">
        <f t="shared" si="30"/>
        <v xml:space="preserve">  </v>
      </c>
      <c r="AV17" s="118" t="s">
        <v>418</v>
      </c>
    </row>
    <row r="18" spans="1:48" ht="23.25" x14ac:dyDescent="0.35">
      <c r="A18" s="93" t="s">
        <v>333</v>
      </c>
      <c r="B18" s="8" t="str">
        <f t="shared" si="0"/>
        <v>Burke Industrial</v>
      </c>
      <c r="C18" s="13"/>
      <c r="D18" s="46" t="str">
        <f t="shared" si="1"/>
        <v>Y</v>
      </c>
      <c r="E18" s="50">
        <f t="shared" si="2"/>
        <v>-1</v>
      </c>
      <c r="F18" s="46" t="str">
        <f t="shared" si="3"/>
        <v>Y</v>
      </c>
      <c r="G18" s="50">
        <f t="shared" si="4"/>
        <v>-3</v>
      </c>
      <c r="H18" s="46" t="str">
        <f t="shared" si="5"/>
        <v>Y</v>
      </c>
      <c r="I18" s="50">
        <f t="shared" si="6"/>
        <v>3</v>
      </c>
      <c r="J18" s="13"/>
      <c r="K18" s="46" t="str">
        <f t="shared" si="7"/>
        <v>Y</v>
      </c>
      <c r="L18" s="50">
        <f t="shared" si="8"/>
        <v>5</v>
      </c>
      <c r="M18" s="46" t="str">
        <f t="shared" si="9"/>
        <v xml:space="preserve">  </v>
      </c>
      <c r="N18" s="50" t="str">
        <f t="shared" si="10"/>
        <v xml:space="preserve">  </v>
      </c>
      <c r="O18" s="46" t="str">
        <f t="shared" si="11"/>
        <v>Y</v>
      </c>
      <c r="P18" s="50">
        <f t="shared" si="12"/>
        <v>0</v>
      </c>
      <c r="Q18" s="46" t="str">
        <f t="shared" si="13"/>
        <v>Y</v>
      </c>
      <c r="R18" s="50">
        <f t="shared" si="14"/>
        <v>-104</v>
      </c>
      <c r="S18" s="46" t="str">
        <f t="shared" si="15"/>
        <v>Y</v>
      </c>
      <c r="T18" s="50">
        <f t="shared" si="16"/>
        <v>1</v>
      </c>
      <c r="U18" s="46" t="str">
        <f t="shared" si="17"/>
        <v>Y</v>
      </c>
      <c r="V18" s="50">
        <f t="shared" si="18"/>
        <v>0</v>
      </c>
      <c r="W18" s="46" t="str">
        <f t="shared" si="19"/>
        <v>Y</v>
      </c>
      <c r="X18" s="50">
        <f t="shared" si="20"/>
        <v>-6</v>
      </c>
      <c r="Y18" s="46" t="str">
        <f t="shared" si="21"/>
        <v>Y</v>
      </c>
      <c r="Z18" s="50">
        <f t="shared" si="22"/>
        <v>58</v>
      </c>
      <c r="AA18" s="46" t="str">
        <f t="shared" si="23"/>
        <v>Y</v>
      </c>
      <c r="AB18" s="50">
        <f t="shared" si="24"/>
        <v>63</v>
      </c>
      <c r="AC18" s="46" t="str">
        <f t="shared" si="25"/>
        <v>Y</v>
      </c>
      <c r="AD18" s="50">
        <f t="shared" si="26"/>
        <v>71</v>
      </c>
      <c r="AE18" s="46" t="str">
        <f t="shared" si="27"/>
        <v>Y</v>
      </c>
      <c r="AF18" s="50">
        <f t="shared" si="28"/>
        <v>62</v>
      </c>
      <c r="AG18" s="15">
        <f t="shared" si="29"/>
        <v>46078</v>
      </c>
      <c r="AH18" s="15" t="str">
        <f>_xlfn.IFNA(IF(Y18="Y","DONE",VLOOKUP(A18,'Date Calcs from Ship Date'!A:AE,27,0)),"")</f>
        <v>DONE</v>
      </c>
      <c r="AI18" s="40">
        <f t="shared" ca="1" si="31"/>
        <v>0</v>
      </c>
      <c r="AJ18" s="15" t="str">
        <f>_xlfn.IFNA(IF(AC18="Y","DONE",VLOOKUP(A18,'Date Calcs from Ship Date'!A:AE,29,0)),"")</f>
        <v>DONE</v>
      </c>
      <c r="AK18" s="40">
        <f t="shared" ca="1" si="32"/>
        <v>0</v>
      </c>
      <c r="AL18" s="15" t="str">
        <f>_xlfn.IFNA(IF(AA18="Y","DONE",VLOOKUP(A18,'Date Calcs from Ship Date'!A:AI,28,0)),"")</f>
        <v>DONE</v>
      </c>
      <c r="AM18" s="40">
        <f t="shared" ca="1" si="33"/>
        <v>0</v>
      </c>
      <c r="AN18" s="15" t="str">
        <f>IF(U18="Y","DONE",VLOOKUP(A18,'Date Calcs from Ship Date'!A:AE,25,0))</f>
        <v>DONE</v>
      </c>
      <c r="AO18" s="40">
        <f t="shared" si="34"/>
        <v>0</v>
      </c>
      <c r="AP18" s="15" t="str">
        <f>IF(AE18="Y","DONE",VLOOKUP(A18,'Date Calcs from Ship Date'!A:AE,30,0))</f>
        <v>DONE</v>
      </c>
      <c r="AQ18" s="40">
        <f t="shared" ca="1" si="35"/>
        <v>0</v>
      </c>
      <c r="AR18" s="15">
        <f>_xlfn.IFNA(VLOOKUP(A18,'Date Calcs from Ship Date'!A:C,3,0),"")</f>
        <v>46090</v>
      </c>
      <c r="AS18" s="40">
        <f t="shared" si="36"/>
        <v>-12</v>
      </c>
      <c r="AT18" s="40"/>
      <c r="AU18" s="15" t="str">
        <f t="shared" si="30"/>
        <v xml:space="preserve">  </v>
      </c>
      <c r="AV18" s="9"/>
    </row>
    <row r="19" spans="1:48" ht="23.25" x14ac:dyDescent="0.35">
      <c r="A19" s="93" t="s">
        <v>334</v>
      </c>
      <c r="B19" s="8" t="str">
        <f t="shared" si="0"/>
        <v>Harper Love</v>
      </c>
      <c r="C19" s="13"/>
      <c r="D19" s="46" t="str">
        <f t="shared" si="1"/>
        <v>Y</v>
      </c>
      <c r="E19" s="50">
        <f t="shared" si="2"/>
        <v>-1</v>
      </c>
      <c r="F19" s="46" t="str">
        <f t="shared" si="3"/>
        <v>Y</v>
      </c>
      <c r="G19" s="50">
        <f t="shared" si="4"/>
        <v>-7</v>
      </c>
      <c r="H19" s="46" t="str">
        <f t="shared" si="5"/>
        <v>Y</v>
      </c>
      <c r="I19" s="50">
        <f t="shared" si="6"/>
        <v>3</v>
      </c>
      <c r="J19" s="13"/>
      <c r="K19" s="46" t="str">
        <f t="shared" si="7"/>
        <v>Y</v>
      </c>
      <c r="L19" s="50">
        <f t="shared" si="8"/>
        <v>5</v>
      </c>
      <c r="M19" s="46" t="str">
        <f t="shared" si="9"/>
        <v xml:space="preserve">  </v>
      </c>
      <c r="N19" s="50" t="str">
        <f t="shared" si="10"/>
        <v xml:space="preserve">  </v>
      </c>
      <c r="O19" s="46" t="str">
        <f t="shared" si="11"/>
        <v>Y</v>
      </c>
      <c r="P19" s="50">
        <f t="shared" si="12"/>
        <v>0</v>
      </c>
      <c r="Q19" s="46" t="str">
        <f t="shared" si="13"/>
        <v>Y</v>
      </c>
      <c r="R19" s="50">
        <f t="shared" si="14"/>
        <v>-124</v>
      </c>
      <c r="S19" s="46" t="str">
        <f t="shared" si="15"/>
        <v>Y</v>
      </c>
      <c r="T19" s="50">
        <f t="shared" si="16"/>
        <v>-5</v>
      </c>
      <c r="U19" s="46" t="str">
        <f t="shared" si="17"/>
        <v>Y</v>
      </c>
      <c r="V19" s="50">
        <f t="shared" si="18"/>
        <v>50</v>
      </c>
      <c r="W19" s="46" t="str">
        <f t="shared" si="19"/>
        <v>Y</v>
      </c>
      <c r="X19" s="50">
        <f t="shared" si="20"/>
        <v>-6</v>
      </c>
      <c r="Y19" s="46" t="str">
        <f t="shared" si="21"/>
        <v>Y</v>
      </c>
      <c r="Z19" s="50">
        <f t="shared" si="22"/>
        <v>28</v>
      </c>
      <c r="AA19" s="46" t="str">
        <f t="shared" si="23"/>
        <v>Y</v>
      </c>
      <c r="AB19" s="50">
        <f t="shared" si="24"/>
        <v>24</v>
      </c>
      <c r="AC19" s="46" t="str">
        <f t="shared" si="25"/>
        <v>Y</v>
      </c>
      <c r="AD19" s="50">
        <f t="shared" si="26"/>
        <v>35</v>
      </c>
      <c r="AE19" s="46" t="str">
        <f t="shared" si="27"/>
        <v>Y</v>
      </c>
      <c r="AF19" s="50">
        <f t="shared" si="28"/>
        <v>27</v>
      </c>
      <c r="AG19" s="15">
        <f t="shared" si="29"/>
        <v>46125</v>
      </c>
      <c r="AH19" s="15" t="str">
        <f>_xlfn.IFNA(IF(Y19="Y","DONE",VLOOKUP(A19,'Date Calcs from Ship Date'!A:AE,27,0)),"")</f>
        <v>DONE</v>
      </c>
      <c r="AI19" s="40">
        <f t="shared" ca="1" si="31"/>
        <v>0</v>
      </c>
      <c r="AJ19" s="15" t="str">
        <f>_xlfn.IFNA(IF(AC19="Y","DONE",VLOOKUP(A19,'Date Calcs from Ship Date'!A:AE,29,0)),"")</f>
        <v>DONE</v>
      </c>
      <c r="AK19" s="40">
        <f t="shared" ca="1" si="32"/>
        <v>0</v>
      </c>
      <c r="AL19" s="15" t="str">
        <f>_xlfn.IFNA(IF(AA19="Y","DONE",VLOOKUP(A19,'Date Calcs from Ship Date'!A:AI,28,0)),"")</f>
        <v>DONE</v>
      </c>
      <c r="AM19" s="40">
        <f t="shared" ca="1" si="33"/>
        <v>0</v>
      </c>
      <c r="AN19" s="15" t="str">
        <f>IF(U19="Y","DONE",VLOOKUP(A19,'Date Calcs from Ship Date'!A:AE,25,0))</f>
        <v>DONE</v>
      </c>
      <c r="AO19" s="40">
        <f t="shared" si="34"/>
        <v>0</v>
      </c>
      <c r="AP19" s="15" t="str">
        <f>IF(AE19="Y","DONE",VLOOKUP(A19,'Date Calcs from Ship Date'!A:AE,30,0))</f>
        <v>DONE</v>
      </c>
      <c r="AQ19" s="40">
        <f t="shared" ca="1" si="35"/>
        <v>0</v>
      </c>
      <c r="AR19" s="15">
        <f>_xlfn.IFNA(VLOOKUP(A19,'Date Calcs from Ship Date'!A:C,3,0),"")</f>
        <v>46156</v>
      </c>
      <c r="AS19" s="40">
        <f t="shared" si="36"/>
        <v>-31</v>
      </c>
      <c r="AT19" s="40"/>
      <c r="AU19" s="15" t="str">
        <f t="shared" si="30"/>
        <v xml:space="preserve">  </v>
      </c>
      <c r="AV19" s="9"/>
    </row>
    <row r="20" spans="1:48" ht="23.25" x14ac:dyDescent="0.35">
      <c r="A20" s="93" t="s">
        <v>335</v>
      </c>
      <c r="B20" s="8" t="str">
        <f t="shared" si="0"/>
        <v>Epic Systems</v>
      </c>
      <c r="C20" s="13"/>
      <c r="D20" s="46" t="str">
        <f t="shared" si="1"/>
        <v>Y</v>
      </c>
      <c r="E20" s="50">
        <f t="shared" si="2"/>
        <v>0</v>
      </c>
      <c r="F20" s="46" t="str">
        <f t="shared" si="3"/>
        <v>Y</v>
      </c>
      <c r="G20" s="50">
        <f t="shared" si="4"/>
        <v>4</v>
      </c>
      <c r="H20" s="46" t="str">
        <f t="shared" si="5"/>
        <v>Y</v>
      </c>
      <c r="I20" s="50">
        <f t="shared" si="6"/>
        <v>3</v>
      </c>
      <c r="J20" s="13"/>
      <c r="K20" s="46" t="str">
        <f t="shared" si="7"/>
        <v xml:space="preserve">  </v>
      </c>
      <c r="L20" s="50" t="str">
        <f t="shared" si="8"/>
        <v xml:space="preserve">  </v>
      </c>
      <c r="M20" s="46" t="str">
        <f t="shared" si="9"/>
        <v xml:space="preserve">  </v>
      </c>
      <c r="N20" s="50" t="str">
        <f t="shared" si="10"/>
        <v xml:space="preserve">  </v>
      </c>
      <c r="O20" s="46" t="str">
        <f t="shared" si="11"/>
        <v xml:space="preserve">  </v>
      </c>
      <c r="P20" s="50" t="str">
        <f t="shared" si="12"/>
        <v xml:space="preserve">  </v>
      </c>
      <c r="Q20" s="46" t="str">
        <f t="shared" si="13"/>
        <v xml:space="preserve">  </v>
      </c>
      <c r="R20" s="50" t="str">
        <f t="shared" si="14"/>
        <v xml:space="preserve">  </v>
      </c>
      <c r="S20" s="46" t="str">
        <f t="shared" si="15"/>
        <v xml:space="preserve">  </v>
      </c>
      <c r="T20" s="50" t="str">
        <f t="shared" si="16"/>
        <v xml:space="preserve">  </v>
      </c>
      <c r="U20" s="46" t="str">
        <f t="shared" si="17"/>
        <v xml:space="preserve">  </v>
      </c>
      <c r="V20" s="50" t="str">
        <f t="shared" si="18"/>
        <v xml:space="preserve">  </v>
      </c>
      <c r="W20" s="46" t="str">
        <f t="shared" si="19"/>
        <v xml:space="preserve">  </v>
      </c>
      <c r="X20" s="50" t="str">
        <f t="shared" si="20"/>
        <v xml:space="preserve">  </v>
      </c>
      <c r="Y20" s="46" t="str">
        <f t="shared" si="21"/>
        <v xml:space="preserve">  </v>
      </c>
      <c r="Z20" s="50" t="str">
        <f t="shared" si="22"/>
        <v xml:space="preserve">  </v>
      </c>
      <c r="AA20" s="46" t="str">
        <f t="shared" si="23"/>
        <v xml:space="preserve">  </v>
      </c>
      <c r="AB20" s="50" t="str">
        <f t="shared" si="24"/>
        <v xml:space="preserve">  </v>
      </c>
      <c r="AC20" s="46" t="str">
        <f t="shared" si="25"/>
        <v xml:space="preserve">  </v>
      </c>
      <c r="AD20" s="50" t="str">
        <f t="shared" si="26"/>
        <v xml:space="preserve">  </v>
      </c>
      <c r="AE20" s="46" t="str">
        <f t="shared" si="27"/>
        <v xml:space="preserve">  </v>
      </c>
      <c r="AF20" s="50" t="str">
        <f t="shared" si="28"/>
        <v xml:space="preserve">  </v>
      </c>
      <c r="AG20" s="15">
        <f t="shared" si="29"/>
        <v>46205</v>
      </c>
      <c r="AH20" s="15">
        <f>_xlfn.IFNA(IF(Y20="Y","DONE",VLOOKUP(A20,'Date Calcs from Ship Date'!A:AE,27,0)),"")</f>
        <v>46069</v>
      </c>
      <c r="AI20" s="40">
        <f t="shared" ca="1" si="31"/>
        <v>-4</v>
      </c>
      <c r="AJ20" s="15">
        <f>_xlfn.IFNA(IF(AC20="Y","DONE",VLOOKUP(A20,'Date Calcs from Ship Date'!A:AE,29,0)),"")</f>
        <v>46069</v>
      </c>
      <c r="AK20" s="40">
        <f t="shared" ca="1" si="32"/>
        <v>-4</v>
      </c>
      <c r="AL20" s="15">
        <f>_xlfn.IFNA(IF(AA20="Y","DONE",VLOOKUP(A20,'Date Calcs from Ship Date'!A:AI,28,0)),"")</f>
        <v>46076</v>
      </c>
      <c r="AM20" s="40">
        <f t="shared" ca="1" si="33"/>
        <v>3</v>
      </c>
      <c r="AN20" s="15">
        <f>IF(U20="Y","DONE",VLOOKUP(A20,'Date Calcs from Ship Date'!A:AE,25,0))</f>
        <v>46076</v>
      </c>
      <c r="AO20" s="40">
        <f t="shared" si="34"/>
        <v>7</v>
      </c>
      <c r="AP20" s="15">
        <f>IF(AE20="Y","DONE",VLOOKUP(A20,'Date Calcs from Ship Date'!A:AE,30,0))</f>
        <v>46083</v>
      </c>
      <c r="AQ20" s="40">
        <f t="shared" ca="1" si="35"/>
        <v>10</v>
      </c>
      <c r="AR20" s="15">
        <f>_xlfn.IFNA(VLOOKUP(A20,'Date Calcs from Ship Date'!A:C,3,0),"")</f>
        <v>46139</v>
      </c>
      <c r="AS20" s="40">
        <f t="shared" si="36"/>
        <v>66</v>
      </c>
      <c r="AT20" s="40"/>
      <c r="AU20" s="15" t="str">
        <f t="shared" si="30"/>
        <v xml:space="preserve">  </v>
      </c>
      <c r="AV20" s="9"/>
    </row>
    <row r="21" spans="1:48" ht="23.25" x14ac:dyDescent="0.35">
      <c r="A21" s="93" t="s">
        <v>336</v>
      </c>
      <c r="B21" s="8" t="str">
        <f t="shared" si="0"/>
        <v>Epic Systems</v>
      </c>
      <c r="C21" s="13"/>
      <c r="D21" s="46" t="str">
        <f t="shared" si="1"/>
        <v>Y</v>
      </c>
      <c r="E21" s="50">
        <f t="shared" si="2"/>
        <v>0</v>
      </c>
      <c r="F21" s="46" t="str">
        <f t="shared" si="3"/>
        <v>Y</v>
      </c>
      <c r="G21" s="50">
        <f t="shared" si="4"/>
        <v>4</v>
      </c>
      <c r="H21" s="46" t="str">
        <f t="shared" si="5"/>
        <v>Y</v>
      </c>
      <c r="I21" s="50">
        <f t="shared" si="6"/>
        <v>-36</v>
      </c>
      <c r="J21" s="13"/>
      <c r="K21" s="46" t="str">
        <f t="shared" si="7"/>
        <v>Y</v>
      </c>
      <c r="L21" s="50">
        <f t="shared" si="8"/>
        <v>-2</v>
      </c>
      <c r="M21" s="46" t="str">
        <f t="shared" si="9"/>
        <v xml:space="preserve">  </v>
      </c>
      <c r="N21" s="50" t="str">
        <f t="shared" si="10"/>
        <v xml:space="preserve">  </v>
      </c>
      <c r="O21" s="46" t="str">
        <f t="shared" si="11"/>
        <v>Y</v>
      </c>
      <c r="P21" s="50">
        <f t="shared" si="12"/>
        <v>-7</v>
      </c>
      <c r="Q21" s="46" t="str">
        <f t="shared" si="13"/>
        <v xml:space="preserve">  </v>
      </c>
      <c r="R21" s="50" t="str">
        <f t="shared" si="14"/>
        <v xml:space="preserve">  </v>
      </c>
      <c r="S21" s="46" t="str">
        <f t="shared" si="15"/>
        <v xml:space="preserve">  </v>
      </c>
      <c r="T21" s="50" t="str">
        <f t="shared" si="16"/>
        <v xml:space="preserve">  </v>
      </c>
      <c r="U21" s="46" t="str">
        <f t="shared" si="17"/>
        <v xml:space="preserve">  </v>
      </c>
      <c r="V21" s="50" t="str">
        <f t="shared" si="18"/>
        <v xml:space="preserve">  </v>
      </c>
      <c r="W21" s="46" t="str">
        <f t="shared" si="19"/>
        <v xml:space="preserve">  </v>
      </c>
      <c r="X21" s="50" t="str">
        <f t="shared" si="20"/>
        <v xml:space="preserve">  </v>
      </c>
      <c r="Y21" s="46" t="str">
        <f t="shared" si="21"/>
        <v xml:space="preserve">  </v>
      </c>
      <c r="Z21" s="50" t="str">
        <f t="shared" si="22"/>
        <v xml:space="preserve">  </v>
      </c>
      <c r="AA21" s="46" t="str">
        <f t="shared" si="23"/>
        <v xml:space="preserve">  </v>
      </c>
      <c r="AB21" s="50" t="str">
        <f t="shared" si="24"/>
        <v xml:space="preserve">  </v>
      </c>
      <c r="AC21" s="46" t="str">
        <f t="shared" si="25"/>
        <v xml:space="preserve">  </v>
      </c>
      <c r="AD21" s="50" t="str">
        <f t="shared" si="26"/>
        <v xml:space="preserve">  </v>
      </c>
      <c r="AE21" s="46" t="str">
        <f t="shared" si="27"/>
        <v xml:space="preserve">  </v>
      </c>
      <c r="AF21" s="50" t="str">
        <f t="shared" si="28"/>
        <v xml:space="preserve">  </v>
      </c>
      <c r="AG21" s="15">
        <f t="shared" si="29"/>
        <v>46198</v>
      </c>
      <c r="AH21" s="15">
        <f>_xlfn.IFNA(IF(Y21="Y","DONE",VLOOKUP(A21,'Date Calcs from Ship Date'!A:AE,27,0)),"")</f>
        <v>46069</v>
      </c>
      <c r="AI21" s="40">
        <f t="shared" ca="1" si="31"/>
        <v>-4</v>
      </c>
      <c r="AJ21" s="15">
        <f>_xlfn.IFNA(IF(AC21="Y","DONE",VLOOKUP(A21,'Date Calcs from Ship Date'!A:AE,29,0)),"")</f>
        <v>46069</v>
      </c>
      <c r="AK21" s="40">
        <f t="shared" ca="1" si="32"/>
        <v>-4</v>
      </c>
      <c r="AL21" s="15">
        <f>_xlfn.IFNA(IF(AA21="Y","DONE",VLOOKUP(A21,'Date Calcs from Ship Date'!A:AI,28,0)),"")</f>
        <v>46076</v>
      </c>
      <c r="AM21" s="40">
        <f t="shared" ca="1" si="33"/>
        <v>3</v>
      </c>
      <c r="AN21" s="15">
        <f>IF(U21="Y","DONE",VLOOKUP(A21,'Date Calcs from Ship Date'!A:AE,25,0))</f>
        <v>46076</v>
      </c>
      <c r="AO21" s="40">
        <f t="shared" si="34"/>
        <v>7</v>
      </c>
      <c r="AP21" s="15">
        <f>IF(AE21="Y","DONE",VLOOKUP(A21,'Date Calcs from Ship Date'!A:AE,30,0))</f>
        <v>46083</v>
      </c>
      <c r="AQ21" s="40">
        <f t="shared" ca="1" si="35"/>
        <v>10</v>
      </c>
      <c r="AR21" s="15">
        <f>_xlfn.IFNA(VLOOKUP(A21,'Date Calcs from Ship Date'!A:C,3,0),"")</f>
        <v>46139</v>
      </c>
      <c r="AS21" s="40">
        <f t="shared" si="36"/>
        <v>59</v>
      </c>
      <c r="AT21" s="40"/>
      <c r="AU21" s="15" t="str">
        <f t="shared" si="30"/>
        <v xml:space="preserve">  </v>
      </c>
      <c r="AV21" s="9"/>
    </row>
    <row r="22" spans="1:48" ht="23.25" x14ac:dyDescent="0.35">
      <c r="A22" s="93" t="s">
        <v>337</v>
      </c>
      <c r="B22" s="8" t="str">
        <f t="shared" si="0"/>
        <v>Epic Systems</v>
      </c>
      <c r="C22" s="13"/>
      <c r="D22" s="46" t="str">
        <f t="shared" si="1"/>
        <v>Y</v>
      </c>
      <c r="E22" s="50">
        <f t="shared" si="2"/>
        <v>0</v>
      </c>
      <c r="F22" s="46" t="str">
        <f t="shared" si="3"/>
        <v>Y</v>
      </c>
      <c r="G22" s="50">
        <f t="shared" si="4"/>
        <v>4</v>
      </c>
      <c r="H22" s="46" t="str">
        <f t="shared" si="5"/>
        <v>Y</v>
      </c>
      <c r="I22" s="50">
        <f t="shared" si="6"/>
        <v>59</v>
      </c>
      <c r="J22" s="13"/>
      <c r="K22" s="46" t="str">
        <f t="shared" si="7"/>
        <v>Y</v>
      </c>
      <c r="L22" s="50">
        <f t="shared" si="8"/>
        <v>-2</v>
      </c>
      <c r="M22" s="46" t="str">
        <f t="shared" si="9"/>
        <v xml:space="preserve">  </v>
      </c>
      <c r="N22" s="50" t="str">
        <f t="shared" si="10"/>
        <v xml:space="preserve">  </v>
      </c>
      <c r="O22" s="46" t="str">
        <f t="shared" si="11"/>
        <v>Y</v>
      </c>
      <c r="P22" s="50">
        <f t="shared" si="12"/>
        <v>-7</v>
      </c>
      <c r="Q22" s="46" t="str">
        <f t="shared" si="13"/>
        <v xml:space="preserve">  </v>
      </c>
      <c r="R22" s="50" t="str">
        <f t="shared" si="14"/>
        <v xml:space="preserve">  </v>
      </c>
      <c r="S22" s="46" t="str">
        <f t="shared" si="15"/>
        <v xml:space="preserve">  </v>
      </c>
      <c r="T22" s="50" t="str">
        <f t="shared" si="16"/>
        <v xml:space="preserve">  </v>
      </c>
      <c r="U22" s="46" t="str">
        <f t="shared" si="17"/>
        <v xml:space="preserve">  </v>
      </c>
      <c r="V22" s="50" t="str">
        <f t="shared" si="18"/>
        <v xml:space="preserve">  </v>
      </c>
      <c r="W22" s="46" t="str">
        <f t="shared" si="19"/>
        <v xml:space="preserve">  </v>
      </c>
      <c r="X22" s="50" t="str">
        <f t="shared" si="20"/>
        <v xml:space="preserve">  </v>
      </c>
      <c r="Y22" s="46" t="str">
        <f t="shared" si="21"/>
        <v xml:space="preserve">  </v>
      </c>
      <c r="Z22" s="50" t="str">
        <f t="shared" si="22"/>
        <v xml:space="preserve">  </v>
      </c>
      <c r="AA22" s="46" t="str">
        <f t="shared" si="23"/>
        <v xml:space="preserve">  </v>
      </c>
      <c r="AB22" s="50" t="str">
        <f t="shared" si="24"/>
        <v xml:space="preserve">  </v>
      </c>
      <c r="AC22" s="46" t="str">
        <f t="shared" si="25"/>
        <v xml:space="preserve">  </v>
      </c>
      <c r="AD22" s="50" t="str">
        <f t="shared" si="26"/>
        <v xml:space="preserve">  </v>
      </c>
      <c r="AE22" s="46" t="str">
        <f t="shared" si="27"/>
        <v xml:space="preserve">  </v>
      </c>
      <c r="AF22" s="50" t="str">
        <f t="shared" si="28"/>
        <v xml:space="preserve">  </v>
      </c>
      <c r="AG22" s="15">
        <f t="shared" si="29"/>
        <v>46198</v>
      </c>
      <c r="AH22" s="15">
        <f>_xlfn.IFNA(IF(Y22="Y","DONE",VLOOKUP(A22,'Date Calcs from Ship Date'!A:AE,27,0)),"")</f>
        <v>46069</v>
      </c>
      <c r="AI22" s="40">
        <f t="shared" ca="1" si="31"/>
        <v>-4</v>
      </c>
      <c r="AJ22" s="15">
        <f>_xlfn.IFNA(IF(AC22="Y","DONE",VLOOKUP(A22,'Date Calcs from Ship Date'!A:AE,29,0)),"")</f>
        <v>46069</v>
      </c>
      <c r="AK22" s="40">
        <f t="shared" ca="1" si="32"/>
        <v>-4</v>
      </c>
      <c r="AL22" s="15">
        <f>_xlfn.IFNA(IF(AA22="Y","DONE",VLOOKUP(A22,'Date Calcs from Ship Date'!A:AI,28,0)),"")</f>
        <v>46076</v>
      </c>
      <c r="AM22" s="40">
        <f t="shared" ca="1" si="33"/>
        <v>3</v>
      </c>
      <c r="AN22" s="15">
        <f>IF(U22="Y","DONE",VLOOKUP(A22,'Date Calcs from Ship Date'!A:AE,25,0))</f>
        <v>46076</v>
      </c>
      <c r="AO22" s="40">
        <f t="shared" si="34"/>
        <v>7</v>
      </c>
      <c r="AP22" s="15">
        <f>IF(AE22="Y","DONE",VLOOKUP(A22,'Date Calcs from Ship Date'!A:AE,30,0))</f>
        <v>46083</v>
      </c>
      <c r="AQ22" s="40">
        <f t="shared" ca="1" si="35"/>
        <v>10</v>
      </c>
      <c r="AR22" s="15">
        <f>_xlfn.IFNA(VLOOKUP(A22,'Date Calcs from Ship Date'!A:C,3,0),"")</f>
        <v>46139</v>
      </c>
      <c r="AS22" s="40">
        <f t="shared" si="36"/>
        <v>59</v>
      </c>
      <c r="AT22" s="40"/>
      <c r="AU22" s="15" t="str">
        <f t="shared" si="30"/>
        <v xml:space="preserve">  </v>
      </c>
      <c r="AV22" s="9"/>
    </row>
    <row r="23" spans="1:48" ht="23.25" x14ac:dyDescent="0.35">
      <c r="A23" s="93" t="s">
        <v>338</v>
      </c>
      <c r="B23" s="8" t="str">
        <f t="shared" si="0"/>
        <v>Epic Systems</v>
      </c>
      <c r="C23" s="13"/>
      <c r="D23" s="46" t="str">
        <f t="shared" si="1"/>
        <v>Y</v>
      </c>
      <c r="E23" s="50">
        <f t="shared" si="2"/>
        <v>0</v>
      </c>
      <c r="F23" s="46" t="str">
        <f t="shared" si="3"/>
        <v>Y</v>
      </c>
      <c r="G23" s="50">
        <f t="shared" si="4"/>
        <v>4</v>
      </c>
      <c r="H23" s="46" t="str">
        <f t="shared" si="5"/>
        <v>Y</v>
      </c>
      <c r="I23" s="50">
        <f t="shared" si="6"/>
        <v>-7</v>
      </c>
      <c r="J23" s="13"/>
      <c r="K23" s="46" t="str">
        <f t="shared" si="7"/>
        <v>Y</v>
      </c>
      <c r="L23" s="50">
        <f t="shared" si="8"/>
        <v>-2</v>
      </c>
      <c r="M23" s="46" t="str">
        <f t="shared" si="9"/>
        <v xml:space="preserve">  </v>
      </c>
      <c r="N23" s="50" t="str">
        <f t="shared" si="10"/>
        <v xml:space="preserve">  </v>
      </c>
      <c r="O23" s="46" t="str">
        <f t="shared" si="11"/>
        <v>Y</v>
      </c>
      <c r="P23" s="50">
        <f t="shared" si="12"/>
        <v>-7</v>
      </c>
      <c r="Q23" s="46" t="str">
        <f t="shared" si="13"/>
        <v xml:space="preserve">  </v>
      </c>
      <c r="R23" s="50" t="str">
        <f t="shared" si="14"/>
        <v xml:space="preserve">  </v>
      </c>
      <c r="S23" s="46" t="str">
        <f t="shared" si="15"/>
        <v xml:space="preserve">  </v>
      </c>
      <c r="T23" s="50" t="str">
        <f t="shared" si="16"/>
        <v xml:space="preserve">  </v>
      </c>
      <c r="U23" s="46" t="str">
        <f t="shared" si="17"/>
        <v xml:space="preserve">  </v>
      </c>
      <c r="V23" s="50" t="str">
        <f t="shared" si="18"/>
        <v xml:space="preserve">  </v>
      </c>
      <c r="W23" s="46" t="str">
        <f t="shared" si="19"/>
        <v xml:space="preserve">  </v>
      </c>
      <c r="X23" s="50" t="str">
        <f t="shared" si="20"/>
        <v xml:space="preserve">  </v>
      </c>
      <c r="Y23" s="46" t="str">
        <f t="shared" si="21"/>
        <v xml:space="preserve">  </v>
      </c>
      <c r="Z23" s="50" t="str">
        <f t="shared" si="22"/>
        <v xml:space="preserve">  </v>
      </c>
      <c r="AA23" s="46" t="str">
        <f t="shared" si="23"/>
        <v xml:space="preserve">  </v>
      </c>
      <c r="AB23" s="50" t="str">
        <f t="shared" si="24"/>
        <v xml:space="preserve">  </v>
      </c>
      <c r="AC23" s="46" t="str">
        <f t="shared" si="25"/>
        <v xml:space="preserve">  </v>
      </c>
      <c r="AD23" s="50" t="str">
        <f t="shared" si="26"/>
        <v xml:space="preserve">  </v>
      </c>
      <c r="AE23" s="46" t="str">
        <f t="shared" si="27"/>
        <v xml:space="preserve">  </v>
      </c>
      <c r="AF23" s="50" t="str">
        <f t="shared" si="28"/>
        <v xml:space="preserve">  </v>
      </c>
      <c r="AG23" s="15">
        <f t="shared" si="29"/>
        <v>46198</v>
      </c>
      <c r="AH23" s="15">
        <f>_xlfn.IFNA(IF(Y23="Y","DONE",VLOOKUP(A23,'Date Calcs from Ship Date'!A:AE,27,0)),"")</f>
        <v>46104</v>
      </c>
      <c r="AI23" s="40">
        <f t="shared" ca="1" si="31"/>
        <v>31</v>
      </c>
      <c r="AJ23" s="15">
        <f>_xlfn.IFNA(IF(AC23="Y","DONE",VLOOKUP(A23,'Date Calcs from Ship Date'!A:AE,29,0)),"")</f>
        <v>46104</v>
      </c>
      <c r="AK23" s="40">
        <f t="shared" ca="1" si="32"/>
        <v>31</v>
      </c>
      <c r="AL23" s="15">
        <f>_xlfn.IFNA(IF(AA23="Y","DONE",VLOOKUP(A23,'Date Calcs from Ship Date'!A:AI,28,0)),"")</f>
        <v>46111</v>
      </c>
      <c r="AM23" s="40">
        <f t="shared" ca="1" si="33"/>
        <v>38</v>
      </c>
      <c r="AN23" s="15">
        <f>IF(U23="Y","DONE",VLOOKUP(A23,'Date Calcs from Ship Date'!A:AE,25,0))</f>
        <v>46111</v>
      </c>
      <c r="AO23" s="40">
        <f t="shared" si="34"/>
        <v>7</v>
      </c>
      <c r="AP23" s="15">
        <f>IF(AE23="Y","DONE",VLOOKUP(A23,'Date Calcs from Ship Date'!A:AE,30,0))</f>
        <v>46118</v>
      </c>
      <c r="AQ23" s="40">
        <f t="shared" ca="1" si="35"/>
        <v>45</v>
      </c>
      <c r="AR23" s="15">
        <f>_xlfn.IFNA(VLOOKUP(A23,'Date Calcs from Ship Date'!A:C,3,0),"")</f>
        <v>46174</v>
      </c>
      <c r="AS23" s="40">
        <f t="shared" si="36"/>
        <v>24</v>
      </c>
      <c r="AT23" s="40"/>
      <c r="AU23" s="15" t="str">
        <f t="shared" si="30"/>
        <v xml:space="preserve">  </v>
      </c>
      <c r="AV23" s="9"/>
    </row>
    <row r="24" spans="1:48" ht="23.25" x14ac:dyDescent="0.35">
      <c r="A24" s="93" t="s">
        <v>339</v>
      </c>
      <c r="B24" s="8" t="str">
        <f t="shared" si="0"/>
        <v>Epic Systems</v>
      </c>
      <c r="C24" s="13"/>
      <c r="D24" s="46" t="str">
        <f t="shared" si="1"/>
        <v>Y</v>
      </c>
      <c r="E24" s="50">
        <f t="shared" si="2"/>
        <v>0</v>
      </c>
      <c r="F24" s="46" t="str">
        <f t="shared" si="3"/>
        <v>Y</v>
      </c>
      <c r="G24" s="50">
        <f t="shared" si="4"/>
        <v>4</v>
      </c>
      <c r="H24" s="46" t="str">
        <f t="shared" si="5"/>
        <v>Y</v>
      </c>
      <c r="I24" s="50">
        <f t="shared" si="6"/>
        <v>-7</v>
      </c>
      <c r="J24" s="13"/>
      <c r="K24" s="46" t="str">
        <f t="shared" si="7"/>
        <v xml:space="preserve">  </v>
      </c>
      <c r="L24" s="50" t="str">
        <f t="shared" si="8"/>
        <v xml:space="preserve">  </v>
      </c>
      <c r="M24" s="46" t="str">
        <f t="shared" si="9"/>
        <v xml:space="preserve">  </v>
      </c>
      <c r="N24" s="50" t="str">
        <f t="shared" si="10"/>
        <v xml:space="preserve">  </v>
      </c>
      <c r="O24" s="46" t="str">
        <f t="shared" si="11"/>
        <v xml:space="preserve">  </v>
      </c>
      <c r="P24" s="50" t="str">
        <f t="shared" si="12"/>
        <v xml:space="preserve">  </v>
      </c>
      <c r="Q24" s="46" t="str">
        <f t="shared" si="13"/>
        <v xml:space="preserve">  </v>
      </c>
      <c r="R24" s="50" t="str">
        <f t="shared" si="14"/>
        <v xml:space="preserve">  </v>
      </c>
      <c r="S24" s="46" t="str">
        <f t="shared" si="15"/>
        <v xml:space="preserve">  </v>
      </c>
      <c r="T24" s="50" t="str">
        <f t="shared" si="16"/>
        <v xml:space="preserve">  </v>
      </c>
      <c r="U24" s="46" t="str">
        <f t="shared" si="17"/>
        <v xml:space="preserve">  </v>
      </c>
      <c r="V24" s="50" t="str">
        <f t="shared" si="18"/>
        <v xml:space="preserve">  </v>
      </c>
      <c r="W24" s="46" t="str">
        <f t="shared" si="19"/>
        <v xml:space="preserve">  </v>
      </c>
      <c r="X24" s="50" t="str">
        <f t="shared" si="20"/>
        <v xml:space="preserve">  </v>
      </c>
      <c r="Y24" s="46" t="str">
        <f t="shared" si="21"/>
        <v xml:space="preserve">  </v>
      </c>
      <c r="Z24" s="50" t="str">
        <f t="shared" si="22"/>
        <v xml:space="preserve">  </v>
      </c>
      <c r="AA24" s="46" t="str">
        <f t="shared" si="23"/>
        <v xml:space="preserve">  </v>
      </c>
      <c r="AB24" s="50" t="str">
        <f t="shared" si="24"/>
        <v xml:space="preserve">  </v>
      </c>
      <c r="AC24" s="46" t="str">
        <f t="shared" si="25"/>
        <v xml:space="preserve">  </v>
      </c>
      <c r="AD24" s="50" t="str">
        <f t="shared" si="26"/>
        <v xml:space="preserve">  </v>
      </c>
      <c r="AE24" s="46" t="str">
        <f t="shared" si="27"/>
        <v xml:space="preserve">  </v>
      </c>
      <c r="AF24" s="50" t="str">
        <f t="shared" si="28"/>
        <v xml:space="preserve">  </v>
      </c>
      <c r="AG24" s="15">
        <f t="shared" si="29"/>
        <v>46205</v>
      </c>
      <c r="AH24" s="15">
        <f>_xlfn.IFNA(IF(Y24="Y","DONE",VLOOKUP(A24,'Date Calcs from Ship Date'!A:AE,27,0)),"")</f>
        <v>46105</v>
      </c>
      <c r="AI24" s="40">
        <f t="shared" ca="1" si="31"/>
        <v>32</v>
      </c>
      <c r="AJ24" s="15">
        <f>_xlfn.IFNA(IF(AC24="Y","DONE",VLOOKUP(A24,'Date Calcs from Ship Date'!A:AE,29,0)),"")</f>
        <v>46105</v>
      </c>
      <c r="AK24" s="40">
        <f t="shared" ca="1" si="32"/>
        <v>32</v>
      </c>
      <c r="AL24" s="15">
        <f>_xlfn.IFNA(IF(AA24="Y","DONE",VLOOKUP(A24,'Date Calcs from Ship Date'!A:AI,28,0)),"")</f>
        <v>46112</v>
      </c>
      <c r="AM24" s="40">
        <f t="shared" ca="1" si="33"/>
        <v>39</v>
      </c>
      <c r="AN24" s="15">
        <f>IF(U24="Y","DONE",VLOOKUP(A24,'Date Calcs from Ship Date'!A:AE,25,0))</f>
        <v>46112</v>
      </c>
      <c r="AO24" s="40">
        <f t="shared" si="34"/>
        <v>7</v>
      </c>
      <c r="AP24" s="15">
        <f>IF(AE24="Y","DONE",VLOOKUP(A24,'Date Calcs from Ship Date'!A:AE,30,0))</f>
        <v>46119</v>
      </c>
      <c r="AQ24" s="40">
        <f t="shared" ca="1" si="35"/>
        <v>46</v>
      </c>
      <c r="AR24" s="15">
        <f>_xlfn.IFNA(VLOOKUP(A24,'Date Calcs from Ship Date'!A:C,3,0),"")</f>
        <v>46175</v>
      </c>
      <c r="AS24" s="40">
        <f t="shared" si="36"/>
        <v>30</v>
      </c>
      <c r="AT24" s="40"/>
      <c r="AU24" s="15" t="str">
        <f t="shared" si="30"/>
        <v xml:space="preserve">  </v>
      </c>
      <c r="AV24" s="9"/>
    </row>
    <row r="25" spans="1:48" ht="23.25" x14ac:dyDescent="0.35">
      <c r="A25" s="93" t="s">
        <v>340</v>
      </c>
      <c r="B25" s="8" t="str">
        <f t="shared" si="0"/>
        <v>Epic Systems</v>
      </c>
      <c r="C25" s="13"/>
      <c r="D25" s="46" t="str">
        <f t="shared" si="1"/>
        <v>Y</v>
      </c>
      <c r="E25" s="50">
        <f t="shared" si="2"/>
        <v>-96</v>
      </c>
      <c r="F25" s="46" t="str">
        <f t="shared" si="3"/>
        <v>Y</v>
      </c>
      <c r="G25" s="50">
        <f t="shared" si="4"/>
        <v>-4</v>
      </c>
      <c r="H25" s="46" t="str">
        <f t="shared" si="5"/>
        <v>Y</v>
      </c>
      <c r="I25" s="50">
        <f t="shared" si="6"/>
        <v>-3</v>
      </c>
      <c r="J25" s="13"/>
      <c r="K25" s="46" t="str">
        <f t="shared" si="7"/>
        <v xml:space="preserve">  </v>
      </c>
      <c r="L25" s="50" t="str">
        <f t="shared" si="8"/>
        <v xml:space="preserve">  </v>
      </c>
      <c r="M25" s="46" t="str">
        <f t="shared" si="9"/>
        <v xml:space="preserve">  </v>
      </c>
      <c r="N25" s="50" t="str">
        <f t="shared" si="10"/>
        <v xml:space="preserve">  </v>
      </c>
      <c r="O25" s="46" t="str">
        <f t="shared" si="11"/>
        <v xml:space="preserve">  </v>
      </c>
      <c r="P25" s="50" t="str">
        <f t="shared" si="12"/>
        <v xml:space="preserve">  </v>
      </c>
      <c r="Q25" s="46" t="str">
        <f t="shared" si="13"/>
        <v xml:space="preserve">  </v>
      </c>
      <c r="R25" s="50" t="str">
        <f t="shared" si="14"/>
        <v xml:space="preserve">  </v>
      </c>
      <c r="S25" s="46" t="str">
        <f t="shared" si="15"/>
        <v xml:space="preserve">  </v>
      </c>
      <c r="T25" s="50" t="str">
        <f t="shared" si="16"/>
        <v xml:space="preserve">  </v>
      </c>
      <c r="U25" s="46" t="str">
        <f t="shared" si="17"/>
        <v xml:space="preserve">  </v>
      </c>
      <c r="V25" s="50" t="str">
        <f t="shared" si="18"/>
        <v xml:space="preserve">  </v>
      </c>
      <c r="W25" s="46" t="str">
        <f t="shared" si="19"/>
        <v xml:space="preserve">  </v>
      </c>
      <c r="X25" s="50" t="str">
        <f t="shared" si="20"/>
        <v xml:space="preserve">  </v>
      </c>
      <c r="Y25" s="46" t="str">
        <f t="shared" si="21"/>
        <v xml:space="preserve">  </v>
      </c>
      <c r="Z25" s="50" t="str">
        <f t="shared" si="22"/>
        <v xml:space="preserve">  </v>
      </c>
      <c r="AA25" s="46" t="str">
        <f t="shared" si="23"/>
        <v xml:space="preserve">  </v>
      </c>
      <c r="AB25" s="50" t="str">
        <f t="shared" si="24"/>
        <v xml:space="preserve">  </v>
      </c>
      <c r="AC25" s="46" t="str">
        <f t="shared" si="25"/>
        <v xml:space="preserve">  </v>
      </c>
      <c r="AD25" s="50" t="str">
        <f t="shared" si="26"/>
        <v xml:space="preserve">  </v>
      </c>
      <c r="AE25" s="46" t="str">
        <f t="shared" si="27"/>
        <v xml:space="preserve">  </v>
      </c>
      <c r="AF25" s="50" t="str">
        <f t="shared" si="28"/>
        <v xml:space="preserve">  </v>
      </c>
      <c r="AG25" s="15">
        <f t="shared" si="29"/>
        <v>46188</v>
      </c>
      <c r="AH25" s="15">
        <f>_xlfn.IFNA(IF(Y25="Y","DONE",VLOOKUP(A25,'Date Calcs from Ship Date'!A:AE,27,0)),"")</f>
        <v>46125</v>
      </c>
      <c r="AI25" s="40">
        <f t="shared" ca="1" si="31"/>
        <v>52</v>
      </c>
      <c r="AJ25" s="15">
        <f>_xlfn.IFNA(IF(AC25="Y","DONE",VLOOKUP(A25,'Date Calcs from Ship Date'!A:AE,29,0)),"")</f>
        <v>46125</v>
      </c>
      <c r="AK25" s="40">
        <f t="shared" ca="1" si="32"/>
        <v>52</v>
      </c>
      <c r="AL25" s="15">
        <f>_xlfn.IFNA(IF(AA25="Y","DONE",VLOOKUP(A25,'Date Calcs from Ship Date'!A:AI,28,0)),"")</f>
        <v>46132</v>
      </c>
      <c r="AM25" s="40">
        <f t="shared" ca="1" si="33"/>
        <v>59</v>
      </c>
      <c r="AN25" s="15">
        <f>IF(U25="Y","DONE",VLOOKUP(A25,'Date Calcs from Ship Date'!A:AE,25,0))</f>
        <v>46132</v>
      </c>
      <c r="AO25" s="40">
        <f t="shared" si="34"/>
        <v>7</v>
      </c>
      <c r="AP25" s="15">
        <f>IF(AE25="Y","DONE",VLOOKUP(A25,'Date Calcs from Ship Date'!A:AE,30,0))</f>
        <v>46139</v>
      </c>
      <c r="AQ25" s="40">
        <f t="shared" ca="1" si="35"/>
        <v>66</v>
      </c>
      <c r="AR25" s="15">
        <f>_xlfn.IFNA(VLOOKUP(A25,'Date Calcs from Ship Date'!A:C,3,0),"")</f>
        <v>46195</v>
      </c>
      <c r="AS25" s="40">
        <f t="shared" si="36"/>
        <v>-7</v>
      </c>
      <c r="AT25" s="40"/>
      <c r="AU25" s="15" t="str">
        <f t="shared" si="30"/>
        <v xml:space="preserve">  </v>
      </c>
      <c r="AV25" s="9"/>
    </row>
    <row r="26" spans="1:48" ht="23.25" x14ac:dyDescent="0.35">
      <c r="A26" s="93" t="s">
        <v>341</v>
      </c>
      <c r="B26" s="8" t="str">
        <f t="shared" si="0"/>
        <v>Epic Systems</v>
      </c>
      <c r="C26" s="13"/>
      <c r="D26" s="46" t="str">
        <f t="shared" si="1"/>
        <v>Y</v>
      </c>
      <c r="E26" s="50">
        <f t="shared" si="2"/>
        <v>-1</v>
      </c>
      <c r="F26" s="46" t="str">
        <f t="shared" si="3"/>
        <v>Y</v>
      </c>
      <c r="G26" s="50">
        <f t="shared" si="4"/>
        <v>91</v>
      </c>
      <c r="H26" s="46" t="str">
        <f t="shared" si="5"/>
        <v>Y</v>
      </c>
      <c r="I26" s="50">
        <f t="shared" si="6"/>
        <v>-3</v>
      </c>
      <c r="J26" s="13"/>
      <c r="K26" s="46" t="str">
        <f t="shared" si="7"/>
        <v xml:space="preserve">  </v>
      </c>
      <c r="L26" s="50" t="str">
        <f t="shared" si="8"/>
        <v xml:space="preserve">  </v>
      </c>
      <c r="M26" s="46" t="str">
        <f t="shared" si="9"/>
        <v xml:space="preserve">  </v>
      </c>
      <c r="N26" s="50" t="str">
        <f t="shared" si="10"/>
        <v xml:space="preserve">  </v>
      </c>
      <c r="O26" s="46" t="str">
        <f t="shared" si="11"/>
        <v xml:space="preserve">  </v>
      </c>
      <c r="P26" s="50" t="str">
        <f t="shared" si="12"/>
        <v xml:space="preserve">  </v>
      </c>
      <c r="Q26" s="46" t="str">
        <f t="shared" si="13"/>
        <v xml:space="preserve">  </v>
      </c>
      <c r="R26" s="50" t="str">
        <f t="shared" si="14"/>
        <v xml:space="preserve">  </v>
      </c>
      <c r="S26" s="46" t="str">
        <f t="shared" si="15"/>
        <v xml:space="preserve">  </v>
      </c>
      <c r="T26" s="50" t="str">
        <f t="shared" si="16"/>
        <v xml:space="preserve">  </v>
      </c>
      <c r="U26" s="46" t="str">
        <f t="shared" si="17"/>
        <v xml:space="preserve">  </v>
      </c>
      <c r="V26" s="50" t="str">
        <f t="shared" si="18"/>
        <v xml:space="preserve">  </v>
      </c>
      <c r="W26" s="46" t="str">
        <f t="shared" si="19"/>
        <v xml:space="preserve">  </v>
      </c>
      <c r="X26" s="50" t="str">
        <f t="shared" si="20"/>
        <v xml:space="preserve">  </v>
      </c>
      <c r="Y26" s="46" t="str">
        <f t="shared" si="21"/>
        <v xml:space="preserve">  </v>
      </c>
      <c r="Z26" s="50" t="str">
        <f t="shared" si="22"/>
        <v xml:space="preserve">  </v>
      </c>
      <c r="AA26" s="46" t="str">
        <f t="shared" si="23"/>
        <v xml:space="preserve">  </v>
      </c>
      <c r="AB26" s="50" t="str">
        <f t="shared" si="24"/>
        <v xml:space="preserve">  </v>
      </c>
      <c r="AC26" s="46" t="str">
        <f t="shared" si="25"/>
        <v xml:space="preserve">  </v>
      </c>
      <c r="AD26" s="50" t="str">
        <f t="shared" si="26"/>
        <v xml:space="preserve">  </v>
      </c>
      <c r="AE26" s="46" t="str">
        <f t="shared" si="27"/>
        <v xml:space="preserve">  </v>
      </c>
      <c r="AF26" s="50" t="str">
        <f t="shared" si="28"/>
        <v xml:space="preserve">  </v>
      </c>
      <c r="AG26" s="15">
        <f t="shared" si="29"/>
        <v>46188</v>
      </c>
      <c r="AH26" s="15">
        <f>_xlfn.IFNA(IF(Y26="Y","DONE",VLOOKUP(A26,'Date Calcs from Ship Date'!A:AE,27,0)),"")</f>
        <v>46125</v>
      </c>
      <c r="AI26" s="40">
        <f t="shared" ca="1" si="31"/>
        <v>52</v>
      </c>
      <c r="AJ26" s="15">
        <f>_xlfn.IFNA(IF(AC26="Y","DONE",VLOOKUP(A26,'Date Calcs from Ship Date'!A:AE,29,0)),"")</f>
        <v>46125</v>
      </c>
      <c r="AK26" s="40">
        <f t="shared" ca="1" si="32"/>
        <v>52</v>
      </c>
      <c r="AL26" s="15">
        <f>_xlfn.IFNA(IF(AA26="Y","DONE",VLOOKUP(A26,'Date Calcs from Ship Date'!A:AI,28,0)),"")</f>
        <v>46132</v>
      </c>
      <c r="AM26" s="40">
        <f t="shared" ca="1" si="33"/>
        <v>59</v>
      </c>
      <c r="AN26" s="15">
        <f>IF(U26="Y","DONE",VLOOKUP(A26,'Date Calcs from Ship Date'!A:AE,25,0))</f>
        <v>46132</v>
      </c>
      <c r="AO26" s="40">
        <f t="shared" si="34"/>
        <v>7</v>
      </c>
      <c r="AP26" s="15">
        <f>IF(AE26="Y","DONE",VLOOKUP(A26,'Date Calcs from Ship Date'!A:AE,30,0))</f>
        <v>46139</v>
      </c>
      <c r="AQ26" s="40">
        <f t="shared" ca="1" si="35"/>
        <v>66</v>
      </c>
      <c r="AR26" s="15">
        <f>_xlfn.IFNA(VLOOKUP(A26,'Date Calcs from Ship Date'!A:C,3,0),"")</f>
        <v>46195</v>
      </c>
      <c r="AS26" s="40">
        <f t="shared" si="36"/>
        <v>-7</v>
      </c>
      <c r="AT26" s="40"/>
      <c r="AU26" s="15" t="str">
        <f t="shared" si="30"/>
        <v xml:space="preserve">  </v>
      </c>
      <c r="AV26" s="9"/>
    </row>
    <row r="27" spans="1:48" ht="23.25" x14ac:dyDescent="0.35">
      <c r="A27" s="93" t="s">
        <v>342</v>
      </c>
      <c r="B27" s="8" t="str">
        <f t="shared" si="0"/>
        <v>Epic Systems</v>
      </c>
      <c r="C27" s="13"/>
      <c r="D27" s="46" t="str">
        <f t="shared" si="1"/>
        <v>Y</v>
      </c>
      <c r="E27" s="50">
        <f t="shared" si="2"/>
        <v>-1</v>
      </c>
      <c r="F27" s="46" t="str">
        <f t="shared" si="3"/>
        <v>Y</v>
      </c>
      <c r="G27" s="50">
        <f t="shared" si="4"/>
        <v>-2</v>
      </c>
      <c r="H27" s="46" t="str">
        <f t="shared" si="5"/>
        <v>Y</v>
      </c>
      <c r="I27" s="50">
        <f t="shared" si="6"/>
        <v>-18</v>
      </c>
      <c r="J27" s="13"/>
      <c r="K27" s="46" t="str">
        <f t="shared" si="7"/>
        <v>Y</v>
      </c>
      <c r="L27" s="50">
        <f t="shared" si="8"/>
        <v>-2</v>
      </c>
      <c r="M27" s="46" t="str">
        <f t="shared" si="9"/>
        <v xml:space="preserve">  </v>
      </c>
      <c r="N27" s="50" t="str">
        <f t="shared" si="10"/>
        <v xml:space="preserve">  </v>
      </c>
      <c r="O27" s="46" t="str">
        <f t="shared" si="11"/>
        <v>Y</v>
      </c>
      <c r="P27" s="50">
        <f t="shared" si="12"/>
        <v>-7</v>
      </c>
      <c r="Q27" s="46" t="str">
        <f t="shared" si="13"/>
        <v>Y</v>
      </c>
      <c r="R27" s="50">
        <f t="shared" si="14"/>
        <v>-163</v>
      </c>
      <c r="S27" s="46" t="str">
        <f t="shared" si="15"/>
        <v>Y</v>
      </c>
      <c r="T27" s="50">
        <f t="shared" si="16"/>
        <v>-44</v>
      </c>
      <c r="U27" s="46" t="str">
        <f t="shared" si="17"/>
        <v>Y</v>
      </c>
      <c r="V27" s="50">
        <f t="shared" si="18"/>
        <v>-24</v>
      </c>
      <c r="W27" s="46" t="str">
        <f t="shared" si="19"/>
        <v>Y</v>
      </c>
      <c r="X27" s="50">
        <f t="shared" si="20"/>
        <v>-50</v>
      </c>
      <c r="Y27" s="46" t="str">
        <f t="shared" si="21"/>
        <v xml:space="preserve">  </v>
      </c>
      <c r="Z27" s="50" t="str">
        <f t="shared" si="22"/>
        <v xml:space="preserve">  </v>
      </c>
      <c r="AA27" s="46" t="str">
        <f t="shared" si="23"/>
        <v xml:space="preserve">  </v>
      </c>
      <c r="AB27" s="50" t="str">
        <f t="shared" si="24"/>
        <v xml:space="preserve">  </v>
      </c>
      <c r="AC27" s="46" t="str">
        <f t="shared" si="25"/>
        <v xml:space="preserve">  </v>
      </c>
      <c r="AD27" s="50" t="str">
        <f t="shared" si="26"/>
        <v xml:space="preserve">  </v>
      </c>
      <c r="AE27" s="46" t="str">
        <f t="shared" si="27"/>
        <v xml:space="preserve">  </v>
      </c>
      <c r="AF27" s="50" t="str">
        <f t="shared" si="28"/>
        <v xml:space="preserve">  </v>
      </c>
      <c r="AG27" s="15">
        <f t="shared" si="29"/>
        <v>46198</v>
      </c>
      <c r="AH27" s="15">
        <f>_xlfn.IFNA(IF(Y27="Y","DONE",VLOOKUP(A27,'Date Calcs from Ship Date'!A:AE,27,0)),"")</f>
        <v>46069</v>
      </c>
      <c r="AI27" s="40">
        <f t="shared" ca="1" si="31"/>
        <v>-4</v>
      </c>
      <c r="AJ27" s="15">
        <f>_xlfn.IFNA(IF(AC27="Y","DONE",VLOOKUP(A27,'Date Calcs from Ship Date'!A:AE,29,0)),"")</f>
        <v>46069</v>
      </c>
      <c r="AK27" s="40">
        <f t="shared" ca="1" si="32"/>
        <v>-4</v>
      </c>
      <c r="AL27" s="15">
        <f>_xlfn.IFNA(IF(AA27="Y","DONE",VLOOKUP(A27,'Date Calcs from Ship Date'!A:AI,28,0)),"")</f>
        <v>46076</v>
      </c>
      <c r="AM27" s="40">
        <f t="shared" ca="1" si="33"/>
        <v>3</v>
      </c>
      <c r="AN27" s="15" t="str">
        <f>IF(U27="Y","DONE",VLOOKUP(A27,'Date Calcs from Ship Date'!A:AE,25,0))</f>
        <v>DONE</v>
      </c>
      <c r="AO27" s="40">
        <f t="shared" si="34"/>
        <v>0</v>
      </c>
      <c r="AP27" s="15">
        <f>IF(AE27="Y","DONE",VLOOKUP(A27,'Date Calcs from Ship Date'!A:AE,30,0))</f>
        <v>46083</v>
      </c>
      <c r="AQ27" s="40">
        <f t="shared" ca="1" si="35"/>
        <v>10</v>
      </c>
      <c r="AR27" s="15">
        <f>_xlfn.IFNA(VLOOKUP(A27,'Date Calcs from Ship Date'!A:C,3,0),"")</f>
        <v>46139</v>
      </c>
      <c r="AS27" s="40">
        <f t="shared" si="36"/>
        <v>59</v>
      </c>
      <c r="AT27" s="40"/>
      <c r="AU27" s="15" t="str">
        <f t="shared" si="30"/>
        <v xml:space="preserve">  </v>
      </c>
      <c r="AV27" s="9"/>
    </row>
    <row r="28" spans="1:48" ht="23.25" x14ac:dyDescent="0.35">
      <c r="A28" s="93" t="s">
        <v>343</v>
      </c>
      <c r="B28" s="8" t="str">
        <f t="shared" si="0"/>
        <v>Epic Systems</v>
      </c>
      <c r="C28" s="13"/>
      <c r="D28" s="46" t="str">
        <f t="shared" si="1"/>
        <v>Y</v>
      </c>
      <c r="E28" s="50">
        <f t="shared" si="2"/>
        <v>-1</v>
      </c>
      <c r="F28" s="46" t="str">
        <f t="shared" si="3"/>
        <v>Y</v>
      </c>
      <c r="G28" s="50">
        <f t="shared" si="4"/>
        <v>-6</v>
      </c>
      <c r="H28" s="46" t="str">
        <f t="shared" si="5"/>
        <v>Y</v>
      </c>
      <c r="I28" s="50">
        <f t="shared" si="6"/>
        <v>-3</v>
      </c>
      <c r="J28" s="13"/>
      <c r="K28" s="46" t="str">
        <f t="shared" si="7"/>
        <v xml:space="preserve">  </v>
      </c>
      <c r="L28" s="50" t="str">
        <f t="shared" si="8"/>
        <v xml:space="preserve">  </v>
      </c>
      <c r="M28" s="46" t="str">
        <f t="shared" si="9"/>
        <v xml:space="preserve">  </v>
      </c>
      <c r="N28" s="50" t="str">
        <f t="shared" si="10"/>
        <v xml:space="preserve">  </v>
      </c>
      <c r="O28" s="46" t="str">
        <f t="shared" si="11"/>
        <v xml:space="preserve">  </v>
      </c>
      <c r="P28" s="50" t="str">
        <f t="shared" si="12"/>
        <v xml:space="preserve">  </v>
      </c>
      <c r="Q28" s="46" t="str">
        <f t="shared" si="13"/>
        <v>Y</v>
      </c>
      <c r="R28" s="50">
        <f t="shared" si="14"/>
        <v>-135</v>
      </c>
      <c r="S28" s="46" t="str">
        <f t="shared" si="15"/>
        <v>Y</v>
      </c>
      <c r="T28" s="50">
        <f t="shared" si="16"/>
        <v>-16</v>
      </c>
      <c r="U28" s="46" t="str">
        <f t="shared" si="17"/>
        <v>Y</v>
      </c>
      <c r="V28" s="50">
        <f t="shared" si="18"/>
        <v>3</v>
      </c>
      <c r="W28" s="46" t="str">
        <f t="shared" si="19"/>
        <v>Y</v>
      </c>
      <c r="X28" s="50">
        <f t="shared" si="20"/>
        <v>-11</v>
      </c>
      <c r="Y28" s="46" t="str">
        <f t="shared" si="21"/>
        <v xml:space="preserve">  </v>
      </c>
      <c r="Z28" s="50" t="str">
        <f t="shared" si="22"/>
        <v xml:space="preserve">  </v>
      </c>
      <c r="AA28" s="46" t="str">
        <f t="shared" si="23"/>
        <v xml:space="preserve">  </v>
      </c>
      <c r="AB28" s="50" t="str">
        <f t="shared" si="24"/>
        <v xml:space="preserve">  </v>
      </c>
      <c r="AC28" s="46" t="str">
        <f t="shared" si="25"/>
        <v xml:space="preserve">  </v>
      </c>
      <c r="AD28" s="50" t="str">
        <f t="shared" si="26"/>
        <v xml:space="preserve">  </v>
      </c>
      <c r="AE28" s="46" t="str">
        <f t="shared" si="27"/>
        <v xml:space="preserve">  </v>
      </c>
      <c r="AF28" s="50" t="str">
        <f t="shared" si="28"/>
        <v xml:space="preserve">  </v>
      </c>
      <c r="AG28" s="15">
        <f t="shared" si="29"/>
        <v>46178</v>
      </c>
      <c r="AH28" s="15">
        <f>_xlfn.IFNA(IF(Y28="Y","DONE",VLOOKUP(A28,'Date Calcs from Ship Date'!A:AE,27,0)),"")</f>
        <v>46091</v>
      </c>
      <c r="AI28" s="40">
        <f t="shared" ca="1" si="31"/>
        <v>18</v>
      </c>
      <c r="AJ28" s="15">
        <f>_xlfn.IFNA(IF(AC28="Y","DONE",VLOOKUP(A28,'Date Calcs from Ship Date'!A:AE,29,0)),"")</f>
        <v>46091</v>
      </c>
      <c r="AK28" s="40">
        <f t="shared" ca="1" si="32"/>
        <v>18</v>
      </c>
      <c r="AL28" s="15">
        <f>_xlfn.IFNA(IF(AA28="Y","DONE",VLOOKUP(A28,'Date Calcs from Ship Date'!A:AI,28,0)),"")</f>
        <v>46098</v>
      </c>
      <c r="AM28" s="40">
        <f t="shared" ca="1" si="33"/>
        <v>25</v>
      </c>
      <c r="AN28" s="15" t="str">
        <f>IF(U28="Y","DONE",VLOOKUP(A28,'Date Calcs from Ship Date'!A:AE,25,0))</f>
        <v>DONE</v>
      </c>
      <c r="AO28" s="40">
        <f t="shared" si="34"/>
        <v>0</v>
      </c>
      <c r="AP28" s="15">
        <f>IF(AE28="Y","DONE",VLOOKUP(A28,'Date Calcs from Ship Date'!A:AE,30,0))</f>
        <v>46105</v>
      </c>
      <c r="AQ28" s="40">
        <f t="shared" ca="1" si="35"/>
        <v>32</v>
      </c>
      <c r="AR28" s="15">
        <f>_xlfn.IFNA(VLOOKUP(A28,'Date Calcs from Ship Date'!A:C,3,0),"")</f>
        <v>46161</v>
      </c>
      <c r="AS28" s="40">
        <f t="shared" si="36"/>
        <v>17</v>
      </c>
      <c r="AT28" s="40"/>
      <c r="AU28" s="15" t="str">
        <f t="shared" si="30"/>
        <v xml:space="preserve">  </v>
      </c>
      <c r="AV28" s="9"/>
    </row>
    <row r="29" spans="1:48" ht="23.25" x14ac:dyDescent="0.35">
      <c r="A29" s="93" t="s">
        <v>344</v>
      </c>
      <c r="B29" s="8" t="str">
        <f t="shared" si="0"/>
        <v>Epic Systems</v>
      </c>
      <c r="C29" s="13"/>
      <c r="D29" s="46" t="str">
        <f t="shared" si="1"/>
        <v>Y</v>
      </c>
      <c r="E29" s="50">
        <f t="shared" si="2"/>
        <v>-1</v>
      </c>
      <c r="F29" s="46" t="str">
        <f t="shared" si="3"/>
        <v>Y</v>
      </c>
      <c r="G29" s="50">
        <f t="shared" si="4"/>
        <v>18</v>
      </c>
      <c r="H29" s="46" t="str">
        <f t="shared" si="5"/>
        <v>Y</v>
      </c>
      <c r="I29" s="50">
        <f t="shared" si="6"/>
        <v>-8</v>
      </c>
      <c r="J29" s="13"/>
      <c r="K29" s="46" t="str">
        <f t="shared" si="7"/>
        <v xml:space="preserve">  </v>
      </c>
      <c r="L29" s="50" t="str">
        <f t="shared" si="8"/>
        <v xml:space="preserve">  </v>
      </c>
      <c r="M29" s="46" t="str">
        <f t="shared" si="9"/>
        <v xml:space="preserve">  </v>
      </c>
      <c r="N29" s="50" t="str">
        <f t="shared" si="10"/>
        <v xml:space="preserve">  </v>
      </c>
      <c r="O29" s="46" t="str">
        <f t="shared" si="11"/>
        <v xml:space="preserve">  </v>
      </c>
      <c r="P29" s="50" t="str">
        <f t="shared" si="12"/>
        <v xml:space="preserve">  </v>
      </c>
      <c r="Q29" s="46" t="str">
        <f t="shared" si="13"/>
        <v xml:space="preserve">  </v>
      </c>
      <c r="R29" s="50" t="str">
        <f t="shared" si="14"/>
        <v xml:space="preserve">  </v>
      </c>
      <c r="S29" s="46" t="str">
        <f t="shared" si="15"/>
        <v xml:space="preserve">  </v>
      </c>
      <c r="T29" s="50" t="str">
        <f t="shared" si="16"/>
        <v xml:space="preserve">  </v>
      </c>
      <c r="U29" s="46" t="str">
        <f t="shared" si="17"/>
        <v xml:space="preserve">  </v>
      </c>
      <c r="V29" s="50" t="str">
        <f t="shared" si="18"/>
        <v xml:space="preserve">  </v>
      </c>
      <c r="W29" s="46" t="str">
        <f t="shared" si="19"/>
        <v xml:space="preserve">  </v>
      </c>
      <c r="X29" s="50" t="str">
        <f t="shared" si="20"/>
        <v xml:space="preserve">  </v>
      </c>
      <c r="Y29" s="46" t="str">
        <f t="shared" si="21"/>
        <v xml:space="preserve">  </v>
      </c>
      <c r="Z29" s="50" t="str">
        <f t="shared" si="22"/>
        <v xml:space="preserve">  </v>
      </c>
      <c r="AA29" s="46" t="str">
        <f t="shared" si="23"/>
        <v xml:space="preserve">  </v>
      </c>
      <c r="AB29" s="50" t="str">
        <f t="shared" si="24"/>
        <v xml:space="preserve">  </v>
      </c>
      <c r="AC29" s="46" t="str">
        <f t="shared" si="25"/>
        <v xml:space="preserve">  </v>
      </c>
      <c r="AD29" s="50" t="str">
        <f t="shared" si="26"/>
        <v xml:space="preserve">  </v>
      </c>
      <c r="AE29" s="46" t="str">
        <f t="shared" si="27"/>
        <v xml:space="preserve">  </v>
      </c>
      <c r="AF29" s="50" t="str">
        <f t="shared" si="28"/>
        <v xml:space="preserve">  </v>
      </c>
      <c r="AG29" s="15">
        <f t="shared" si="29"/>
        <v>46178</v>
      </c>
      <c r="AH29" s="15">
        <f>_xlfn.IFNA(IF(Y29="Y","DONE",VLOOKUP(A29,'Date Calcs from Ship Date'!A:AE,27,0)),"")</f>
        <v>46091</v>
      </c>
      <c r="AI29" s="40">
        <f t="shared" ca="1" si="31"/>
        <v>18</v>
      </c>
      <c r="AJ29" s="15">
        <f>_xlfn.IFNA(IF(AC29="Y","DONE",VLOOKUP(A29,'Date Calcs from Ship Date'!A:AE,29,0)),"")</f>
        <v>46091</v>
      </c>
      <c r="AK29" s="40">
        <f t="shared" ca="1" si="32"/>
        <v>18</v>
      </c>
      <c r="AL29" s="15">
        <f>_xlfn.IFNA(IF(AA29="Y","DONE",VLOOKUP(A29,'Date Calcs from Ship Date'!A:AI,28,0)),"")</f>
        <v>46098</v>
      </c>
      <c r="AM29" s="40">
        <f t="shared" ca="1" si="33"/>
        <v>25</v>
      </c>
      <c r="AN29" s="15">
        <f>IF(U29="Y","DONE",VLOOKUP(A29,'Date Calcs from Ship Date'!A:AE,25,0))</f>
        <v>46098</v>
      </c>
      <c r="AO29" s="40">
        <f t="shared" si="34"/>
        <v>7</v>
      </c>
      <c r="AP29" s="15">
        <f>IF(AE29="Y","DONE",VLOOKUP(A29,'Date Calcs from Ship Date'!A:AE,30,0))</f>
        <v>46105</v>
      </c>
      <c r="AQ29" s="40">
        <f t="shared" ca="1" si="35"/>
        <v>32</v>
      </c>
      <c r="AR29" s="15">
        <f>_xlfn.IFNA(VLOOKUP(A29,'Date Calcs from Ship Date'!A:C,3,0),"")</f>
        <v>46161</v>
      </c>
      <c r="AS29" s="40">
        <f t="shared" si="36"/>
        <v>17</v>
      </c>
      <c r="AT29" s="40"/>
      <c r="AU29" s="15" t="str">
        <f t="shared" si="30"/>
        <v xml:space="preserve">  </v>
      </c>
      <c r="AV29" s="9"/>
    </row>
    <row r="30" spans="1:48" ht="23.25" x14ac:dyDescent="0.35">
      <c r="A30" s="93" t="s">
        <v>345</v>
      </c>
      <c r="B30" s="8" t="str">
        <f t="shared" si="0"/>
        <v>Epic Systems</v>
      </c>
      <c r="C30" s="13"/>
      <c r="D30" s="46" t="str">
        <f t="shared" si="1"/>
        <v>Y</v>
      </c>
      <c r="E30" s="50">
        <f t="shared" si="2"/>
        <v>-1</v>
      </c>
      <c r="F30" s="46" t="str">
        <f t="shared" si="3"/>
        <v>Y</v>
      </c>
      <c r="G30" s="50">
        <f t="shared" si="4"/>
        <v>18</v>
      </c>
      <c r="H30" s="46" t="str">
        <f t="shared" si="5"/>
        <v>Y</v>
      </c>
      <c r="I30" s="50">
        <f t="shared" si="6"/>
        <v>55</v>
      </c>
      <c r="J30" s="13"/>
      <c r="K30" s="46" t="str">
        <f t="shared" si="7"/>
        <v xml:space="preserve">  </v>
      </c>
      <c r="L30" s="50" t="str">
        <f t="shared" si="8"/>
        <v xml:space="preserve">  </v>
      </c>
      <c r="M30" s="46" t="str">
        <f t="shared" si="9"/>
        <v xml:space="preserve">  </v>
      </c>
      <c r="N30" s="50" t="str">
        <f t="shared" si="10"/>
        <v xml:space="preserve">  </v>
      </c>
      <c r="O30" s="46" t="str">
        <f t="shared" si="11"/>
        <v xml:space="preserve">  </v>
      </c>
      <c r="P30" s="50" t="str">
        <f t="shared" si="12"/>
        <v xml:space="preserve">  </v>
      </c>
      <c r="Q30" s="46" t="str">
        <f t="shared" si="13"/>
        <v xml:space="preserve">  </v>
      </c>
      <c r="R30" s="50" t="str">
        <f t="shared" si="14"/>
        <v xml:space="preserve">  </v>
      </c>
      <c r="S30" s="46" t="str">
        <f t="shared" si="15"/>
        <v xml:space="preserve">  </v>
      </c>
      <c r="T30" s="50" t="str">
        <f t="shared" si="16"/>
        <v xml:space="preserve">  </v>
      </c>
      <c r="U30" s="46" t="str">
        <f t="shared" si="17"/>
        <v xml:space="preserve">  </v>
      </c>
      <c r="V30" s="50" t="str">
        <f t="shared" si="18"/>
        <v xml:space="preserve">  </v>
      </c>
      <c r="W30" s="46" t="str">
        <f t="shared" si="19"/>
        <v xml:space="preserve">  </v>
      </c>
      <c r="X30" s="50" t="str">
        <f t="shared" si="20"/>
        <v xml:space="preserve">  </v>
      </c>
      <c r="Y30" s="46" t="str">
        <f t="shared" si="21"/>
        <v xml:space="preserve">  </v>
      </c>
      <c r="Z30" s="50" t="str">
        <f t="shared" si="22"/>
        <v xml:space="preserve">  </v>
      </c>
      <c r="AA30" s="46" t="str">
        <f t="shared" si="23"/>
        <v xml:space="preserve">  </v>
      </c>
      <c r="AB30" s="50" t="str">
        <f t="shared" si="24"/>
        <v xml:space="preserve">  </v>
      </c>
      <c r="AC30" s="46" t="str">
        <f t="shared" si="25"/>
        <v xml:space="preserve">  </v>
      </c>
      <c r="AD30" s="50" t="str">
        <f t="shared" si="26"/>
        <v xml:space="preserve">  </v>
      </c>
      <c r="AE30" s="46" t="str">
        <f t="shared" si="27"/>
        <v xml:space="preserve">  </v>
      </c>
      <c r="AF30" s="50" t="str">
        <f t="shared" si="28"/>
        <v xml:space="preserve">  </v>
      </c>
      <c r="AG30" s="15">
        <f t="shared" si="29"/>
        <v>46178</v>
      </c>
      <c r="AH30" s="15">
        <f>_xlfn.IFNA(IF(Y30="Y","DONE",VLOOKUP(A30,'Date Calcs from Ship Date'!A:AE,27,0)),"")</f>
        <v>46092</v>
      </c>
      <c r="AI30" s="40">
        <f t="shared" ca="1" si="31"/>
        <v>19</v>
      </c>
      <c r="AJ30" s="15">
        <f>_xlfn.IFNA(IF(AC30="Y","DONE",VLOOKUP(A30,'Date Calcs from Ship Date'!A:AE,29,0)),"")</f>
        <v>46092</v>
      </c>
      <c r="AK30" s="40">
        <f t="shared" ca="1" si="32"/>
        <v>19</v>
      </c>
      <c r="AL30" s="15">
        <f>_xlfn.IFNA(IF(AA30="Y","DONE",VLOOKUP(A30,'Date Calcs from Ship Date'!A:AI,28,0)),"")</f>
        <v>46099</v>
      </c>
      <c r="AM30" s="40">
        <f t="shared" ca="1" si="33"/>
        <v>26</v>
      </c>
      <c r="AN30" s="15">
        <f>IF(U30="Y","DONE",VLOOKUP(A30,'Date Calcs from Ship Date'!A:AE,25,0))</f>
        <v>46099</v>
      </c>
      <c r="AO30" s="40">
        <f t="shared" si="34"/>
        <v>7</v>
      </c>
      <c r="AP30" s="15">
        <f>IF(AE30="Y","DONE",VLOOKUP(A30,'Date Calcs from Ship Date'!A:AE,30,0))</f>
        <v>46106</v>
      </c>
      <c r="AQ30" s="40">
        <f t="shared" ca="1" si="35"/>
        <v>33</v>
      </c>
      <c r="AR30" s="15">
        <f>_xlfn.IFNA(VLOOKUP(A30,'Date Calcs from Ship Date'!A:C,3,0),"")</f>
        <v>46162</v>
      </c>
      <c r="AS30" s="40">
        <f t="shared" si="36"/>
        <v>16</v>
      </c>
      <c r="AT30" s="40"/>
      <c r="AU30" s="15" t="str">
        <f t="shared" si="30"/>
        <v xml:space="preserve">  </v>
      </c>
      <c r="AV30" s="9"/>
    </row>
    <row r="31" spans="1:48" ht="23.25" x14ac:dyDescent="0.35">
      <c r="A31" s="93" t="s">
        <v>346</v>
      </c>
      <c r="B31" s="8" t="str">
        <f t="shared" si="0"/>
        <v>Epic Systems</v>
      </c>
      <c r="C31" s="13"/>
      <c r="D31" s="46" t="str">
        <f t="shared" si="1"/>
        <v>Y</v>
      </c>
      <c r="E31" s="50">
        <f t="shared" si="2"/>
        <v>0</v>
      </c>
      <c r="F31" s="46" t="str">
        <f t="shared" si="3"/>
        <v>Y</v>
      </c>
      <c r="G31" s="50">
        <f t="shared" si="4"/>
        <v>3</v>
      </c>
      <c r="H31" s="46" t="str">
        <f t="shared" si="5"/>
        <v>Y</v>
      </c>
      <c r="I31" s="50">
        <f t="shared" si="6"/>
        <v>55</v>
      </c>
      <c r="J31" s="13"/>
      <c r="K31" s="46" t="str">
        <f t="shared" si="7"/>
        <v xml:space="preserve">  </v>
      </c>
      <c r="L31" s="50" t="str">
        <f t="shared" si="8"/>
        <v xml:space="preserve">  </v>
      </c>
      <c r="M31" s="46" t="str">
        <f t="shared" si="9"/>
        <v xml:space="preserve">  </v>
      </c>
      <c r="N31" s="50" t="str">
        <f t="shared" si="10"/>
        <v xml:space="preserve">  </v>
      </c>
      <c r="O31" s="46" t="str">
        <f t="shared" si="11"/>
        <v xml:space="preserve">  </v>
      </c>
      <c r="P31" s="50" t="str">
        <f t="shared" si="12"/>
        <v xml:space="preserve">  </v>
      </c>
      <c r="Q31" s="46" t="str">
        <f t="shared" si="13"/>
        <v xml:space="preserve">  </v>
      </c>
      <c r="R31" s="50" t="str">
        <f t="shared" si="14"/>
        <v xml:space="preserve">  </v>
      </c>
      <c r="S31" s="46" t="str">
        <f t="shared" si="15"/>
        <v xml:space="preserve">  </v>
      </c>
      <c r="T31" s="50" t="str">
        <f t="shared" si="16"/>
        <v xml:space="preserve">  </v>
      </c>
      <c r="U31" s="46" t="str">
        <f t="shared" si="17"/>
        <v xml:space="preserve">  </v>
      </c>
      <c r="V31" s="50" t="str">
        <f t="shared" si="18"/>
        <v xml:space="preserve">  </v>
      </c>
      <c r="W31" s="46" t="str">
        <f t="shared" si="19"/>
        <v xml:space="preserve">  </v>
      </c>
      <c r="X31" s="50" t="str">
        <f t="shared" si="20"/>
        <v xml:space="preserve">  </v>
      </c>
      <c r="Y31" s="46" t="str">
        <f t="shared" si="21"/>
        <v xml:space="preserve">  </v>
      </c>
      <c r="Z31" s="50" t="str">
        <f t="shared" si="22"/>
        <v xml:space="preserve">  </v>
      </c>
      <c r="AA31" s="46" t="str">
        <f t="shared" si="23"/>
        <v xml:space="preserve">  </v>
      </c>
      <c r="AB31" s="50" t="str">
        <f t="shared" si="24"/>
        <v xml:space="preserve">  </v>
      </c>
      <c r="AC31" s="46" t="str">
        <f t="shared" si="25"/>
        <v xml:space="preserve">  </v>
      </c>
      <c r="AD31" s="50" t="str">
        <f t="shared" si="26"/>
        <v xml:space="preserve">  </v>
      </c>
      <c r="AE31" s="46" t="str">
        <f t="shared" si="27"/>
        <v xml:space="preserve">  </v>
      </c>
      <c r="AF31" s="50" t="str">
        <f t="shared" si="28"/>
        <v xml:space="preserve">  </v>
      </c>
      <c r="AG31" s="15">
        <f t="shared" si="29"/>
        <v>46188</v>
      </c>
      <c r="AH31" s="15">
        <f>_xlfn.IFNA(IF(Y31="Y","DONE",VLOOKUP(A31,'Date Calcs from Ship Date'!A:AE,27,0)),"")</f>
        <v>46086</v>
      </c>
      <c r="AI31" s="40">
        <f t="shared" ca="1" si="31"/>
        <v>13</v>
      </c>
      <c r="AJ31" s="15">
        <f>_xlfn.IFNA(IF(AC31="Y","DONE",VLOOKUP(A31,'Date Calcs from Ship Date'!A:AE,29,0)),"")</f>
        <v>46086</v>
      </c>
      <c r="AK31" s="40">
        <f t="shared" ca="1" si="32"/>
        <v>13</v>
      </c>
      <c r="AL31" s="15">
        <f>_xlfn.IFNA(IF(AA31="Y","DONE",VLOOKUP(A31,'Date Calcs from Ship Date'!A:AI,28,0)),"")</f>
        <v>46093</v>
      </c>
      <c r="AM31" s="40">
        <f t="shared" ca="1" si="33"/>
        <v>20</v>
      </c>
      <c r="AN31" s="15">
        <f>IF(U31="Y","DONE",VLOOKUP(A31,'Date Calcs from Ship Date'!A:AE,25,0))</f>
        <v>46093</v>
      </c>
      <c r="AO31" s="40">
        <f t="shared" si="34"/>
        <v>7</v>
      </c>
      <c r="AP31" s="15">
        <f>IF(AE31="Y","DONE",VLOOKUP(A31,'Date Calcs from Ship Date'!A:AE,30,0))</f>
        <v>46100</v>
      </c>
      <c r="AQ31" s="40">
        <f t="shared" ca="1" si="35"/>
        <v>27</v>
      </c>
      <c r="AR31" s="15">
        <f>_xlfn.IFNA(VLOOKUP(A31,'Date Calcs from Ship Date'!A:C,3,0),"")</f>
        <v>46156</v>
      </c>
      <c r="AS31" s="40">
        <f t="shared" si="36"/>
        <v>32</v>
      </c>
      <c r="AT31" s="40"/>
      <c r="AU31" s="15" t="str">
        <f t="shared" si="30"/>
        <v xml:space="preserve">  </v>
      </c>
      <c r="AV31" s="9"/>
    </row>
    <row r="32" spans="1:48" ht="23.25" x14ac:dyDescent="0.35">
      <c r="A32" s="93" t="s">
        <v>348</v>
      </c>
      <c r="B32" s="8" t="str">
        <f t="shared" si="0"/>
        <v>Epic Systems</v>
      </c>
      <c r="C32" s="13"/>
      <c r="D32" s="46" t="str">
        <f t="shared" si="1"/>
        <v>Y</v>
      </c>
      <c r="E32" s="50">
        <f t="shared" si="2"/>
        <v>-1</v>
      </c>
      <c r="F32" s="46" t="str">
        <f t="shared" si="3"/>
        <v>Y</v>
      </c>
      <c r="G32" s="50">
        <f t="shared" si="4"/>
        <v>-2</v>
      </c>
      <c r="H32" s="46" t="str">
        <f t="shared" si="5"/>
        <v>Y</v>
      </c>
      <c r="I32" s="50">
        <f t="shared" si="6"/>
        <v>-4</v>
      </c>
      <c r="J32" s="13"/>
      <c r="K32" s="46" t="str">
        <f t="shared" si="7"/>
        <v>Y</v>
      </c>
      <c r="L32" s="50">
        <f t="shared" si="8"/>
        <v>-2</v>
      </c>
      <c r="M32" s="46" t="str">
        <f t="shared" si="9"/>
        <v xml:space="preserve">  </v>
      </c>
      <c r="N32" s="50" t="str">
        <f t="shared" si="10"/>
        <v xml:space="preserve">  </v>
      </c>
      <c r="O32" s="46" t="str">
        <f t="shared" si="11"/>
        <v>Y</v>
      </c>
      <c r="P32" s="50">
        <f t="shared" si="12"/>
        <v>-7</v>
      </c>
      <c r="Q32" s="46" t="str">
        <f t="shared" si="13"/>
        <v xml:space="preserve">  </v>
      </c>
      <c r="R32" s="50" t="str">
        <f t="shared" si="14"/>
        <v xml:space="preserve">  </v>
      </c>
      <c r="S32" s="46" t="str">
        <f t="shared" si="15"/>
        <v xml:space="preserve">  </v>
      </c>
      <c r="T32" s="50" t="str">
        <f t="shared" si="16"/>
        <v xml:space="preserve">  </v>
      </c>
      <c r="U32" s="46" t="str">
        <f t="shared" si="17"/>
        <v xml:space="preserve">  </v>
      </c>
      <c r="V32" s="50" t="str">
        <f t="shared" si="18"/>
        <v xml:space="preserve">  </v>
      </c>
      <c r="W32" s="46" t="str">
        <f t="shared" si="19"/>
        <v xml:space="preserve">  </v>
      </c>
      <c r="X32" s="50" t="str">
        <f t="shared" si="20"/>
        <v xml:space="preserve">  </v>
      </c>
      <c r="Y32" s="46" t="str">
        <f t="shared" si="21"/>
        <v xml:space="preserve">  </v>
      </c>
      <c r="Z32" s="50" t="str">
        <f t="shared" si="22"/>
        <v xml:space="preserve">  </v>
      </c>
      <c r="AA32" s="46" t="str">
        <f t="shared" si="23"/>
        <v xml:space="preserve">  </v>
      </c>
      <c r="AB32" s="50" t="str">
        <f t="shared" si="24"/>
        <v xml:space="preserve">  </v>
      </c>
      <c r="AC32" s="46" t="str">
        <f t="shared" si="25"/>
        <v xml:space="preserve">  </v>
      </c>
      <c r="AD32" s="50" t="str">
        <f t="shared" si="26"/>
        <v xml:space="preserve">  </v>
      </c>
      <c r="AE32" s="46" t="str">
        <f t="shared" si="27"/>
        <v xml:space="preserve">  </v>
      </c>
      <c r="AF32" s="50" t="str">
        <f t="shared" si="28"/>
        <v xml:space="preserve">  </v>
      </c>
      <c r="AG32" s="15">
        <f t="shared" si="29"/>
        <v>46198</v>
      </c>
      <c r="AH32" s="15">
        <f>_xlfn.IFNA(IF(Y32="Y","DONE",VLOOKUP(A32,'Date Calcs from Ship Date'!A:AE,27,0)),"")</f>
        <v>46086</v>
      </c>
      <c r="AI32" s="40">
        <f t="shared" ca="1" si="31"/>
        <v>13</v>
      </c>
      <c r="AJ32" s="15">
        <f>_xlfn.IFNA(IF(AC32="Y","DONE",VLOOKUP(A32,'Date Calcs from Ship Date'!A:AE,29,0)),"")</f>
        <v>46086</v>
      </c>
      <c r="AK32" s="40">
        <f t="shared" ca="1" si="32"/>
        <v>13</v>
      </c>
      <c r="AL32" s="15">
        <f>_xlfn.IFNA(IF(AA32="Y","DONE",VLOOKUP(A32,'Date Calcs from Ship Date'!A:AI,28,0)),"")</f>
        <v>46093</v>
      </c>
      <c r="AM32" s="40">
        <f t="shared" ca="1" si="33"/>
        <v>20</v>
      </c>
      <c r="AN32" s="15">
        <f>IF(U32="Y","DONE",VLOOKUP(A32,'Date Calcs from Ship Date'!A:AE,25,0))</f>
        <v>46093</v>
      </c>
      <c r="AO32" s="40">
        <f t="shared" si="34"/>
        <v>7</v>
      </c>
      <c r="AP32" s="15">
        <f>IF(AE32="Y","DONE",VLOOKUP(A32,'Date Calcs from Ship Date'!A:AE,30,0))</f>
        <v>46100</v>
      </c>
      <c r="AQ32" s="40">
        <f t="shared" ca="1" si="35"/>
        <v>27</v>
      </c>
      <c r="AR32" s="15">
        <f>_xlfn.IFNA(VLOOKUP(A32,'Date Calcs from Ship Date'!A:C,3,0),"")</f>
        <v>46156</v>
      </c>
      <c r="AS32" s="40">
        <f t="shared" si="36"/>
        <v>42</v>
      </c>
      <c r="AT32" s="40"/>
      <c r="AU32" s="15" t="str">
        <f t="shared" si="30"/>
        <v xml:space="preserve">  </v>
      </c>
      <c r="AV32" s="9"/>
    </row>
    <row r="33" spans="1:48" ht="23.25" x14ac:dyDescent="0.35">
      <c r="A33" s="93" t="s">
        <v>349</v>
      </c>
      <c r="B33" s="8" t="str">
        <f t="shared" si="0"/>
        <v>Polynt</v>
      </c>
      <c r="C33" s="13"/>
      <c r="D33" s="46" t="str">
        <f t="shared" si="1"/>
        <v>Y</v>
      </c>
      <c r="E33" s="50">
        <f t="shared" si="2"/>
        <v>17</v>
      </c>
      <c r="F33" s="46" t="str">
        <f t="shared" si="3"/>
        <v>Y</v>
      </c>
      <c r="G33" s="50">
        <f t="shared" si="4"/>
        <v>-8</v>
      </c>
      <c r="H33" s="46" t="str">
        <f t="shared" si="5"/>
        <v>Y</v>
      </c>
      <c r="I33" s="50">
        <f t="shared" si="6"/>
        <v>-2</v>
      </c>
      <c r="J33" s="13"/>
      <c r="K33" s="46" t="str">
        <f t="shared" si="7"/>
        <v xml:space="preserve">  </v>
      </c>
      <c r="L33" s="50" t="str">
        <f t="shared" si="8"/>
        <v xml:space="preserve">  </v>
      </c>
      <c r="M33" s="46" t="str">
        <f t="shared" si="9"/>
        <v xml:space="preserve">  </v>
      </c>
      <c r="N33" s="50" t="str">
        <f t="shared" si="10"/>
        <v xml:space="preserve">  </v>
      </c>
      <c r="O33" s="46" t="str">
        <f t="shared" si="11"/>
        <v xml:space="preserve">  </v>
      </c>
      <c r="P33" s="50" t="str">
        <f t="shared" si="12"/>
        <v xml:space="preserve">  </v>
      </c>
      <c r="Q33" s="46" t="str">
        <f t="shared" si="13"/>
        <v>Y</v>
      </c>
      <c r="R33" s="50">
        <f t="shared" si="14"/>
        <v>-162</v>
      </c>
      <c r="S33" s="46" t="str">
        <f t="shared" si="15"/>
        <v>Y</v>
      </c>
      <c r="T33" s="50">
        <f t="shared" si="16"/>
        <v>-43</v>
      </c>
      <c r="U33" s="46" t="str">
        <f t="shared" si="17"/>
        <v>Y</v>
      </c>
      <c r="V33" s="50">
        <f t="shared" si="18"/>
        <v>-7</v>
      </c>
      <c r="W33" s="46" t="str">
        <f t="shared" si="19"/>
        <v>Y</v>
      </c>
      <c r="X33" s="50">
        <f t="shared" si="20"/>
        <v>-48</v>
      </c>
      <c r="Y33" s="46" t="str">
        <f t="shared" si="21"/>
        <v xml:space="preserve">  </v>
      </c>
      <c r="Z33" s="50" t="str">
        <f t="shared" si="22"/>
        <v xml:space="preserve">  </v>
      </c>
      <c r="AA33" s="46" t="str">
        <f t="shared" si="23"/>
        <v xml:space="preserve">  </v>
      </c>
      <c r="AB33" s="50" t="str">
        <f t="shared" si="24"/>
        <v xml:space="preserve">  </v>
      </c>
      <c r="AC33" s="46" t="str">
        <f t="shared" si="25"/>
        <v xml:space="preserve">  </v>
      </c>
      <c r="AD33" s="50" t="str">
        <f t="shared" si="26"/>
        <v xml:space="preserve">  </v>
      </c>
      <c r="AE33" s="46" t="str">
        <f t="shared" si="27"/>
        <v xml:space="preserve">  </v>
      </c>
      <c r="AF33" s="50" t="str">
        <f t="shared" si="28"/>
        <v xml:space="preserve">  </v>
      </c>
      <c r="AG33" s="15">
        <f t="shared" si="29"/>
        <v>46198</v>
      </c>
      <c r="AH33" s="15">
        <f>_xlfn.IFNA(IF(Y33="Y","DONE",VLOOKUP(A33,'Date Calcs from Ship Date'!A:AE,27,0)),"")</f>
        <v>46160</v>
      </c>
      <c r="AI33" s="40">
        <f t="shared" ca="1" si="31"/>
        <v>87</v>
      </c>
      <c r="AJ33" s="15">
        <f>_xlfn.IFNA(IF(AC33="Y","DONE",VLOOKUP(A33,'Date Calcs from Ship Date'!A:AE,29,0)),"")</f>
        <v>46160</v>
      </c>
      <c r="AK33" s="40">
        <f t="shared" ca="1" si="32"/>
        <v>87</v>
      </c>
      <c r="AL33" s="15">
        <f>_xlfn.IFNA(IF(AA33="Y","DONE",VLOOKUP(A33,'Date Calcs from Ship Date'!A:AI,28,0)),"")</f>
        <v>46167</v>
      </c>
      <c r="AM33" s="40">
        <f t="shared" ca="1" si="33"/>
        <v>94</v>
      </c>
      <c r="AN33" s="15" t="str">
        <f>IF(U33="Y","DONE",VLOOKUP(A33,'Date Calcs from Ship Date'!A:AE,25,0))</f>
        <v>DONE</v>
      </c>
      <c r="AO33" s="40">
        <f t="shared" si="34"/>
        <v>0</v>
      </c>
      <c r="AP33" s="15">
        <f>IF(AE33="Y","DONE",VLOOKUP(A33,'Date Calcs from Ship Date'!A:AE,30,0))</f>
        <v>46174</v>
      </c>
      <c r="AQ33" s="40">
        <f t="shared" ca="1" si="35"/>
        <v>101</v>
      </c>
      <c r="AR33" s="15">
        <f>_xlfn.IFNA(VLOOKUP(A33,'Date Calcs from Ship Date'!A:C,3,0),"")</f>
        <v>46230</v>
      </c>
      <c r="AS33" s="40">
        <f t="shared" si="36"/>
        <v>-32</v>
      </c>
      <c r="AT33" s="40"/>
      <c r="AU33" s="15" t="str">
        <f t="shared" si="30"/>
        <v xml:space="preserve">  </v>
      </c>
      <c r="AV33" s="9"/>
    </row>
    <row r="34" spans="1:48" ht="23.25" x14ac:dyDescent="0.35">
      <c r="A34" s="93" t="s">
        <v>350</v>
      </c>
      <c r="B34" s="8" t="str">
        <f t="shared" si="0"/>
        <v>Merrick</v>
      </c>
      <c r="C34" s="13"/>
      <c r="D34" s="46" t="str">
        <f t="shared" si="1"/>
        <v>Y</v>
      </c>
      <c r="E34" s="50">
        <f t="shared" si="2"/>
        <v>5</v>
      </c>
      <c r="F34" s="46" t="str">
        <f t="shared" si="3"/>
        <v>Y</v>
      </c>
      <c r="G34" s="50">
        <f t="shared" si="4"/>
        <v>55</v>
      </c>
      <c r="H34" s="46" t="str">
        <f t="shared" si="5"/>
        <v>Y</v>
      </c>
      <c r="I34" s="50">
        <f t="shared" si="6"/>
        <v>-2</v>
      </c>
      <c r="J34" s="13"/>
      <c r="K34" s="46" t="str">
        <f t="shared" si="7"/>
        <v>Y</v>
      </c>
      <c r="L34" s="50">
        <f t="shared" si="8"/>
        <v>6</v>
      </c>
      <c r="M34" s="46" t="str">
        <f t="shared" si="9"/>
        <v xml:space="preserve">  </v>
      </c>
      <c r="N34" s="50" t="str">
        <f t="shared" si="10"/>
        <v xml:space="preserve">  </v>
      </c>
      <c r="O34" s="46" t="str">
        <f t="shared" si="11"/>
        <v>Y</v>
      </c>
      <c r="P34" s="50">
        <f t="shared" si="12"/>
        <v>1</v>
      </c>
      <c r="Q34" s="46" t="str">
        <f t="shared" si="13"/>
        <v>Y</v>
      </c>
      <c r="R34" s="50">
        <f t="shared" si="14"/>
        <v>-137</v>
      </c>
      <c r="S34" s="46" t="str">
        <f t="shared" si="15"/>
        <v>Y</v>
      </c>
      <c r="T34" s="50">
        <f t="shared" si="16"/>
        <v>-4</v>
      </c>
      <c r="U34" s="46" t="str">
        <f t="shared" si="17"/>
        <v>Y</v>
      </c>
      <c r="V34" s="50">
        <f t="shared" si="18"/>
        <v>16</v>
      </c>
      <c r="W34" s="46" t="str">
        <f t="shared" si="19"/>
        <v>Y</v>
      </c>
      <c r="X34" s="50">
        <f t="shared" si="20"/>
        <v>-7</v>
      </c>
      <c r="Y34" s="46" t="str">
        <f t="shared" si="21"/>
        <v>Y</v>
      </c>
      <c r="Z34" s="50">
        <f t="shared" si="22"/>
        <v>-11</v>
      </c>
      <c r="AA34" s="46" t="str">
        <f t="shared" si="23"/>
        <v>Y</v>
      </c>
      <c r="AB34" s="50">
        <f t="shared" si="24"/>
        <v>-6</v>
      </c>
      <c r="AC34" s="46" t="str">
        <f t="shared" si="25"/>
        <v>Y</v>
      </c>
      <c r="AD34" s="50">
        <f t="shared" si="26"/>
        <v>2</v>
      </c>
      <c r="AE34" s="46" t="str">
        <f t="shared" si="27"/>
        <v>Y</v>
      </c>
      <c r="AF34" s="50">
        <f t="shared" si="28"/>
        <v>-7</v>
      </c>
      <c r="AG34" s="15">
        <f t="shared" si="29"/>
        <v>46203</v>
      </c>
      <c r="AH34" s="15" t="str">
        <f>_xlfn.IFNA(IF(Y34="Y","DONE",VLOOKUP(A34,'Date Calcs from Ship Date'!A:AE,27,0)),"")</f>
        <v>DONE</v>
      </c>
      <c r="AI34" s="40">
        <f t="shared" ca="1" si="31"/>
        <v>0</v>
      </c>
      <c r="AJ34" s="15" t="str">
        <f>_xlfn.IFNA(IF(AC34="Y","DONE",VLOOKUP(A34,'Date Calcs from Ship Date'!A:AE,29,0)),"")</f>
        <v>DONE</v>
      </c>
      <c r="AK34" s="40">
        <f t="shared" ca="1" si="32"/>
        <v>0</v>
      </c>
      <c r="AL34" s="15" t="str">
        <f>_xlfn.IFNA(IF(AA34="Y","DONE",VLOOKUP(A34,'Date Calcs from Ship Date'!A:AI,28,0)),"")</f>
        <v>DONE</v>
      </c>
      <c r="AM34" s="40">
        <f t="shared" ca="1" si="33"/>
        <v>0</v>
      </c>
      <c r="AN34" s="15" t="str">
        <f>IF(U34="Y","DONE",VLOOKUP(A34,'Date Calcs from Ship Date'!A:AE,25,0))</f>
        <v>DONE</v>
      </c>
      <c r="AO34" s="40">
        <f t="shared" si="34"/>
        <v>0</v>
      </c>
      <c r="AP34" s="15" t="str">
        <f>IF(AE34="Y","DONE",VLOOKUP(A34,'Date Calcs from Ship Date'!A:AE,30,0))</f>
        <v>DONE</v>
      </c>
      <c r="AQ34" s="40">
        <f t="shared" ca="1" si="35"/>
        <v>0</v>
      </c>
      <c r="AR34" s="15">
        <f>_xlfn.IFNA(VLOOKUP(A34,'Date Calcs from Ship Date'!A:C,3,0),"")</f>
        <v>46118</v>
      </c>
      <c r="AS34" s="40">
        <f t="shared" si="36"/>
        <v>85</v>
      </c>
      <c r="AT34" s="40"/>
      <c r="AU34" s="15" t="str">
        <f t="shared" si="30"/>
        <v xml:space="preserve">  </v>
      </c>
      <c r="AV34" s="9"/>
    </row>
    <row r="35" spans="1:48" ht="23.25" x14ac:dyDescent="0.35">
      <c r="A35" s="93" t="s">
        <v>352</v>
      </c>
      <c r="B35" s="8" t="str">
        <f t="shared" si="0"/>
        <v>Merrick</v>
      </c>
      <c r="C35" s="13"/>
      <c r="D35" s="46" t="str">
        <f t="shared" si="1"/>
        <v>Y</v>
      </c>
      <c r="E35" s="50">
        <f t="shared" si="2"/>
        <v>5</v>
      </c>
      <c r="F35" s="46" t="str">
        <f t="shared" si="3"/>
        <v>Y</v>
      </c>
      <c r="G35" s="50">
        <f t="shared" si="4"/>
        <v>55</v>
      </c>
      <c r="H35" s="46" t="str">
        <f t="shared" si="5"/>
        <v>Y</v>
      </c>
      <c r="I35" s="50">
        <f t="shared" si="6"/>
        <v>-2</v>
      </c>
      <c r="J35" s="13"/>
      <c r="K35" s="46" t="str">
        <f t="shared" si="7"/>
        <v>Y</v>
      </c>
      <c r="L35" s="50">
        <f t="shared" si="8"/>
        <v>5</v>
      </c>
      <c r="M35" s="46" t="str">
        <f t="shared" si="9"/>
        <v xml:space="preserve">  </v>
      </c>
      <c r="N35" s="50" t="str">
        <f t="shared" si="10"/>
        <v xml:space="preserve">  </v>
      </c>
      <c r="O35" s="46" t="str">
        <f t="shared" si="11"/>
        <v>Y</v>
      </c>
      <c r="P35" s="50">
        <f t="shared" si="12"/>
        <v>0</v>
      </c>
      <c r="Q35" s="46" t="str">
        <f t="shared" si="13"/>
        <v xml:space="preserve">  </v>
      </c>
      <c r="R35" s="50" t="str">
        <f t="shared" si="14"/>
        <v xml:space="preserve">  </v>
      </c>
      <c r="S35" s="46" t="str">
        <f t="shared" si="15"/>
        <v xml:space="preserve">  </v>
      </c>
      <c r="T35" s="50" t="str">
        <f t="shared" si="16"/>
        <v xml:space="preserve">  </v>
      </c>
      <c r="U35" s="46" t="str">
        <f t="shared" si="17"/>
        <v>Y</v>
      </c>
      <c r="V35" s="50">
        <f t="shared" si="18"/>
        <v>9</v>
      </c>
      <c r="W35" s="46" t="str">
        <f t="shared" si="19"/>
        <v>Y</v>
      </c>
      <c r="X35" s="50">
        <f t="shared" si="20"/>
        <v>-10</v>
      </c>
      <c r="Y35" s="46" t="str">
        <f t="shared" si="21"/>
        <v>Y</v>
      </c>
      <c r="Z35" s="50">
        <f t="shared" si="22"/>
        <v>-13</v>
      </c>
      <c r="AA35" s="46" t="str">
        <f t="shared" si="23"/>
        <v xml:space="preserve">  </v>
      </c>
      <c r="AB35" s="50" t="str">
        <f t="shared" si="24"/>
        <v xml:space="preserve">  </v>
      </c>
      <c r="AC35" s="46" t="str">
        <f t="shared" si="25"/>
        <v xml:space="preserve">  </v>
      </c>
      <c r="AD35" s="50" t="str">
        <f t="shared" si="26"/>
        <v xml:space="preserve">  </v>
      </c>
      <c r="AE35" s="46" t="str">
        <f t="shared" si="27"/>
        <v xml:space="preserve">  </v>
      </c>
      <c r="AF35" s="50" t="str">
        <f t="shared" si="28"/>
        <v xml:space="preserve">  </v>
      </c>
      <c r="AG35" s="15">
        <f t="shared" si="29"/>
        <v>46209</v>
      </c>
      <c r="AH35" s="15" t="str">
        <f>_xlfn.IFNA(IF(Y35="Y","DONE",VLOOKUP(A35,'Date Calcs from Ship Date'!A:AE,27,0)),"")</f>
        <v>DONE</v>
      </c>
      <c r="AI35" s="40">
        <f t="shared" ca="1" si="31"/>
        <v>0</v>
      </c>
      <c r="AJ35" s="15">
        <f>_xlfn.IFNA(IF(AC35="Y","DONE",VLOOKUP(A35,'Date Calcs from Ship Date'!A:AE,29,0)),"")</f>
        <v>46069</v>
      </c>
      <c r="AK35" s="40">
        <f t="shared" ca="1" si="32"/>
        <v>-4</v>
      </c>
      <c r="AL35" s="15">
        <f>_xlfn.IFNA(IF(AA35="Y","DONE",VLOOKUP(A35,'Date Calcs from Ship Date'!A:AI,28,0)),"")</f>
        <v>46076</v>
      </c>
      <c r="AM35" s="40">
        <f t="shared" ca="1" si="33"/>
        <v>3</v>
      </c>
      <c r="AN35" s="15" t="str">
        <f>IF(U35="Y","DONE",VLOOKUP(A35,'Date Calcs from Ship Date'!A:AE,25,0))</f>
        <v>DONE</v>
      </c>
      <c r="AO35" s="40">
        <f t="shared" si="34"/>
        <v>0</v>
      </c>
      <c r="AP35" s="15">
        <f>IF(AE35="Y","DONE",VLOOKUP(A35,'Date Calcs from Ship Date'!A:AE,30,0))</f>
        <v>46083</v>
      </c>
      <c r="AQ35" s="40">
        <f t="shared" ca="1" si="35"/>
        <v>10</v>
      </c>
      <c r="AR35" s="15">
        <f>_xlfn.IFNA(VLOOKUP(A35,'Date Calcs from Ship Date'!A:C,3,0),"")</f>
        <v>46139</v>
      </c>
      <c r="AS35" s="40">
        <f t="shared" si="36"/>
        <v>70</v>
      </c>
      <c r="AT35" s="40"/>
      <c r="AU35" s="15" t="str">
        <f t="shared" si="30"/>
        <v xml:space="preserve">  </v>
      </c>
      <c r="AV35" s="9"/>
    </row>
    <row r="36" spans="1:48" ht="23.25" x14ac:dyDescent="0.35">
      <c r="A36" s="93" t="s">
        <v>356</v>
      </c>
      <c r="B36" s="8" t="str">
        <f t="shared" si="0"/>
        <v>Andritz</v>
      </c>
      <c r="C36" s="13"/>
      <c r="D36" s="46" t="str">
        <f t="shared" si="1"/>
        <v>Y</v>
      </c>
      <c r="E36" s="50" t="str">
        <f t="shared" si="2"/>
        <v xml:space="preserve">  </v>
      </c>
      <c r="F36" s="46" t="str">
        <f t="shared" si="3"/>
        <v>Y</v>
      </c>
      <c r="G36" s="50">
        <f t="shared" si="4"/>
        <v>55</v>
      </c>
      <c r="H36" s="46" t="e">
        <f>_xlfn.IFNA(IF(VLOOKUP(#REF!,Dates,17,)&gt;0,"Y","  "),"")</f>
        <v>#REF!</v>
      </c>
      <c r="I36" s="50" t="e">
        <f>IF(VLOOKUP(#REF!,Dates,17,)&gt;0,VLOOKUP(#REF!,Dates,17,)-VLOOKUP(#REF!,Jobs,17,),"  ")</f>
        <v>#REF!</v>
      </c>
      <c r="J36" s="13"/>
      <c r="K36" s="46" t="str">
        <f t="shared" si="7"/>
        <v xml:space="preserve">  </v>
      </c>
      <c r="L36" s="50" t="str">
        <f t="shared" si="8"/>
        <v xml:space="preserve">  </v>
      </c>
      <c r="M36" s="46" t="str">
        <f t="shared" si="9"/>
        <v xml:space="preserve">  </v>
      </c>
      <c r="N36" s="50" t="str">
        <f t="shared" si="10"/>
        <v xml:space="preserve">  </v>
      </c>
      <c r="O36" s="46" t="str">
        <f t="shared" si="11"/>
        <v xml:space="preserve">  </v>
      </c>
      <c r="P36" s="50" t="str">
        <f t="shared" si="12"/>
        <v xml:space="preserve">  </v>
      </c>
      <c r="Q36" s="46" t="str">
        <f t="shared" si="13"/>
        <v xml:space="preserve">  </v>
      </c>
      <c r="R36" s="50" t="str">
        <f t="shared" si="14"/>
        <v xml:space="preserve">  </v>
      </c>
      <c r="S36" s="46" t="str">
        <f t="shared" si="15"/>
        <v xml:space="preserve">  </v>
      </c>
      <c r="T36" s="50" t="str">
        <f t="shared" si="16"/>
        <v xml:space="preserve">  </v>
      </c>
      <c r="U36" s="46" t="str">
        <f t="shared" si="17"/>
        <v xml:space="preserve">  </v>
      </c>
      <c r="V36" s="50" t="str">
        <f t="shared" si="18"/>
        <v xml:space="preserve">  </v>
      </c>
      <c r="W36" s="46" t="str">
        <f t="shared" si="19"/>
        <v xml:space="preserve">  </v>
      </c>
      <c r="X36" s="50" t="str">
        <f t="shared" si="20"/>
        <v xml:space="preserve">  </v>
      </c>
      <c r="Y36" s="46" t="str">
        <f t="shared" si="21"/>
        <v xml:space="preserve">  </v>
      </c>
      <c r="Z36" s="50" t="str">
        <f t="shared" si="22"/>
        <v xml:space="preserve">  </v>
      </c>
      <c r="AA36" s="46" t="str">
        <f t="shared" si="23"/>
        <v xml:space="preserve">  </v>
      </c>
      <c r="AB36" s="50" t="str">
        <f t="shared" si="24"/>
        <v xml:space="preserve">  </v>
      </c>
      <c r="AC36" s="46" t="str">
        <f t="shared" si="25"/>
        <v xml:space="preserve">  </v>
      </c>
      <c r="AD36" s="50" t="str">
        <f t="shared" si="26"/>
        <v xml:space="preserve">  </v>
      </c>
      <c r="AE36" s="46" t="str">
        <f t="shared" si="27"/>
        <v xml:space="preserve">  </v>
      </c>
      <c r="AF36" s="50" t="str">
        <f t="shared" si="28"/>
        <v xml:space="preserve">  </v>
      </c>
      <c r="AG36" s="15">
        <f t="shared" si="29"/>
        <v>46185</v>
      </c>
      <c r="AH36" s="15">
        <f>_xlfn.IFNA(IF(Y36="Y","DONE",VLOOKUP(A36,'Date Calcs from Ship Date'!A:AE,27,0)),"")</f>
        <v>46134</v>
      </c>
      <c r="AI36" s="40">
        <f t="shared" ca="1" si="31"/>
        <v>61</v>
      </c>
      <c r="AJ36" s="15">
        <f>_xlfn.IFNA(IF(AC36="Y","DONE",VLOOKUP(A36,'Date Calcs from Ship Date'!A:AE,29,0)),"")</f>
        <v>46134</v>
      </c>
      <c r="AK36" s="40">
        <f t="shared" ca="1" si="32"/>
        <v>61</v>
      </c>
      <c r="AL36" s="15">
        <f>_xlfn.IFNA(IF(AA36="Y","DONE",VLOOKUP(A36,'Date Calcs from Ship Date'!A:AI,28,0)),"")</f>
        <v>46141</v>
      </c>
      <c r="AM36" s="40">
        <f t="shared" ca="1" si="33"/>
        <v>68</v>
      </c>
      <c r="AN36" s="15">
        <f>IF(U36="Y","DONE",VLOOKUP(A36,'Date Calcs from Ship Date'!A:AE,25,0))</f>
        <v>46141</v>
      </c>
      <c r="AO36" s="40">
        <f t="shared" si="34"/>
        <v>7</v>
      </c>
      <c r="AP36" s="15">
        <f>IF(AE36="Y","DONE",VLOOKUP(A36,'Date Calcs from Ship Date'!A:AE,30,0))</f>
        <v>46148</v>
      </c>
      <c r="AQ36" s="40">
        <f t="shared" ca="1" si="35"/>
        <v>75</v>
      </c>
      <c r="AR36" s="15">
        <f>_xlfn.IFNA(VLOOKUP(A36,'Date Calcs from Ship Date'!A:C,3,0),"")</f>
        <v>46211</v>
      </c>
      <c r="AS36" s="40">
        <f t="shared" si="36"/>
        <v>-26</v>
      </c>
      <c r="AT36" s="40"/>
      <c r="AU36" s="15" t="str">
        <f t="shared" si="30"/>
        <v xml:space="preserve">  </v>
      </c>
      <c r="AV36" s="9"/>
    </row>
    <row r="37" spans="1:48" ht="23.25" x14ac:dyDescent="0.35">
      <c r="A37" s="93" t="s">
        <v>357</v>
      </c>
      <c r="B37" s="8" t="str">
        <f t="shared" si="0"/>
        <v>Kimberly Clark</v>
      </c>
      <c r="C37" s="13"/>
      <c r="D37" s="46" t="str">
        <f t="shared" si="1"/>
        <v>Y</v>
      </c>
      <c r="E37" s="50">
        <f t="shared" si="2"/>
        <v>7</v>
      </c>
      <c r="F37" s="46" t="str">
        <f t="shared" si="3"/>
        <v>Y</v>
      </c>
      <c r="G37" s="50">
        <f t="shared" si="4"/>
        <v>-1</v>
      </c>
      <c r="H37" s="46" t="str">
        <f>_xlfn.IFNA(IF(VLOOKUP($A40,Dates,17,)&gt;0,"Y","  "),"")</f>
        <v>Y</v>
      </c>
      <c r="I37" s="50">
        <f>IF(VLOOKUP($A40,Dates,17,)&gt;0,VLOOKUP($A40,Dates,17,)-VLOOKUP($A40,Jobs,17,),"  ")</f>
        <v>7</v>
      </c>
      <c r="J37" s="13"/>
      <c r="K37" s="46" t="str">
        <f t="shared" si="7"/>
        <v xml:space="preserve">  </v>
      </c>
      <c r="L37" s="50" t="str">
        <f t="shared" si="8"/>
        <v xml:space="preserve">  </v>
      </c>
      <c r="M37" s="46" t="str">
        <f t="shared" si="9"/>
        <v xml:space="preserve">  </v>
      </c>
      <c r="N37" s="50" t="str">
        <f t="shared" si="10"/>
        <v xml:space="preserve">  </v>
      </c>
      <c r="O37" s="46" t="str">
        <f t="shared" si="11"/>
        <v xml:space="preserve">  </v>
      </c>
      <c r="P37" s="50" t="str">
        <f t="shared" si="12"/>
        <v xml:space="preserve">  </v>
      </c>
      <c r="Q37" s="46" t="str">
        <f t="shared" si="13"/>
        <v xml:space="preserve">  </v>
      </c>
      <c r="R37" s="50" t="str">
        <f t="shared" si="14"/>
        <v xml:space="preserve">  </v>
      </c>
      <c r="S37" s="46" t="str">
        <f t="shared" si="15"/>
        <v xml:space="preserve">  </v>
      </c>
      <c r="T37" s="50" t="str">
        <f t="shared" si="16"/>
        <v xml:space="preserve">  </v>
      </c>
      <c r="U37" s="46" t="str">
        <f t="shared" si="17"/>
        <v xml:space="preserve">  </v>
      </c>
      <c r="V37" s="50" t="str">
        <f t="shared" si="18"/>
        <v xml:space="preserve">  </v>
      </c>
      <c r="W37" s="46" t="str">
        <f t="shared" si="19"/>
        <v xml:space="preserve">  </v>
      </c>
      <c r="X37" s="50" t="str">
        <f t="shared" si="20"/>
        <v xml:space="preserve">  </v>
      </c>
      <c r="Y37" s="46" t="str">
        <f t="shared" si="21"/>
        <v xml:space="preserve">  </v>
      </c>
      <c r="Z37" s="50" t="str">
        <f t="shared" si="22"/>
        <v xml:space="preserve">  </v>
      </c>
      <c r="AA37" s="46" t="str">
        <f t="shared" si="23"/>
        <v xml:space="preserve">  </v>
      </c>
      <c r="AB37" s="50" t="str">
        <f t="shared" si="24"/>
        <v xml:space="preserve">  </v>
      </c>
      <c r="AC37" s="46" t="str">
        <f t="shared" si="25"/>
        <v xml:space="preserve">  </v>
      </c>
      <c r="AD37" s="50" t="str">
        <f t="shared" si="26"/>
        <v xml:space="preserve">  </v>
      </c>
      <c r="AE37" s="46" t="str">
        <f t="shared" si="27"/>
        <v xml:space="preserve">  </v>
      </c>
      <c r="AF37" s="50" t="str">
        <f t="shared" si="28"/>
        <v xml:space="preserve">  </v>
      </c>
      <c r="AG37" s="15">
        <f t="shared" si="29"/>
        <v>46203</v>
      </c>
      <c r="AH37" s="15">
        <f>_xlfn.IFNA(IF(Y37="Y","DONE",VLOOKUP(A37,'Date Calcs from Ship Date'!A:AE,27,0)),"")</f>
        <v>46091</v>
      </c>
      <c r="AI37" s="40">
        <f t="shared" ca="1" si="31"/>
        <v>18</v>
      </c>
      <c r="AJ37" s="15">
        <f>_xlfn.IFNA(IF(AC37="Y","DONE",VLOOKUP(A37,'Date Calcs from Ship Date'!A:AE,29,0)),"")</f>
        <v>46091</v>
      </c>
      <c r="AK37" s="40">
        <f t="shared" ca="1" si="32"/>
        <v>18</v>
      </c>
      <c r="AL37" s="15">
        <f>_xlfn.IFNA(IF(AA37="Y","DONE",VLOOKUP(A37,'Date Calcs from Ship Date'!A:AI,28,0)),"")</f>
        <v>46098</v>
      </c>
      <c r="AM37" s="40">
        <f t="shared" ca="1" si="33"/>
        <v>25</v>
      </c>
      <c r="AN37" s="15">
        <f>IF(U37="Y","DONE",VLOOKUP(A37,'Date Calcs from Ship Date'!A:AE,25,0))</f>
        <v>46098</v>
      </c>
      <c r="AO37" s="40">
        <f t="shared" si="34"/>
        <v>7</v>
      </c>
      <c r="AP37" s="15">
        <f>IF(AE37="Y","DONE",VLOOKUP(A37,'Date Calcs from Ship Date'!A:AE,30,0))</f>
        <v>46105</v>
      </c>
      <c r="AQ37" s="40">
        <f t="shared" ca="1" si="35"/>
        <v>32</v>
      </c>
      <c r="AR37" s="15">
        <f>_xlfn.IFNA(VLOOKUP(A37,'Date Calcs from Ship Date'!A:C,3,0),"")</f>
        <v>46161</v>
      </c>
      <c r="AS37" s="40">
        <f t="shared" si="36"/>
        <v>42</v>
      </c>
      <c r="AT37" s="40"/>
      <c r="AU37" s="15" t="str">
        <f t="shared" si="30"/>
        <v xml:space="preserve">  </v>
      </c>
      <c r="AV37" s="9"/>
    </row>
    <row r="38" spans="1:48" ht="23.25" x14ac:dyDescent="0.35">
      <c r="A38" s="93" t="s">
        <v>358</v>
      </c>
      <c r="B38" s="8" t="str">
        <f t="shared" si="0"/>
        <v>Kimberly Clark</v>
      </c>
      <c r="C38" s="13"/>
      <c r="D38" s="46" t="str">
        <f t="shared" si="1"/>
        <v>Y</v>
      </c>
      <c r="E38" s="50">
        <f t="shared" si="2"/>
        <v>7</v>
      </c>
      <c r="F38" s="46" t="str">
        <f t="shared" si="3"/>
        <v>Y</v>
      </c>
      <c r="G38" s="50">
        <f t="shared" si="4"/>
        <v>-1</v>
      </c>
      <c r="H38" s="46" t="str">
        <f>_xlfn.IFNA(IF(VLOOKUP($A41,Dates,17,)&gt;0,"Y","  "),"")</f>
        <v>Y</v>
      </c>
      <c r="I38" s="50">
        <f>IF(VLOOKUP($A41,Dates,17,)&gt;0,VLOOKUP($A41,Dates,17,)-VLOOKUP($A41,Jobs,17,),"  ")</f>
        <v>6</v>
      </c>
      <c r="J38" s="13"/>
      <c r="K38" s="46" t="str">
        <f t="shared" si="7"/>
        <v xml:space="preserve">  </v>
      </c>
      <c r="L38" s="50" t="str">
        <f t="shared" si="8"/>
        <v xml:space="preserve">  </v>
      </c>
      <c r="M38" s="46" t="str">
        <f t="shared" si="9"/>
        <v xml:space="preserve">  </v>
      </c>
      <c r="N38" s="50" t="str">
        <f t="shared" si="10"/>
        <v xml:space="preserve">  </v>
      </c>
      <c r="O38" s="46" t="str">
        <f t="shared" si="11"/>
        <v xml:space="preserve">  </v>
      </c>
      <c r="P38" s="50" t="str">
        <f t="shared" si="12"/>
        <v xml:space="preserve">  </v>
      </c>
      <c r="Q38" s="46" t="str">
        <f t="shared" si="13"/>
        <v xml:space="preserve">  </v>
      </c>
      <c r="R38" s="50" t="str">
        <f t="shared" si="14"/>
        <v xml:space="preserve">  </v>
      </c>
      <c r="S38" s="46" t="str">
        <f t="shared" si="15"/>
        <v xml:space="preserve">  </v>
      </c>
      <c r="T38" s="50" t="str">
        <f t="shared" si="16"/>
        <v xml:space="preserve">  </v>
      </c>
      <c r="U38" s="46" t="str">
        <f t="shared" si="17"/>
        <v xml:space="preserve">  </v>
      </c>
      <c r="V38" s="50" t="str">
        <f t="shared" si="18"/>
        <v xml:space="preserve">  </v>
      </c>
      <c r="W38" s="46" t="str">
        <f t="shared" si="19"/>
        <v xml:space="preserve">  </v>
      </c>
      <c r="X38" s="50" t="str">
        <f t="shared" si="20"/>
        <v xml:space="preserve">  </v>
      </c>
      <c r="Y38" s="46" t="str">
        <f t="shared" si="21"/>
        <v xml:space="preserve">  </v>
      </c>
      <c r="Z38" s="50" t="str">
        <f t="shared" si="22"/>
        <v xml:space="preserve">  </v>
      </c>
      <c r="AA38" s="46" t="str">
        <f t="shared" si="23"/>
        <v xml:space="preserve">  </v>
      </c>
      <c r="AB38" s="50" t="str">
        <f t="shared" si="24"/>
        <v xml:space="preserve">  </v>
      </c>
      <c r="AC38" s="46" t="str">
        <f t="shared" si="25"/>
        <v xml:space="preserve">  </v>
      </c>
      <c r="AD38" s="50" t="str">
        <f t="shared" si="26"/>
        <v xml:space="preserve">  </v>
      </c>
      <c r="AE38" s="46" t="str">
        <f t="shared" si="27"/>
        <v xml:space="preserve">  </v>
      </c>
      <c r="AF38" s="50" t="str">
        <f t="shared" si="28"/>
        <v xml:space="preserve">  </v>
      </c>
      <c r="AG38" s="15">
        <f t="shared" si="29"/>
        <v>46203</v>
      </c>
      <c r="AH38" s="15">
        <f>_xlfn.IFNA(IF(Y38="Y","DONE",VLOOKUP(A38,'Date Calcs from Ship Date'!A:AE,27,0)),"")</f>
        <v>46092</v>
      </c>
      <c r="AI38" s="40">
        <f t="shared" ca="1" si="31"/>
        <v>19</v>
      </c>
      <c r="AJ38" s="15">
        <f>_xlfn.IFNA(IF(AC38="Y","DONE",VLOOKUP(A38,'Date Calcs from Ship Date'!A:AE,29,0)),"")</f>
        <v>46092</v>
      </c>
      <c r="AK38" s="40">
        <f t="shared" ca="1" si="32"/>
        <v>19</v>
      </c>
      <c r="AL38" s="15">
        <f>_xlfn.IFNA(IF(AA38="Y","DONE",VLOOKUP(A38,'Date Calcs from Ship Date'!A:AI,28,0)),"")</f>
        <v>46099</v>
      </c>
      <c r="AM38" s="40">
        <f t="shared" ca="1" si="33"/>
        <v>26</v>
      </c>
      <c r="AN38" s="15">
        <f>IF(U38="Y","DONE",VLOOKUP(A38,'Date Calcs from Ship Date'!A:AE,25,0))</f>
        <v>46099</v>
      </c>
      <c r="AO38" s="40">
        <f t="shared" si="34"/>
        <v>7</v>
      </c>
      <c r="AP38" s="15">
        <f>IF(AE38="Y","DONE",VLOOKUP(A38,'Date Calcs from Ship Date'!A:AE,30,0))</f>
        <v>46106</v>
      </c>
      <c r="AQ38" s="40">
        <f t="shared" ca="1" si="35"/>
        <v>33</v>
      </c>
      <c r="AR38" s="15">
        <f>_xlfn.IFNA(VLOOKUP(A38,'Date Calcs from Ship Date'!A:C,3,0),"")</f>
        <v>46162</v>
      </c>
      <c r="AS38" s="40">
        <f t="shared" si="36"/>
        <v>41</v>
      </c>
      <c r="AT38" s="40"/>
      <c r="AU38" s="15" t="str">
        <f t="shared" si="30"/>
        <v xml:space="preserve">  </v>
      </c>
      <c r="AV38" s="9"/>
    </row>
    <row r="39" spans="1:48" ht="23.25" x14ac:dyDescent="0.35">
      <c r="A39" s="93" t="s">
        <v>359</v>
      </c>
      <c r="B39" s="8" t="str">
        <f t="shared" si="0"/>
        <v>Kimberly Clark</v>
      </c>
      <c r="C39" s="13"/>
      <c r="D39" s="46" t="str">
        <f t="shared" si="1"/>
        <v>Y</v>
      </c>
      <c r="E39" s="50">
        <f t="shared" si="2"/>
        <v>7</v>
      </c>
      <c r="F39" s="46" t="str">
        <f t="shared" si="3"/>
        <v>Y</v>
      </c>
      <c r="G39" s="50">
        <f t="shared" si="4"/>
        <v>-1</v>
      </c>
      <c r="H39" s="46" t="str">
        <f>_xlfn.IFNA(IF(VLOOKUP($A42,Dates,17,)&gt;0,"Y","  "),"")</f>
        <v>Y</v>
      </c>
      <c r="I39" s="50">
        <f>IF(VLOOKUP($A42,Dates,17,)&gt;0,VLOOKUP($A42,Dates,17,)-VLOOKUP($A42,Jobs,17,),"  ")</f>
        <v>6</v>
      </c>
      <c r="J39" s="13"/>
      <c r="K39" s="46" t="str">
        <f t="shared" si="7"/>
        <v xml:space="preserve">  </v>
      </c>
      <c r="L39" s="50" t="str">
        <f t="shared" si="8"/>
        <v xml:space="preserve">  </v>
      </c>
      <c r="M39" s="46" t="str">
        <f t="shared" si="9"/>
        <v xml:space="preserve">  </v>
      </c>
      <c r="N39" s="50" t="str">
        <f t="shared" si="10"/>
        <v xml:space="preserve">  </v>
      </c>
      <c r="O39" s="46" t="str">
        <f t="shared" si="11"/>
        <v xml:space="preserve">  </v>
      </c>
      <c r="P39" s="50" t="str">
        <f t="shared" si="12"/>
        <v xml:space="preserve">  </v>
      </c>
      <c r="Q39" s="46" t="str">
        <f t="shared" si="13"/>
        <v xml:space="preserve">  </v>
      </c>
      <c r="R39" s="50" t="str">
        <f t="shared" si="14"/>
        <v xml:space="preserve">  </v>
      </c>
      <c r="S39" s="46" t="str">
        <f t="shared" si="15"/>
        <v xml:space="preserve">  </v>
      </c>
      <c r="T39" s="50" t="str">
        <f t="shared" si="16"/>
        <v xml:space="preserve">  </v>
      </c>
      <c r="U39" s="46" t="str">
        <f t="shared" si="17"/>
        <v xml:space="preserve">  </v>
      </c>
      <c r="V39" s="50" t="str">
        <f t="shared" si="18"/>
        <v xml:space="preserve">  </v>
      </c>
      <c r="W39" s="46" t="str">
        <f t="shared" si="19"/>
        <v xml:space="preserve">  </v>
      </c>
      <c r="X39" s="50" t="str">
        <f t="shared" si="20"/>
        <v xml:space="preserve">  </v>
      </c>
      <c r="Y39" s="46" t="str">
        <f t="shared" si="21"/>
        <v xml:space="preserve">  </v>
      </c>
      <c r="Z39" s="50" t="str">
        <f t="shared" si="22"/>
        <v xml:space="preserve">  </v>
      </c>
      <c r="AA39" s="46" t="str">
        <f t="shared" si="23"/>
        <v xml:space="preserve">  </v>
      </c>
      <c r="AB39" s="50" t="str">
        <f t="shared" si="24"/>
        <v xml:space="preserve">  </v>
      </c>
      <c r="AC39" s="46" t="str">
        <f t="shared" si="25"/>
        <v xml:space="preserve">  </v>
      </c>
      <c r="AD39" s="50" t="str">
        <f t="shared" si="26"/>
        <v xml:space="preserve">  </v>
      </c>
      <c r="AE39" s="46" t="str">
        <f t="shared" si="27"/>
        <v xml:space="preserve">  </v>
      </c>
      <c r="AF39" s="50" t="str">
        <f t="shared" si="28"/>
        <v xml:space="preserve">  </v>
      </c>
      <c r="AG39" s="15">
        <f t="shared" si="29"/>
        <v>46177</v>
      </c>
      <c r="AH39" s="15">
        <f>_xlfn.IFNA(IF(Y39="Y","DONE",VLOOKUP(A39,'Date Calcs from Ship Date'!A:AE,27,0)),"")</f>
        <v>46092</v>
      </c>
      <c r="AI39" s="40">
        <f t="shared" ca="1" si="31"/>
        <v>19</v>
      </c>
      <c r="AJ39" s="15">
        <f>_xlfn.IFNA(IF(AC39="Y","DONE",VLOOKUP(A39,'Date Calcs from Ship Date'!A:AE,29,0)),"")</f>
        <v>46092</v>
      </c>
      <c r="AK39" s="40">
        <f t="shared" ca="1" si="32"/>
        <v>19</v>
      </c>
      <c r="AL39" s="15">
        <f>_xlfn.IFNA(IF(AA39="Y","DONE",VLOOKUP(A39,'Date Calcs from Ship Date'!A:AI,28,0)),"")</f>
        <v>46099</v>
      </c>
      <c r="AM39" s="40">
        <f t="shared" ca="1" si="33"/>
        <v>26</v>
      </c>
      <c r="AN39" s="15">
        <f>IF(U39="Y","DONE",VLOOKUP(A39,'Date Calcs from Ship Date'!A:AE,25,0))</f>
        <v>46099</v>
      </c>
      <c r="AO39" s="40">
        <f t="shared" si="34"/>
        <v>7</v>
      </c>
      <c r="AP39" s="15">
        <f>IF(AE39="Y","DONE",VLOOKUP(A39,'Date Calcs from Ship Date'!A:AE,30,0))</f>
        <v>46106</v>
      </c>
      <c r="AQ39" s="40">
        <f t="shared" ca="1" si="35"/>
        <v>33</v>
      </c>
      <c r="AR39" s="15">
        <f>_xlfn.IFNA(VLOOKUP(A39,'Date Calcs from Ship Date'!A:C,3,0),"")</f>
        <v>46162</v>
      </c>
      <c r="AS39" s="40">
        <f t="shared" si="36"/>
        <v>15</v>
      </c>
      <c r="AT39" s="40"/>
      <c r="AU39" s="15" t="str">
        <f t="shared" si="30"/>
        <v xml:space="preserve">  </v>
      </c>
      <c r="AV39" s="9"/>
    </row>
    <row r="40" spans="1:48" ht="23.25" x14ac:dyDescent="0.35">
      <c r="A40" s="93" t="s">
        <v>361</v>
      </c>
      <c r="B40" s="8" t="str">
        <f t="shared" si="0"/>
        <v>Synthomer</v>
      </c>
      <c r="C40" s="13"/>
      <c r="D40" s="46" t="str">
        <f t="shared" si="1"/>
        <v>Y</v>
      </c>
      <c r="E40" s="50">
        <f t="shared" si="2"/>
        <v>2</v>
      </c>
      <c r="F40" s="46" t="str">
        <f t="shared" si="3"/>
        <v xml:space="preserve">  </v>
      </c>
      <c r="G40" s="50" t="str">
        <f t="shared" si="4"/>
        <v xml:space="preserve">  </v>
      </c>
      <c r="H40" s="46" t="str">
        <f t="shared" si="5"/>
        <v>Y</v>
      </c>
      <c r="I40" s="50">
        <f t="shared" si="6"/>
        <v>-1</v>
      </c>
      <c r="J40" s="13"/>
      <c r="K40" s="46" t="str">
        <f t="shared" si="7"/>
        <v xml:space="preserve">  </v>
      </c>
      <c r="L40" s="50" t="str">
        <f t="shared" si="8"/>
        <v xml:space="preserve">  </v>
      </c>
      <c r="M40" s="46" t="str">
        <f t="shared" si="9"/>
        <v xml:space="preserve">  </v>
      </c>
      <c r="N40" s="50" t="str">
        <f t="shared" si="10"/>
        <v xml:space="preserve">  </v>
      </c>
      <c r="O40" s="46" t="str">
        <f t="shared" si="11"/>
        <v xml:space="preserve">  </v>
      </c>
      <c r="P40" s="50" t="str">
        <f t="shared" si="12"/>
        <v xml:space="preserve">  </v>
      </c>
      <c r="Q40" s="46" t="str">
        <f t="shared" si="13"/>
        <v xml:space="preserve">  </v>
      </c>
      <c r="R40" s="50" t="str">
        <f t="shared" si="14"/>
        <v xml:space="preserve">  </v>
      </c>
      <c r="S40" s="46" t="str">
        <f t="shared" si="15"/>
        <v xml:space="preserve">  </v>
      </c>
      <c r="T40" s="50" t="str">
        <f t="shared" si="16"/>
        <v xml:space="preserve">  </v>
      </c>
      <c r="U40" s="46" t="str">
        <f t="shared" si="17"/>
        <v xml:space="preserve">  </v>
      </c>
      <c r="V40" s="50" t="str">
        <f t="shared" si="18"/>
        <v xml:space="preserve">  </v>
      </c>
      <c r="W40" s="46" t="str">
        <f t="shared" si="19"/>
        <v xml:space="preserve">  </v>
      </c>
      <c r="X40" s="50" t="str">
        <f t="shared" si="20"/>
        <v xml:space="preserve">  </v>
      </c>
      <c r="Y40" s="46" t="str">
        <f t="shared" si="21"/>
        <v xml:space="preserve">  </v>
      </c>
      <c r="Z40" s="50" t="str">
        <f t="shared" si="22"/>
        <v xml:space="preserve">  </v>
      </c>
      <c r="AA40" s="46" t="str">
        <f t="shared" si="23"/>
        <v xml:space="preserve">  </v>
      </c>
      <c r="AB40" s="50" t="str">
        <f t="shared" si="24"/>
        <v xml:space="preserve">  </v>
      </c>
      <c r="AC40" s="46" t="str">
        <f t="shared" si="25"/>
        <v xml:space="preserve">  </v>
      </c>
      <c r="AD40" s="50" t="str">
        <f t="shared" si="26"/>
        <v xml:space="preserve">  </v>
      </c>
      <c r="AE40" s="46" t="str">
        <f t="shared" si="27"/>
        <v xml:space="preserve">  </v>
      </c>
      <c r="AF40" s="50" t="str">
        <f t="shared" si="28"/>
        <v xml:space="preserve">  </v>
      </c>
      <c r="AG40" s="15">
        <f t="shared" si="29"/>
        <v>46188</v>
      </c>
      <c r="AH40" s="15">
        <f>_xlfn.IFNA(IF(Y40="Y","DONE",VLOOKUP(A40,'Date Calcs from Ship Date'!A:AE,27,0)),"")</f>
        <v>46114</v>
      </c>
      <c r="AI40" s="40">
        <f t="shared" ca="1" si="31"/>
        <v>41</v>
      </c>
      <c r="AJ40" s="15">
        <f>_xlfn.IFNA(IF(AC40="Y","DONE",VLOOKUP(A40,'Date Calcs from Ship Date'!A:AE,29,0)),"")</f>
        <v>46114</v>
      </c>
      <c r="AK40" s="40">
        <f t="shared" ca="1" si="32"/>
        <v>41</v>
      </c>
      <c r="AL40" s="15">
        <f>_xlfn.IFNA(IF(AA40="Y","DONE",VLOOKUP(A40,'Date Calcs from Ship Date'!A:AI,28,0)),"")</f>
        <v>46121</v>
      </c>
      <c r="AM40" s="40">
        <f t="shared" ca="1" si="33"/>
        <v>48</v>
      </c>
      <c r="AN40" s="15">
        <f>IF(U40="Y","DONE",VLOOKUP(A40,'Date Calcs from Ship Date'!A:AE,25,0))</f>
        <v>46121</v>
      </c>
      <c r="AO40" s="40">
        <f t="shared" si="34"/>
        <v>7</v>
      </c>
      <c r="AP40" s="15">
        <f>IF(AE40="Y","DONE",VLOOKUP(A40,'Date Calcs from Ship Date'!A:AE,30,0))</f>
        <v>46128</v>
      </c>
      <c r="AQ40" s="40">
        <f t="shared" ca="1" si="35"/>
        <v>55</v>
      </c>
      <c r="AR40" s="15">
        <f>_xlfn.IFNA(VLOOKUP(A40,'Date Calcs from Ship Date'!A:C,3,0),"")</f>
        <v>46184</v>
      </c>
      <c r="AS40" s="40">
        <f t="shared" si="36"/>
        <v>4</v>
      </c>
      <c r="AT40" s="40"/>
      <c r="AU40" s="15" t="str">
        <f t="shared" si="30"/>
        <v xml:space="preserve">  </v>
      </c>
      <c r="AV40" s="9"/>
    </row>
    <row r="41" spans="1:48" ht="23.25" x14ac:dyDescent="0.35">
      <c r="A41" s="93" t="s">
        <v>362</v>
      </c>
      <c r="B41" s="8" t="str">
        <f t="shared" si="0"/>
        <v>Sylvamo</v>
      </c>
      <c r="C41" s="13"/>
      <c r="D41" s="46" t="str">
        <f t="shared" si="1"/>
        <v>Y</v>
      </c>
      <c r="E41" s="50">
        <f t="shared" si="2"/>
        <v>2</v>
      </c>
      <c r="F41" s="46" t="str">
        <f t="shared" si="3"/>
        <v>Y</v>
      </c>
      <c r="G41" s="50">
        <f t="shared" si="4"/>
        <v>6</v>
      </c>
      <c r="H41" s="46" t="str">
        <f t="shared" si="5"/>
        <v>Y</v>
      </c>
      <c r="I41" s="50">
        <f t="shared" si="6"/>
        <v>-1</v>
      </c>
      <c r="J41" s="13"/>
      <c r="K41" s="46" t="str">
        <f t="shared" si="7"/>
        <v xml:space="preserve">  </v>
      </c>
      <c r="L41" s="50" t="str">
        <f t="shared" si="8"/>
        <v xml:space="preserve">  </v>
      </c>
      <c r="M41" s="46" t="str">
        <f t="shared" si="9"/>
        <v xml:space="preserve">  </v>
      </c>
      <c r="N41" s="50" t="str">
        <f t="shared" si="10"/>
        <v xml:space="preserve">  </v>
      </c>
      <c r="O41" s="46" t="str">
        <f t="shared" si="11"/>
        <v xml:space="preserve">  </v>
      </c>
      <c r="P41" s="50" t="str">
        <f t="shared" si="12"/>
        <v xml:space="preserve">  </v>
      </c>
      <c r="Q41" s="46" t="str">
        <f t="shared" si="13"/>
        <v xml:space="preserve">  </v>
      </c>
      <c r="R41" s="50" t="str">
        <f t="shared" si="14"/>
        <v xml:space="preserve">  </v>
      </c>
      <c r="S41" s="46" t="str">
        <f t="shared" si="15"/>
        <v xml:space="preserve">  </v>
      </c>
      <c r="T41" s="50" t="str">
        <f t="shared" si="16"/>
        <v xml:space="preserve">  </v>
      </c>
      <c r="U41" s="46" t="str">
        <f t="shared" si="17"/>
        <v xml:space="preserve">  </v>
      </c>
      <c r="V41" s="50" t="str">
        <f t="shared" si="18"/>
        <v xml:space="preserve">  </v>
      </c>
      <c r="W41" s="46" t="str">
        <f t="shared" si="19"/>
        <v xml:space="preserve">  </v>
      </c>
      <c r="X41" s="50" t="str">
        <f t="shared" si="20"/>
        <v xml:space="preserve">  </v>
      </c>
      <c r="Y41" s="46" t="str">
        <f t="shared" si="21"/>
        <v xml:space="preserve">  </v>
      </c>
      <c r="Z41" s="50" t="str">
        <f t="shared" si="22"/>
        <v xml:space="preserve">  </v>
      </c>
      <c r="AA41" s="46" t="str">
        <f t="shared" si="23"/>
        <v xml:space="preserve">  </v>
      </c>
      <c r="AB41" s="50" t="str">
        <f t="shared" si="24"/>
        <v xml:space="preserve">  </v>
      </c>
      <c r="AC41" s="46" t="str">
        <f t="shared" si="25"/>
        <v xml:space="preserve">  </v>
      </c>
      <c r="AD41" s="50" t="str">
        <f t="shared" si="26"/>
        <v xml:space="preserve">  </v>
      </c>
      <c r="AE41" s="46" t="str">
        <f t="shared" si="27"/>
        <v xml:space="preserve">  </v>
      </c>
      <c r="AF41" s="50" t="str">
        <f t="shared" si="28"/>
        <v xml:space="preserve">  </v>
      </c>
      <c r="AG41" s="15">
        <f t="shared" si="29"/>
        <v>46183</v>
      </c>
      <c r="AH41" s="15">
        <f>_xlfn.IFNA(IF(Y41="Y","DONE",VLOOKUP(A41,'Date Calcs from Ship Date'!A:AE,27,0)),"")</f>
        <v>46092</v>
      </c>
      <c r="AI41" s="40">
        <f t="shared" ca="1" si="31"/>
        <v>19</v>
      </c>
      <c r="AJ41" s="15">
        <f>_xlfn.IFNA(IF(AC41="Y","DONE",VLOOKUP(A41,'Date Calcs from Ship Date'!A:AE,29,0)),"")</f>
        <v>46092</v>
      </c>
      <c r="AK41" s="40">
        <f t="shared" ca="1" si="32"/>
        <v>19</v>
      </c>
      <c r="AL41" s="15">
        <f>_xlfn.IFNA(IF(AA41="Y","DONE",VLOOKUP(A41,'Date Calcs from Ship Date'!A:AI,28,0)),"")</f>
        <v>46099</v>
      </c>
      <c r="AM41" s="40">
        <f t="shared" ca="1" si="33"/>
        <v>26</v>
      </c>
      <c r="AN41" s="15">
        <f>IF(U41="Y","DONE",VLOOKUP(A41,'Date Calcs from Ship Date'!A:AE,25,0))</f>
        <v>46099</v>
      </c>
      <c r="AO41" s="40">
        <f t="shared" si="34"/>
        <v>7</v>
      </c>
      <c r="AP41" s="15">
        <f>IF(AE41="Y","DONE",VLOOKUP(A41,'Date Calcs from Ship Date'!A:AE,30,0))</f>
        <v>46106</v>
      </c>
      <c r="AQ41" s="40">
        <f t="shared" ca="1" si="35"/>
        <v>33</v>
      </c>
      <c r="AR41" s="15">
        <f>_xlfn.IFNA(VLOOKUP(A41,'Date Calcs from Ship Date'!A:C,3,0),"")</f>
        <v>46162</v>
      </c>
      <c r="AS41" s="40">
        <f t="shared" si="36"/>
        <v>21</v>
      </c>
      <c r="AT41" s="40"/>
      <c r="AU41" s="15" t="str">
        <f t="shared" si="30"/>
        <v xml:space="preserve">  </v>
      </c>
      <c r="AV41" s="9"/>
    </row>
    <row r="42" spans="1:48" ht="23.25" x14ac:dyDescent="0.35">
      <c r="A42" s="93" t="s">
        <v>363</v>
      </c>
      <c r="B42" s="8" t="str">
        <f t="shared" si="0"/>
        <v>Sylvamo</v>
      </c>
      <c r="C42" s="13"/>
      <c r="D42" s="46" t="str">
        <f t="shared" si="1"/>
        <v>Y</v>
      </c>
      <c r="E42" s="50">
        <f t="shared" si="2"/>
        <v>3</v>
      </c>
      <c r="F42" s="46" t="str">
        <f t="shared" si="3"/>
        <v>Y</v>
      </c>
      <c r="G42" s="50">
        <f t="shared" si="4"/>
        <v>6</v>
      </c>
      <c r="H42" s="46" t="str">
        <f t="shared" si="5"/>
        <v>Y</v>
      </c>
      <c r="I42" s="50">
        <f t="shared" si="6"/>
        <v>-4</v>
      </c>
      <c r="J42" s="13"/>
      <c r="K42" s="46" t="str">
        <f t="shared" si="7"/>
        <v xml:space="preserve">  </v>
      </c>
      <c r="L42" s="50" t="str">
        <f t="shared" si="8"/>
        <v xml:space="preserve">  </v>
      </c>
      <c r="M42" s="46" t="str">
        <f t="shared" si="9"/>
        <v xml:space="preserve">  </v>
      </c>
      <c r="N42" s="50" t="str">
        <f t="shared" si="10"/>
        <v xml:space="preserve">  </v>
      </c>
      <c r="O42" s="46" t="str">
        <f t="shared" si="11"/>
        <v xml:space="preserve">  </v>
      </c>
      <c r="P42" s="50" t="str">
        <f t="shared" si="12"/>
        <v xml:space="preserve">  </v>
      </c>
      <c r="Q42" s="46" t="str">
        <f t="shared" si="13"/>
        <v xml:space="preserve">  </v>
      </c>
      <c r="R42" s="50" t="str">
        <f t="shared" si="14"/>
        <v xml:space="preserve">  </v>
      </c>
      <c r="S42" s="46" t="str">
        <f t="shared" si="15"/>
        <v xml:space="preserve">  </v>
      </c>
      <c r="T42" s="50" t="str">
        <f t="shared" si="16"/>
        <v xml:space="preserve">  </v>
      </c>
      <c r="U42" s="46" t="str">
        <f t="shared" si="17"/>
        <v xml:space="preserve">  </v>
      </c>
      <c r="V42" s="50" t="str">
        <f t="shared" si="18"/>
        <v xml:space="preserve">  </v>
      </c>
      <c r="W42" s="46" t="str">
        <f t="shared" si="19"/>
        <v xml:space="preserve">  </v>
      </c>
      <c r="X42" s="50" t="str">
        <f t="shared" si="20"/>
        <v xml:space="preserve">  </v>
      </c>
      <c r="Y42" s="46" t="str">
        <f t="shared" si="21"/>
        <v xml:space="preserve">  </v>
      </c>
      <c r="Z42" s="50" t="str">
        <f t="shared" si="22"/>
        <v xml:space="preserve">  </v>
      </c>
      <c r="AA42" s="46" t="str">
        <f t="shared" si="23"/>
        <v xml:space="preserve">  </v>
      </c>
      <c r="AB42" s="50" t="str">
        <f t="shared" si="24"/>
        <v xml:space="preserve">  </v>
      </c>
      <c r="AC42" s="46" t="str">
        <f t="shared" si="25"/>
        <v xml:space="preserve">  </v>
      </c>
      <c r="AD42" s="50" t="str">
        <f t="shared" si="26"/>
        <v xml:space="preserve">  </v>
      </c>
      <c r="AE42" s="46" t="str">
        <f t="shared" si="27"/>
        <v xml:space="preserve">  </v>
      </c>
      <c r="AF42" s="50" t="str">
        <f t="shared" si="28"/>
        <v xml:space="preserve">  </v>
      </c>
      <c r="AG42" s="15">
        <f t="shared" si="29"/>
        <v>46183</v>
      </c>
      <c r="AH42" s="15">
        <f>_xlfn.IFNA(IF(Y42="Y","DONE",VLOOKUP(A42,'Date Calcs from Ship Date'!A:AE,27,0)),"")</f>
        <v>46092</v>
      </c>
      <c r="AI42" s="40">
        <f t="shared" ca="1" si="31"/>
        <v>19</v>
      </c>
      <c r="AJ42" s="15">
        <f>_xlfn.IFNA(IF(AC42="Y","DONE",VLOOKUP(A42,'Date Calcs from Ship Date'!A:AE,29,0)),"")</f>
        <v>46092</v>
      </c>
      <c r="AK42" s="40">
        <f t="shared" ca="1" si="32"/>
        <v>19</v>
      </c>
      <c r="AL42" s="15">
        <f>_xlfn.IFNA(IF(AA42="Y","DONE",VLOOKUP(A42,'Date Calcs from Ship Date'!A:AI,28,0)),"")</f>
        <v>46099</v>
      </c>
      <c r="AM42" s="40">
        <f t="shared" ca="1" si="33"/>
        <v>26</v>
      </c>
      <c r="AN42" s="15">
        <f>IF(U42="Y","DONE",VLOOKUP(A42,'Date Calcs from Ship Date'!A:AE,25,0))</f>
        <v>46099</v>
      </c>
      <c r="AO42" s="40">
        <f t="shared" si="34"/>
        <v>7</v>
      </c>
      <c r="AP42" s="15">
        <f>IF(AE42="Y","DONE",VLOOKUP(A42,'Date Calcs from Ship Date'!A:AE,30,0))</f>
        <v>46106</v>
      </c>
      <c r="AQ42" s="40">
        <f t="shared" ca="1" si="35"/>
        <v>33</v>
      </c>
      <c r="AR42" s="15">
        <f>_xlfn.IFNA(VLOOKUP(A42,'Date Calcs from Ship Date'!A:C,3,0),"")</f>
        <v>46162</v>
      </c>
      <c r="AS42" s="40">
        <f t="shared" si="36"/>
        <v>21</v>
      </c>
      <c r="AT42" s="40"/>
      <c r="AU42" s="15" t="str">
        <f t="shared" si="30"/>
        <v xml:space="preserve">  </v>
      </c>
      <c r="AV42" s="9"/>
    </row>
    <row r="43" spans="1:48" ht="23.25" x14ac:dyDescent="0.35">
      <c r="A43" s="93" t="s">
        <v>365</v>
      </c>
      <c r="B43" s="8" t="str">
        <f t="shared" si="0"/>
        <v>SNF</v>
      </c>
      <c r="C43" s="13"/>
      <c r="D43" s="46" t="str">
        <f t="shared" si="1"/>
        <v>Y</v>
      </c>
      <c r="E43" s="50">
        <f t="shared" si="2"/>
        <v>0</v>
      </c>
      <c r="F43" s="46" t="str">
        <f t="shared" si="3"/>
        <v>Y</v>
      </c>
      <c r="G43" s="50">
        <f t="shared" si="4"/>
        <v>3</v>
      </c>
      <c r="H43" s="46" t="str">
        <f t="shared" si="5"/>
        <v>Y</v>
      </c>
      <c r="I43" s="50">
        <f t="shared" si="6"/>
        <v>1</v>
      </c>
      <c r="J43" s="13"/>
      <c r="K43" s="46" t="str">
        <f t="shared" si="7"/>
        <v xml:space="preserve">  </v>
      </c>
      <c r="L43" s="50" t="str">
        <f t="shared" si="8"/>
        <v xml:space="preserve">  </v>
      </c>
      <c r="M43" s="46" t="str">
        <f t="shared" si="9"/>
        <v xml:space="preserve">  </v>
      </c>
      <c r="N43" s="50" t="str">
        <f t="shared" si="10"/>
        <v xml:space="preserve">  </v>
      </c>
      <c r="O43" s="46" t="str">
        <f t="shared" si="11"/>
        <v xml:space="preserve">  </v>
      </c>
      <c r="P43" s="50" t="str">
        <f t="shared" si="12"/>
        <v xml:space="preserve">  </v>
      </c>
      <c r="Q43" s="46" t="str">
        <f t="shared" si="13"/>
        <v xml:space="preserve">  </v>
      </c>
      <c r="R43" s="50" t="str">
        <f t="shared" si="14"/>
        <v xml:space="preserve">  </v>
      </c>
      <c r="S43" s="46" t="str">
        <f t="shared" si="15"/>
        <v xml:space="preserve">  </v>
      </c>
      <c r="T43" s="50" t="str">
        <f t="shared" si="16"/>
        <v xml:space="preserve">  </v>
      </c>
      <c r="U43" s="46" t="str">
        <f t="shared" si="17"/>
        <v xml:space="preserve">  </v>
      </c>
      <c r="V43" s="50" t="str">
        <f t="shared" si="18"/>
        <v xml:space="preserve">  </v>
      </c>
      <c r="W43" s="46" t="str">
        <f t="shared" si="19"/>
        <v xml:space="preserve">  </v>
      </c>
      <c r="X43" s="50" t="str">
        <f t="shared" si="20"/>
        <v xml:space="preserve">  </v>
      </c>
      <c r="Y43" s="46" t="str">
        <f t="shared" si="21"/>
        <v xml:space="preserve">  </v>
      </c>
      <c r="Z43" s="50" t="str">
        <f t="shared" si="22"/>
        <v xml:space="preserve">  </v>
      </c>
      <c r="AA43" s="46" t="str">
        <f t="shared" si="23"/>
        <v xml:space="preserve">  </v>
      </c>
      <c r="AB43" s="50" t="str">
        <f t="shared" si="24"/>
        <v xml:space="preserve">  </v>
      </c>
      <c r="AC43" s="46" t="str">
        <f t="shared" si="25"/>
        <v xml:space="preserve">  </v>
      </c>
      <c r="AD43" s="50" t="str">
        <f t="shared" si="26"/>
        <v xml:space="preserve">  </v>
      </c>
      <c r="AE43" s="46" t="str">
        <f t="shared" si="27"/>
        <v xml:space="preserve">  </v>
      </c>
      <c r="AF43" s="50" t="str">
        <f t="shared" si="28"/>
        <v xml:space="preserve">  </v>
      </c>
      <c r="AG43" s="15">
        <f t="shared" si="29"/>
        <v>46206</v>
      </c>
      <c r="AH43" s="15">
        <f>_xlfn.IFNA(IF(Y43="Y","DONE",VLOOKUP(A43,'Date Calcs from Ship Date'!A:AE,27,0)),"")</f>
        <v>46133</v>
      </c>
      <c r="AI43" s="40">
        <f t="shared" ca="1" si="31"/>
        <v>60</v>
      </c>
      <c r="AJ43" s="15">
        <f>_xlfn.IFNA(IF(AC43="Y","DONE",VLOOKUP(A43,'Date Calcs from Ship Date'!A:AE,29,0)),"")</f>
        <v>46133</v>
      </c>
      <c r="AK43" s="40">
        <f t="shared" ca="1" si="32"/>
        <v>60</v>
      </c>
      <c r="AL43" s="15">
        <f>_xlfn.IFNA(IF(AA43="Y","DONE",VLOOKUP(A43,'Date Calcs from Ship Date'!A:AI,28,0)),"")</f>
        <v>46140</v>
      </c>
      <c r="AM43" s="40">
        <f t="shared" ca="1" si="33"/>
        <v>67</v>
      </c>
      <c r="AN43" s="15">
        <f>IF(U43="Y","DONE",VLOOKUP(A43,'Date Calcs from Ship Date'!A:AE,25,0))</f>
        <v>46140</v>
      </c>
      <c r="AO43" s="40">
        <f t="shared" si="34"/>
        <v>7</v>
      </c>
      <c r="AP43" s="15">
        <f>IF(AE43="Y","DONE",VLOOKUP(A43,'Date Calcs from Ship Date'!A:AE,30,0))</f>
        <v>46147</v>
      </c>
      <c r="AQ43" s="40">
        <f t="shared" ca="1" si="35"/>
        <v>74</v>
      </c>
      <c r="AR43" s="15">
        <f>_xlfn.IFNA(VLOOKUP(A43,'Date Calcs from Ship Date'!A:C,3,0),"")</f>
        <v>46203</v>
      </c>
      <c r="AS43" s="40">
        <f t="shared" si="36"/>
        <v>3</v>
      </c>
      <c r="AT43" s="40"/>
      <c r="AU43" s="15" t="str">
        <f t="shared" si="30"/>
        <v xml:space="preserve">  </v>
      </c>
      <c r="AV43" s="9"/>
    </row>
    <row r="44" spans="1:48" ht="23.25" x14ac:dyDescent="0.35">
      <c r="A44" s="93" t="s">
        <v>366</v>
      </c>
      <c r="B44" s="8" t="str">
        <f t="shared" si="0"/>
        <v>SNF</v>
      </c>
      <c r="C44" s="13"/>
      <c r="D44" s="46" t="str">
        <f t="shared" si="1"/>
        <v>Y</v>
      </c>
      <c r="E44" s="50">
        <f t="shared" si="2"/>
        <v>0</v>
      </c>
      <c r="F44" s="46" t="str">
        <f t="shared" si="3"/>
        <v>Y</v>
      </c>
      <c r="G44" s="50">
        <f t="shared" si="4"/>
        <v>3</v>
      </c>
      <c r="H44" s="46" t="str">
        <f t="shared" si="5"/>
        <v xml:space="preserve">  </v>
      </c>
      <c r="I44" s="50" t="str">
        <f t="shared" si="6"/>
        <v xml:space="preserve">  </v>
      </c>
      <c r="J44" s="13"/>
      <c r="K44" s="46" t="str">
        <f t="shared" si="7"/>
        <v xml:space="preserve">  </v>
      </c>
      <c r="L44" s="50" t="str">
        <f t="shared" si="8"/>
        <v xml:space="preserve">  </v>
      </c>
      <c r="M44" s="46" t="str">
        <f t="shared" si="9"/>
        <v xml:space="preserve">  </v>
      </c>
      <c r="N44" s="50" t="str">
        <f t="shared" si="10"/>
        <v xml:space="preserve">  </v>
      </c>
      <c r="O44" s="46" t="str">
        <f t="shared" si="11"/>
        <v xml:space="preserve">  </v>
      </c>
      <c r="P44" s="50" t="str">
        <f t="shared" si="12"/>
        <v xml:space="preserve">  </v>
      </c>
      <c r="Q44" s="46" t="str">
        <f t="shared" si="13"/>
        <v xml:space="preserve">  </v>
      </c>
      <c r="R44" s="50" t="str">
        <f t="shared" si="14"/>
        <v xml:space="preserve">  </v>
      </c>
      <c r="S44" s="46" t="str">
        <f t="shared" si="15"/>
        <v xml:space="preserve">  </v>
      </c>
      <c r="T44" s="50" t="str">
        <f t="shared" si="16"/>
        <v xml:space="preserve">  </v>
      </c>
      <c r="U44" s="46" t="str">
        <f t="shared" si="17"/>
        <v xml:space="preserve">  </v>
      </c>
      <c r="V44" s="50" t="str">
        <f t="shared" si="18"/>
        <v xml:space="preserve">  </v>
      </c>
      <c r="W44" s="46" t="str">
        <f t="shared" si="19"/>
        <v xml:space="preserve">  </v>
      </c>
      <c r="X44" s="50" t="str">
        <f t="shared" si="20"/>
        <v xml:space="preserve">  </v>
      </c>
      <c r="Y44" s="46" t="str">
        <f t="shared" si="21"/>
        <v xml:space="preserve">  </v>
      </c>
      <c r="Z44" s="50" t="str">
        <f t="shared" si="22"/>
        <v xml:space="preserve">  </v>
      </c>
      <c r="AA44" s="46" t="str">
        <f t="shared" si="23"/>
        <v xml:space="preserve">  </v>
      </c>
      <c r="AB44" s="50" t="str">
        <f t="shared" si="24"/>
        <v xml:space="preserve">  </v>
      </c>
      <c r="AC44" s="46" t="str">
        <f t="shared" si="25"/>
        <v xml:space="preserve">  </v>
      </c>
      <c r="AD44" s="50" t="str">
        <f t="shared" si="26"/>
        <v xml:space="preserve">  </v>
      </c>
      <c r="AE44" s="46" t="str">
        <f t="shared" si="27"/>
        <v xml:space="preserve">  </v>
      </c>
      <c r="AF44" s="50" t="str">
        <f t="shared" si="28"/>
        <v xml:space="preserve">  </v>
      </c>
      <c r="AG44" s="15">
        <f t="shared" si="29"/>
        <v>46206</v>
      </c>
      <c r="AH44" s="15">
        <f>_xlfn.IFNA(IF(Y44="Y","DONE",VLOOKUP(A44,'Date Calcs from Ship Date'!A:AE,27,0)),"")</f>
        <v>46133</v>
      </c>
      <c r="AI44" s="40">
        <f t="shared" ca="1" si="31"/>
        <v>60</v>
      </c>
      <c r="AJ44" s="15">
        <f>_xlfn.IFNA(IF(AC44="Y","DONE",VLOOKUP(A44,'Date Calcs from Ship Date'!A:AE,29,0)),"")</f>
        <v>46133</v>
      </c>
      <c r="AK44" s="40">
        <f t="shared" ca="1" si="32"/>
        <v>60</v>
      </c>
      <c r="AL44" s="15">
        <f>_xlfn.IFNA(IF(AA44="Y","DONE",VLOOKUP(A44,'Date Calcs from Ship Date'!A:AI,28,0)),"")</f>
        <v>46140</v>
      </c>
      <c r="AM44" s="40">
        <f t="shared" ca="1" si="33"/>
        <v>67</v>
      </c>
      <c r="AN44" s="15">
        <f>IF(U44="Y","DONE",VLOOKUP(A44,'Date Calcs from Ship Date'!A:AE,25,0))</f>
        <v>46140</v>
      </c>
      <c r="AO44" s="40">
        <f t="shared" si="34"/>
        <v>7</v>
      </c>
      <c r="AP44" s="15">
        <f>IF(AE44="Y","DONE",VLOOKUP(A44,'Date Calcs from Ship Date'!A:AE,30,0))</f>
        <v>46147</v>
      </c>
      <c r="AQ44" s="40">
        <f t="shared" ca="1" si="35"/>
        <v>74</v>
      </c>
      <c r="AR44" s="15">
        <f>_xlfn.IFNA(VLOOKUP(A44,'Date Calcs from Ship Date'!A:C,3,0),"")</f>
        <v>46203</v>
      </c>
      <c r="AS44" s="40">
        <f t="shared" si="36"/>
        <v>3</v>
      </c>
      <c r="AT44" s="40"/>
      <c r="AU44" s="15" t="str">
        <f t="shared" si="30"/>
        <v xml:space="preserve">  </v>
      </c>
      <c r="AV44" s="9"/>
    </row>
    <row r="45" spans="1:48" ht="23.25" x14ac:dyDescent="0.35">
      <c r="A45" s="93" t="s">
        <v>367</v>
      </c>
      <c r="B45" s="8" t="str">
        <f t="shared" si="0"/>
        <v>SNF</v>
      </c>
      <c r="C45" s="13"/>
      <c r="D45" s="46" t="str">
        <f t="shared" si="1"/>
        <v>Y</v>
      </c>
      <c r="E45" s="50">
        <f t="shared" si="2"/>
        <v>0</v>
      </c>
      <c r="F45" s="46" t="str">
        <f t="shared" si="3"/>
        <v>Y</v>
      </c>
      <c r="G45" s="50">
        <f t="shared" si="4"/>
        <v>3</v>
      </c>
      <c r="H45" s="46" t="str">
        <f t="shared" si="5"/>
        <v>Y</v>
      </c>
      <c r="I45" s="50">
        <f t="shared" si="6"/>
        <v>-29</v>
      </c>
      <c r="J45" s="13"/>
      <c r="K45" s="46" t="str">
        <f t="shared" si="7"/>
        <v xml:space="preserve">  </v>
      </c>
      <c r="L45" s="50" t="str">
        <f t="shared" si="8"/>
        <v xml:space="preserve">  </v>
      </c>
      <c r="M45" s="46" t="str">
        <f t="shared" si="9"/>
        <v xml:space="preserve">  </v>
      </c>
      <c r="N45" s="50" t="str">
        <f t="shared" si="10"/>
        <v xml:space="preserve">  </v>
      </c>
      <c r="O45" s="46" t="str">
        <f t="shared" si="11"/>
        <v xml:space="preserve">  </v>
      </c>
      <c r="P45" s="50" t="str">
        <f t="shared" si="12"/>
        <v xml:space="preserve">  </v>
      </c>
      <c r="Q45" s="46" t="str">
        <f t="shared" si="13"/>
        <v xml:space="preserve">  </v>
      </c>
      <c r="R45" s="50" t="str">
        <f t="shared" si="14"/>
        <v xml:space="preserve">  </v>
      </c>
      <c r="S45" s="46" t="str">
        <f t="shared" si="15"/>
        <v xml:space="preserve">  </v>
      </c>
      <c r="T45" s="50" t="str">
        <f t="shared" si="16"/>
        <v xml:space="preserve">  </v>
      </c>
      <c r="U45" s="46" t="str">
        <f t="shared" si="17"/>
        <v xml:space="preserve">  </v>
      </c>
      <c r="V45" s="50" t="str">
        <f t="shared" si="18"/>
        <v xml:space="preserve">  </v>
      </c>
      <c r="W45" s="46" t="str">
        <f t="shared" si="19"/>
        <v xml:space="preserve">  </v>
      </c>
      <c r="X45" s="50" t="str">
        <f t="shared" si="20"/>
        <v xml:space="preserve">  </v>
      </c>
      <c r="Y45" s="46" t="str">
        <f t="shared" si="21"/>
        <v xml:space="preserve">  </v>
      </c>
      <c r="Z45" s="50" t="str">
        <f t="shared" si="22"/>
        <v xml:space="preserve">  </v>
      </c>
      <c r="AA45" s="46" t="str">
        <f t="shared" si="23"/>
        <v xml:space="preserve">  </v>
      </c>
      <c r="AB45" s="50" t="str">
        <f t="shared" si="24"/>
        <v xml:space="preserve">  </v>
      </c>
      <c r="AC45" s="46" t="str">
        <f t="shared" si="25"/>
        <v xml:space="preserve">  </v>
      </c>
      <c r="AD45" s="50" t="str">
        <f t="shared" si="26"/>
        <v xml:space="preserve">  </v>
      </c>
      <c r="AE45" s="46" t="str">
        <f t="shared" si="27"/>
        <v xml:space="preserve">  </v>
      </c>
      <c r="AF45" s="50" t="str">
        <f t="shared" si="28"/>
        <v xml:space="preserve">  </v>
      </c>
      <c r="AG45" s="15">
        <f t="shared" si="29"/>
        <v>46206</v>
      </c>
      <c r="AH45" s="15">
        <f>_xlfn.IFNA(IF(Y45="Y","DONE",VLOOKUP(A45,'Date Calcs from Ship Date'!A:AE,27,0)),"")</f>
        <v>46133</v>
      </c>
      <c r="AI45" s="40">
        <f t="shared" ca="1" si="31"/>
        <v>60</v>
      </c>
      <c r="AJ45" s="15">
        <f>_xlfn.IFNA(IF(AC45="Y","DONE",VLOOKUP(A45,'Date Calcs from Ship Date'!A:AE,29,0)),"")</f>
        <v>46133</v>
      </c>
      <c r="AK45" s="40">
        <f t="shared" ca="1" si="32"/>
        <v>60</v>
      </c>
      <c r="AL45" s="15">
        <f>_xlfn.IFNA(IF(AA45="Y","DONE",VLOOKUP(A45,'Date Calcs from Ship Date'!A:AI,28,0)),"")</f>
        <v>46140</v>
      </c>
      <c r="AM45" s="40">
        <f t="shared" ca="1" si="33"/>
        <v>67</v>
      </c>
      <c r="AN45" s="15">
        <f>IF(U45="Y","DONE",VLOOKUP(A45,'Date Calcs from Ship Date'!A:AE,25,0))</f>
        <v>46140</v>
      </c>
      <c r="AO45" s="40">
        <f t="shared" si="34"/>
        <v>7</v>
      </c>
      <c r="AP45" s="15">
        <f>IF(AE45="Y","DONE",VLOOKUP(A45,'Date Calcs from Ship Date'!A:AE,30,0))</f>
        <v>46147</v>
      </c>
      <c r="AQ45" s="40">
        <f t="shared" ca="1" si="35"/>
        <v>74</v>
      </c>
      <c r="AR45" s="15">
        <f>_xlfn.IFNA(VLOOKUP(A45,'Date Calcs from Ship Date'!A:C,3,0),"")</f>
        <v>46203</v>
      </c>
      <c r="AS45" s="40">
        <f t="shared" si="36"/>
        <v>3</v>
      </c>
      <c r="AT45" s="40"/>
      <c r="AU45" s="15" t="str">
        <f t="shared" si="30"/>
        <v xml:space="preserve">  </v>
      </c>
      <c r="AV45" s="9"/>
    </row>
    <row r="46" spans="1:48" ht="23.25" x14ac:dyDescent="0.35">
      <c r="A46" s="93" t="s">
        <v>368</v>
      </c>
      <c r="B46" s="8" t="str">
        <f t="shared" si="0"/>
        <v>US Sugar</v>
      </c>
      <c r="C46" s="13"/>
      <c r="D46" s="46" t="str">
        <f t="shared" si="1"/>
        <v>Y</v>
      </c>
      <c r="E46" s="50">
        <f t="shared" si="2"/>
        <v>-4</v>
      </c>
      <c r="F46" s="46" t="str">
        <f t="shared" si="3"/>
        <v>Y</v>
      </c>
      <c r="G46" s="50">
        <f t="shared" si="4"/>
        <v>-4</v>
      </c>
      <c r="H46" s="46" t="str">
        <f t="shared" si="5"/>
        <v>Y</v>
      </c>
      <c r="I46" s="50">
        <f t="shared" si="6"/>
        <v>1</v>
      </c>
      <c r="J46" s="13"/>
      <c r="K46" s="46" t="str">
        <f t="shared" si="7"/>
        <v xml:space="preserve">  </v>
      </c>
      <c r="L46" s="50" t="str">
        <f t="shared" si="8"/>
        <v xml:space="preserve">  </v>
      </c>
      <c r="M46" s="46" t="str">
        <f t="shared" si="9"/>
        <v xml:space="preserve">  </v>
      </c>
      <c r="N46" s="50" t="str">
        <f t="shared" si="10"/>
        <v xml:space="preserve">  </v>
      </c>
      <c r="O46" s="46" t="str">
        <f t="shared" si="11"/>
        <v xml:space="preserve">  </v>
      </c>
      <c r="P46" s="50" t="str">
        <f t="shared" si="12"/>
        <v xml:space="preserve">  </v>
      </c>
      <c r="Q46" s="46" t="str">
        <f t="shared" si="13"/>
        <v xml:space="preserve">  </v>
      </c>
      <c r="R46" s="50" t="str">
        <f t="shared" si="14"/>
        <v xml:space="preserve">  </v>
      </c>
      <c r="S46" s="46" t="str">
        <f t="shared" si="15"/>
        <v xml:space="preserve">  </v>
      </c>
      <c r="T46" s="50" t="str">
        <f t="shared" si="16"/>
        <v xml:space="preserve">  </v>
      </c>
      <c r="U46" s="46" t="str">
        <f t="shared" si="17"/>
        <v xml:space="preserve">  </v>
      </c>
      <c r="V46" s="50" t="str">
        <f t="shared" si="18"/>
        <v xml:space="preserve">  </v>
      </c>
      <c r="W46" s="46" t="str">
        <f t="shared" si="19"/>
        <v xml:space="preserve">  </v>
      </c>
      <c r="X46" s="50" t="str">
        <f t="shared" si="20"/>
        <v xml:space="preserve">  </v>
      </c>
      <c r="Y46" s="46" t="str">
        <f t="shared" si="21"/>
        <v xml:space="preserve">  </v>
      </c>
      <c r="Z46" s="50" t="str">
        <f t="shared" si="22"/>
        <v xml:space="preserve">  </v>
      </c>
      <c r="AA46" s="46" t="str">
        <f t="shared" si="23"/>
        <v xml:space="preserve">  </v>
      </c>
      <c r="AB46" s="50" t="str">
        <f t="shared" si="24"/>
        <v xml:space="preserve">  </v>
      </c>
      <c r="AC46" s="46" t="str">
        <f t="shared" si="25"/>
        <v xml:space="preserve">  </v>
      </c>
      <c r="AD46" s="50" t="str">
        <f t="shared" si="26"/>
        <v xml:space="preserve">  </v>
      </c>
      <c r="AE46" s="46" t="str">
        <f t="shared" si="27"/>
        <v xml:space="preserve">  </v>
      </c>
      <c r="AF46" s="50" t="str">
        <f t="shared" si="28"/>
        <v xml:space="preserve">  </v>
      </c>
      <c r="AG46" s="15">
        <f t="shared" si="29"/>
        <v>46211</v>
      </c>
      <c r="AH46" s="15">
        <f>_xlfn.IFNA(IF(Y46="Y","DONE",VLOOKUP(A46,'Date Calcs from Ship Date'!A:AE,27,0)),"")</f>
        <v>46099</v>
      </c>
      <c r="AI46" s="40">
        <f t="shared" ca="1" si="31"/>
        <v>26</v>
      </c>
      <c r="AJ46" s="15">
        <f>_xlfn.IFNA(IF(AC46="Y","DONE",VLOOKUP(A46,'Date Calcs from Ship Date'!A:AE,29,0)),"")</f>
        <v>46099</v>
      </c>
      <c r="AK46" s="40">
        <f t="shared" ca="1" si="32"/>
        <v>26</v>
      </c>
      <c r="AL46" s="15">
        <f>_xlfn.IFNA(IF(AA46="Y","DONE",VLOOKUP(A46,'Date Calcs from Ship Date'!A:AI,28,0)),"")</f>
        <v>46106</v>
      </c>
      <c r="AM46" s="40">
        <f t="shared" ca="1" si="33"/>
        <v>33</v>
      </c>
      <c r="AN46" s="15">
        <f>IF(U46="Y","DONE",VLOOKUP(A46,'Date Calcs from Ship Date'!A:AE,25,0))</f>
        <v>46106</v>
      </c>
      <c r="AO46" s="40">
        <f t="shared" si="34"/>
        <v>7</v>
      </c>
      <c r="AP46" s="15">
        <f>IF(AE46="Y","DONE",VLOOKUP(A46,'Date Calcs from Ship Date'!A:AE,30,0))</f>
        <v>46113</v>
      </c>
      <c r="AQ46" s="40">
        <f t="shared" ca="1" si="35"/>
        <v>40</v>
      </c>
      <c r="AR46" s="15">
        <f>_xlfn.IFNA(VLOOKUP(A46,'Date Calcs from Ship Date'!A:C,3,0),"")</f>
        <v>46176</v>
      </c>
      <c r="AS46" s="40">
        <f t="shared" si="36"/>
        <v>35</v>
      </c>
      <c r="AT46" s="40"/>
      <c r="AU46" s="15" t="str">
        <f t="shared" si="30"/>
        <v xml:space="preserve">  </v>
      </c>
      <c r="AV46" s="9"/>
    </row>
    <row r="47" spans="1:48" ht="23.25" x14ac:dyDescent="0.35">
      <c r="A47" s="93" t="s">
        <v>369</v>
      </c>
      <c r="B47" s="8" t="str">
        <f t="shared" si="0"/>
        <v>SNF</v>
      </c>
      <c r="C47" s="13"/>
      <c r="D47" s="46" t="str">
        <f t="shared" si="1"/>
        <v>Y</v>
      </c>
      <c r="E47" s="50">
        <f t="shared" si="2"/>
        <v>2</v>
      </c>
      <c r="F47" s="46" t="str">
        <f t="shared" si="3"/>
        <v>Y</v>
      </c>
      <c r="G47" s="50">
        <f t="shared" si="4"/>
        <v>1</v>
      </c>
      <c r="H47" s="46" t="str">
        <f t="shared" si="5"/>
        <v>Y</v>
      </c>
      <c r="I47" s="50">
        <f t="shared" si="6"/>
        <v>1</v>
      </c>
      <c r="J47" s="13"/>
      <c r="K47" s="46" t="str">
        <f t="shared" si="7"/>
        <v xml:space="preserve">  </v>
      </c>
      <c r="L47" s="50" t="str">
        <f t="shared" si="8"/>
        <v xml:space="preserve">  </v>
      </c>
      <c r="M47" s="46" t="str">
        <f t="shared" si="9"/>
        <v xml:space="preserve">  </v>
      </c>
      <c r="N47" s="50" t="str">
        <f t="shared" si="10"/>
        <v xml:space="preserve">  </v>
      </c>
      <c r="O47" s="46" t="str">
        <f t="shared" si="11"/>
        <v xml:space="preserve">  </v>
      </c>
      <c r="P47" s="50" t="str">
        <f t="shared" si="12"/>
        <v xml:space="preserve">  </v>
      </c>
      <c r="Q47" s="46" t="str">
        <f t="shared" si="13"/>
        <v xml:space="preserve">  </v>
      </c>
      <c r="R47" s="50" t="str">
        <f t="shared" si="14"/>
        <v xml:space="preserve">  </v>
      </c>
      <c r="S47" s="46" t="str">
        <f t="shared" si="15"/>
        <v xml:space="preserve">  </v>
      </c>
      <c r="T47" s="50" t="str">
        <f t="shared" si="16"/>
        <v xml:space="preserve">  </v>
      </c>
      <c r="U47" s="46" t="str">
        <f t="shared" si="17"/>
        <v xml:space="preserve">  </v>
      </c>
      <c r="V47" s="50" t="str">
        <f t="shared" si="18"/>
        <v xml:space="preserve">  </v>
      </c>
      <c r="W47" s="46" t="str">
        <f t="shared" si="19"/>
        <v xml:space="preserve">  </v>
      </c>
      <c r="X47" s="50" t="str">
        <f t="shared" si="20"/>
        <v xml:space="preserve">  </v>
      </c>
      <c r="Y47" s="46" t="str">
        <f t="shared" si="21"/>
        <v xml:space="preserve">  </v>
      </c>
      <c r="Z47" s="50" t="str">
        <f t="shared" si="22"/>
        <v xml:space="preserve">  </v>
      </c>
      <c r="AA47" s="46" t="str">
        <f t="shared" si="23"/>
        <v xml:space="preserve">  </v>
      </c>
      <c r="AB47" s="50" t="str">
        <f t="shared" si="24"/>
        <v xml:space="preserve">  </v>
      </c>
      <c r="AC47" s="46" t="str">
        <f t="shared" si="25"/>
        <v xml:space="preserve">  </v>
      </c>
      <c r="AD47" s="50" t="str">
        <f t="shared" si="26"/>
        <v xml:space="preserve">  </v>
      </c>
      <c r="AE47" s="46" t="str">
        <f t="shared" si="27"/>
        <v xml:space="preserve">  </v>
      </c>
      <c r="AF47" s="50" t="str">
        <f t="shared" si="28"/>
        <v xml:space="preserve">  </v>
      </c>
      <c r="AG47" s="15">
        <f t="shared" si="29"/>
        <v>46197</v>
      </c>
      <c r="AH47" s="15">
        <f>_xlfn.IFNA(IF(Y47="Y","DONE",VLOOKUP(A47,'Date Calcs from Ship Date'!A:AE,27,0)),"")</f>
        <v>46093</v>
      </c>
      <c r="AI47" s="40">
        <f t="shared" ca="1" si="31"/>
        <v>20</v>
      </c>
      <c r="AJ47" s="15">
        <f>_xlfn.IFNA(IF(AC47="Y","DONE",VLOOKUP(A47,'Date Calcs from Ship Date'!A:AE,29,0)),"")</f>
        <v>46093</v>
      </c>
      <c r="AK47" s="40">
        <f t="shared" ca="1" si="32"/>
        <v>20</v>
      </c>
      <c r="AL47" s="15">
        <f>_xlfn.IFNA(IF(AA47="Y","DONE",VLOOKUP(A47,'Date Calcs from Ship Date'!A:AI,28,0)),"")</f>
        <v>46100</v>
      </c>
      <c r="AM47" s="40">
        <f t="shared" ca="1" si="33"/>
        <v>27</v>
      </c>
      <c r="AN47" s="15">
        <f>IF(U47="Y","DONE",VLOOKUP(A47,'Date Calcs from Ship Date'!A:AE,25,0))</f>
        <v>46100</v>
      </c>
      <c r="AO47" s="40">
        <f t="shared" si="34"/>
        <v>7</v>
      </c>
      <c r="AP47" s="15">
        <f>IF(AE47="Y","DONE",VLOOKUP(A47,'Date Calcs from Ship Date'!A:AE,30,0))</f>
        <v>46107</v>
      </c>
      <c r="AQ47" s="40">
        <f t="shared" ca="1" si="35"/>
        <v>34</v>
      </c>
      <c r="AR47" s="15">
        <f>_xlfn.IFNA(VLOOKUP(A47,'Date Calcs from Ship Date'!A:C,3,0),"")</f>
        <v>46170</v>
      </c>
      <c r="AS47" s="40">
        <f t="shared" si="36"/>
        <v>27</v>
      </c>
      <c r="AT47" s="40"/>
      <c r="AU47" s="15" t="str">
        <f t="shared" si="30"/>
        <v xml:space="preserve">  </v>
      </c>
      <c r="AV47" s="9"/>
    </row>
    <row r="48" spans="1:48" ht="23.25" x14ac:dyDescent="0.35">
      <c r="A48" s="93" t="s">
        <v>370</v>
      </c>
      <c r="B48" s="8" t="str">
        <f t="shared" si="0"/>
        <v>SNF</v>
      </c>
      <c r="C48" s="13"/>
      <c r="D48" s="46" t="str">
        <f t="shared" si="1"/>
        <v>Y</v>
      </c>
      <c r="E48" s="50" t="str">
        <f t="shared" si="2"/>
        <v xml:space="preserve">  </v>
      </c>
      <c r="F48" s="46" t="str">
        <f t="shared" si="3"/>
        <v xml:space="preserve">  </v>
      </c>
      <c r="G48" s="50" t="str">
        <f t="shared" si="4"/>
        <v xml:space="preserve">  </v>
      </c>
      <c r="H48" s="46" t="str">
        <f t="shared" si="5"/>
        <v/>
      </c>
      <c r="I48" s="50" t="e">
        <f t="shared" si="6"/>
        <v>#N/A</v>
      </c>
      <c r="J48" s="13"/>
      <c r="K48" s="46" t="str">
        <f t="shared" si="7"/>
        <v xml:space="preserve">  </v>
      </c>
      <c r="L48" s="50" t="str">
        <f t="shared" si="8"/>
        <v xml:space="preserve">  </v>
      </c>
      <c r="M48" s="46" t="str">
        <f t="shared" si="9"/>
        <v xml:space="preserve">  </v>
      </c>
      <c r="N48" s="50" t="str">
        <f t="shared" si="10"/>
        <v xml:space="preserve">  </v>
      </c>
      <c r="O48" s="46" t="str">
        <f t="shared" si="11"/>
        <v xml:space="preserve">  </v>
      </c>
      <c r="P48" s="50" t="str">
        <f t="shared" si="12"/>
        <v xml:space="preserve">  </v>
      </c>
      <c r="Q48" s="46" t="str">
        <f t="shared" si="13"/>
        <v xml:space="preserve">  </v>
      </c>
      <c r="R48" s="50" t="str">
        <f t="shared" si="14"/>
        <v xml:space="preserve">  </v>
      </c>
      <c r="S48" s="46" t="str">
        <f t="shared" si="15"/>
        <v xml:space="preserve">  </v>
      </c>
      <c r="T48" s="50" t="str">
        <f t="shared" si="16"/>
        <v xml:space="preserve">  </v>
      </c>
      <c r="U48" s="46" t="str">
        <f t="shared" si="17"/>
        <v xml:space="preserve">  </v>
      </c>
      <c r="V48" s="50" t="str">
        <f t="shared" si="18"/>
        <v xml:space="preserve">  </v>
      </c>
      <c r="W48" s="46" t="str">
        <f t="shared" si="19"/>
        <v xml:space="preserve">  </v>
      </c>
      <c r="X48" s="50" t="str">
        <f t="shared" si="20"/>
        <v xml:space="preserve">  </v>
      </c>
      <c r="Y48" s="46" t="str">
        <f t="shared" si="21"/>
        <v xml:space="preserve">  </v>
      </c>
      <c r="Z48" s="50" t="str">
        <f t="shared" si="22"/>
        <v xml:space="preserve">  </v>
      </c>
      <c r="AA48" s="46" t="str">
        <f t="shared" si="23"/>
        <v xml:space="preserve">  </v>
      </c>
      <c r="AB48" s="50" t="str">
        <f t="shared" si="24"/>
        <v xml:space="preserve">  </v>
      </c>
      <c r="AC48" s="46" t="str">
        <f t="shared" si="25"/>
        <v xml:space="preserve">  </v>
      </c>
      <c r="AD48" s="50" t="str">
        <f t="shared" si="26"/>
        <v xml:space="preserve">  </v>
      </c>
      <c r="AE48" s="46" t="str">
        <f t="shared" si="27"/>
        <v xml:space="preserve">  </v>
      </c>
      <c r="AF48" s="50" t="str">
        <f t="shared" si="28"/>
        <v xml:space="preserve">  </v>
      </c>
      <c r="AG48" s="15">
        <f t="shared" si="29"/>
        <v>46232</v>
      </c>
      <c r="AH48" s="15">
        <f>_xlfn.IFNA(IF(Y48="Y","DONE",VLOOKUP(A48,'Date Calcs from Ship Date'!A:AE,27,0)),"")</f>
        <v>46134</v>
      </c>
      <c r="AI48" s="40">
        <f t="shared" ca="1" si="31"/>
        <v>61</v>
      </c>
      <c r="AJ48" s="15">
        <f>_xlfn.IFNA(IF(AC48="Y","DONE",VLOOKUP(A48,'Date Calcs from Ship Date'!A:AE,29,0)),"")</f>
        <v>46134</v>
      </c>
      <c r="AK48" s="40">
        <f t="shared" ca="1" si="32"/>
        <v>61</v>
      </c>
      <c r="AL48" s="15">
        <f>_xlfn.IFNA(IF(AA48="Y","DONE",VLOOKUP(A48,'Date Calcs from Ship Date'!A:AI,28,0)),"")</f>
        <v>46141</v>
      </c>
      <c r="AM48" s="40">
        <f t="shared" ca="1" si="33"/>
        <v>68</v>
      </c>
      <c r="AN48" s="15">
        <f>IF(U48="Y","DONE",VLOOKUP(A48,'Date Calcs from Ship Date'!A:AE,25,0))</f>
        <v>46141</v>
      </c>
      <c r="AO48" s="40">
        <f t="shared" si="34"/>
        <v>7</v>
      </c>
      <c r="AP48" s="15">
        <f>IF(AE48="Y","DONE",VLOOKUP(A48,'Date Calcs from Ship Date'!A:AE,30,0))</f>
        <v>46148</v>
      </c>
      <c r="AQ48" s="40">
        <f t="shared" ca="1" si="35"/>
        <v>75</v>
      </c>
      <c r="AR48" s="15">
        <f>_xlfn.IFNA(VLOOKUP(A48,'Date Calcs from Ship Date'!A:C,3,0),"")</f>
        <v>46197</v>
      </c>
      <c r="AS48" s="40">
        <f t="shared" si="36"/>
        <v>35</v>
      </c>
      <c r="AT48" s="40"/>
      <c r="AU48" s="15" t="str">
        <f t="shared" si="30"/>
        <v xml:space="preserve">  </v>
      </c>
      <c r="AV48" s="9"/>
    </row>
    <row r="49" spans="1:48" ht="23.25" x14ac:dyDescent="0.35">
      <c r="A49" s="93" t="s">
        <v>371</v>
      </c>
      <c r="B49" s="8" t="str">
        <f t="shared" si="0"/>
        <v>SNF</v>
      </c>
      <c r="C49" s="13"/>
      <c r="D49" s="46" t="str">
        <f t="shared" si="1"/>
        <v>Y</v>
      </c>
      <c r="E49" s="50" t="str">
        <f t="shared" si="2"/>
        <v xml:space="preserve">  </v>
      </c>
      <c r="F49" s="46" t="str">
        <f t="shared" si="3"/>
        <v>Y</v>
      </c>
      <c r="G49" s="50">
        <f t="shared" si="4"/>
        <v>-13</v>
      </c>
      <c r="H49" s="46" t="str">
        <f t="shared" si="5"/>
        <v/>
      </c>
      <c r="I49" s="50" t="e">
        <f t="shared" si="6"/>
        <v>#N/A</v>
      </c>
      <c r="J49" s="13"/>
      <c r="K49" s="46" t="str">
        <f t="shared" si="7"/>
        <v xml:space="preserve">  </v>
      </c>
      <c r="L49" s="50" t="str">
        <f t="shared" si="8"/>
        <v xml:space="preserve">  </v>
      </c>
      <c r="M49" s="46" t="str">
        <f t="shared" si="9"/>
        <v xml:space="preserve">  </v>
      </c>
      <c r="N49" s="50" t="str">
        <f t="shared" si="10"/>
        <v xml:space="preserve">  </v>
      </c>
      <c r="O49" s="46" t="str">
        <f t="shared" si="11"/>
        <v xml:space="preserve">  </v>
      </c>
      <c r="P49" s="50" t="str">
        <f t="shared" si="12"/>
        <v xml:space="preserve">  </v>
      </c>
      <c r="Q49" s="46" t="str">
        <f t="shared" si="13"/>
        <v xml:space="preserve">  </v>
      </c>
      <c r="R49" s="50" t="str">
        <f t="shared" si="14"/>
        <v xml:space="preserve">  </v>
      </c>
      <c r="S49" s="46" t="str">
        <f t="shared" si="15"/>
        <v xml:space="preserve">  </v>
      </c>
      <c r="T49" s="50" t="str">
        <f t="shared" si="16"/>
        <v xml:space="preserve">  </v>
      </c>
      <c r="U49" s="46" t="str">
        <f t="shared" si="17"/>
        <v xml:space="preserve">  </v>
      </c>
      <c r="V49" s="50" t="str">
        <f t="shared" si="18"/>
        <v xml:space="preserve">  </v>
      </c>
      <c r="W49" s="46" t="str">
        <f t="shared" si="19"/>
        <v xml:space="preserve">  </v>
      </c>
      <c r="X49" s="50" t="str">
        <f t="shared" si="20"/>
        <v xml:space="preserve">  </v>
      </c>
      <c r="Y49" s="46" t="str">
        <f t="shared" si="21"/>
        <v xml:space="preserve">  </v>
      </c>
      <c r="Z49" s="50" t="str">
        <f t="shared" si="22"/>
        <v xml:space="preserve">  </v>
      </c>
      <c r="AA49" s="46" t="str">
        <f t="shared" si="23"/>
        <v xml:space="preserve">  </v>
      </c>
      <c r="AB49" s="50" t="str">
        <f t="shared" si="24"/>
        <v xml:space="preserve">  </v>
      </c>
      <c r="AC49" s="46" t="str">
        <f t="shared" si="25"/>
        <v xml:space="preserve">  </v>
      </c>
      <c r="AD49" s="50" t="str">
        <f t="shared" si="26"/>
        <v xml:space="preserve">  </v>
      </c>
      <c r="AE49" s="46" t="str">
        <f t="shared" si="27"/>
        <v xml:space="preserve">  </v>
      </c>
      <c r="AF49" s="50" t="str">
        <f t="shared" si="28"/>
        <v xml:space="preserve">  </v>
      </c>
      <c r="AG49" s="15">
        <f t="shared" si="29"/>
        <v>46225</v>
      </c>
      <c r="AH49" s="15">
        <f>_xlfn.IFNA(IF(Y49="Y","DONE",VLOOKUP(A49,'Date Calcs from Ship Date'!A:AE,27,0)),"")</f>
        <v>46100</v>
      </c>
      <c r="AI49" s="40">
        <f t="shared" ca="1" si="31"/>
        <v>27</v>
      </c>
      <c r="AJ49" s="15">
        <f>_xlfn.IFNA(IF(AC49="Y","DONE",VLOOKUP(A49,'Date Calcs from Ship Date'!A:AE,29,0)),"")</f>
        <v>46100</v>
      </c>
      <c r="AK49" s="40">
        <f t="shared" ca="1" si="32"/>
        <v>27</v>
      </c>
      <c r="AL49" s="15">
        <f>_xlfn.IFNA(IF(AA49="Y","DONE",VLOOKUP(A49,'Date Calcs from Ship Date'!A:AI,28,0)),"")</f>
        <v>46107</v>
      </c>
      <c r="AM49" s="40">
        <f t="shared" ca="1" si="33"/>
        <v>34</v>
      </c>
      <c r="AN49" s="15">
        <f>IF(U49="Y","DONE",VLOOKUP(A49,'Date Calcs from Ship Date'!A:AE,25,0))</f>
        <v>46107</v>
      </c>
      <c r="AO49" s="40">
        <f t="shared" si="34"/>
        <v>7</v>
      </c>
      <c r="AP49" s="15">
        <f>IF(AE49="Y","DONE",VLOOKUP(A49,'Date Calcs from Ship Date'!A:AE,30,0))</f>
        <v>46114</v>
      </c>
      <c r="AQ49" s="40">
        <f t="shared" ca="1" si="35"/>
        <v>41</v>
      </c>
      <c r="AR49" s="15">
        <f>_xlfn.IFNA(VLOOKUP(A49,'Date Calcs from Ship Date'!A:C,3,0),"")</f>
        <v>46177</v>
      </c>
      <c r="AS49" s="40">
        <f t="shared" si="36"/>
        <v>48</v>
      </c>
      <c r="AT49" s="40"/>
      <c r="AU49" s="15" t="str">
        <f t="shared" si="30"/>
        <v xml:space="preserve">  </v>
      </c>
      <c r="AV49" s="9"/>
    </row>
    <row r="50" spans="1:48" ht="23.25" x14ac:dyDescent="0.35">
      <c r="A50" s="93" t="s">
        <v>372</v>
      </c>
      <c r="B50" s="8" t="str">
        <f t="shared" si="0"/>
        <v>SNF</v>
      </c>
      <c r="C50" s="13"/>
      <c r="D50" s="46" t="str">
        <f t="shared" si="1"/>
        <v>Y</v>
      </c>
      <c r="E50" s="50">
        <f t="shared" si="2"/>
        <v>2</v>
      </c>
      <c r="F50" s="46" t="str">
        <f t="shared" si="3"/>
        <v>Y</v>
      </c>
      <c r="G50" s="50">
        <f t="shared" si="4"/>
        <v>1</v>
      </c>
      <c r="H50" s="46" t="str">
        <f t="shared" si="5"/>
        <v/>
      </c>
      <c r="I50" s="50" t="e">
        <f t="shared" si="6"/>
        <v>#N/A</v>
      </c>
      <c r="J50" s="13"/>
      <c r="K50" s="46" t="str">
        <f t="shared" si="7"/>
        <v xml:space="preserve">  </v>
      </c>
      <c r="L50" s="50" t="str">
        <f t="shared" si="8"/>
        <v xml:space="preserve">  </v>
      </c>
      <c r="M50" s="46" t="str">
        <f t="shared" si="9"/>
        <v xml:space="preserve">  </v>
      </c>
      <c r="N50" s="50" t="str">
        <f t="shared" si="10"/>
        <v xml:space="preserve">  </v>
      </c>
      <c r="O50" s="46" t="str">
        <f t="shared" si="11"/>
        <v xml:space="preserve">  </v>
      </c>
      <c r="P50" s="50" t="str">
        <f t="shared" si="12"/>
        <v xml:space="preserve">  </v>
      </c>
      <c r="Q50" s="46" t="str">
        <f t="shared" si="13"/>
        <v xml:space="preserve">  </v>
      </c>
      <c r="R50" s="50" t="str">
        <f t="shared" si="14"/>
        <v xml:space="preserve">  </v>
      </c>
      <c r="S50" s="46" t="str">
        <f t="shared" si="15"/>
        <v xml:space="preserve">  </v>
      </c>
      <c r="T50" s="50" t="str">
        <f t="shared" si="16"/>
        <v xml:space="preserve">  </v>
      </c>
      <c r="U50" s="46" t="str">
        <f t="shared" si="17"/>
        <v xml:space="preserve">  </v>
      </c>
      <c r="V50" s="50" t="str">
        <f t="shared" si="18"/>
        <v xml:space="preserve">  </v>
      </c>
      <c r="W50" s="46" t="str">
        <f t="shared" si="19"/>
        <v xml:space="preserve">  </v>
      </c>
      <c r="X50" s="50" t="str">
        <f t="shared" si="20"/>
        <v xml:space="preserve">  </v>
      </c>
      <c r="Y50" s="46" t="str">
        <f t="shared" si="21"/>
        <v xml:space="preserve">  </v>
      </c>
      <c r="Z50" s="50" t="str">
        <f t="shared" si="22"/>
        <v xml:space="preserve">  </v>
      </c>
      <c r="AA50" s="46" t="str">
        <f t="shared" si="23"/>
        <v xml:space="preserve">  </v>
      </c>
      <c r="AB50" s="50" t="str">
        <f t="shared" si="24"/>
        <v xml:space="preserve">  </v>
      </c>
      <c r="AC50" s="46" t="str">
        <f t="shared" si="25"/>
        <v xml:space="preserve">  </v>
      </c>
      <c r="AD50" s="50" t="str">
        <f t="shared" si="26"/>
        <v xml:space="preserve">  </v>
      </c>
      <c r="AE50" s="46" t="str">
        <f t="shared" si="27"/>
        <v xml:space="preserve">  </v>
      </c>
      <c r="AF50" s="50" t="str">
        <f t="shared" si="28"/>
        <v xml:space="preserve">  </v>
      </c>
      <c r="AG50" s="15">
        <f t="shared" si="29"/>
        <v>46225</v>
      </c>
      <c r="AH50" s="15">
        <f>_xlfn.IFNA(IF(Y50="Y","DONE",VLOOKUP(A50,'Date Calcs from Ship Date'!A:AE,27,0)),"")</f>
        <v>46121</v>
      </c>
      <c r="AI50" s="40">
        <f t="shared" ca="1" si="31"/>
        <v>48</v>
      </c>
      <c r="AJ50" s="15">
        <f>_xlfn.IFNA(IF(AC50="Y","DONE",VLOOKUP(A50,'Date Calcs from Ship Date'!A:AE,29,0)),"")</f>
        <v>46121</v>
      </c>
      <c r="AK50" s="40">
        <f t="shared" ca="1" si="32"/>
        <v>48</v>
      </c>
      <c r="AL50" s="15">
        <f>_xlfn.IFNA(IF(AA50="Y","DONE",VLOOKUP(A50,'Date Calcs from Ship Date'!A:AI,28,0)),"")</f>
        <v>46128</v>
      </c>
      <c r="AM50" s="40">
        <f t="shared" ca="1" si="33"/>
        <v>55</v>
      </c>
      <c r="AN50" s="15">
        <f>IF(U50="Y","DONE",VLOOKUP(A50,'Date Calcs from Ship Date'!A:AE,25,0))</f>
        <v>46128</v>
      </c>
      <c r="AO50" s="40">
        <f t="shared" si="34"/>
        <v>7</v>
      </c>
      <c r="AP50" s="15">
        <f>IF(AE50="Y","DONE",VLOOKUP(A50,'Date Calcs from Ship Date'!A:AE,30,0))</f>
        <v>46135</v>
      </c>
      <c r="AQ50" s="40">
        <f t="shared" ca="1" si="35"/>
        <v>62</v>
      </c>
      <c r="AR50" s="15">
        <f>_xlfn.IFNA(VLOOKUP(A50,'Date Calcs from Ship Date'!A:C,3,0),"")</f>
        <v>46198</v>
      </c>
      <c r="AS50" s="40">
        <f t="shared" si="36"/>
        <v>27</v>
      </c>
      <c r="AT50" s="40"/>
      <c r="AU50" s="15" t="str">
        <f t="shared" si="30"/>
        <v xml:space="preserve">  </v>
      </c>
      <c r="AV50" s="9"/>
    </row>
    <row r="51" spans="1:48" ht="23.25" x14ac:dyDescent="0.35">
      <c r="A51" s="93" t="s">
        <v>373</v>
      </c>
      <c r="B51" s="8" t="str">
        <f t="shared" si="0"/>
        <v>SNF</v>
      </c>
      <c r="C51" s="13"/>
      <c r="D51" s="46" t="str">
        <f t="shared" si="1"/>
        <v>Y</v>
      </c>
      <c r="E51" s="50">
        <f t="shared" si="2"/>
        <v>2</v>
      </c>
      <c r="F51" s="46" t="str">
        <f t="shared" si="3"/>
        <v>Y</v>
      </c>
      <c r="G51" s="50">
        <f t="shared" si="4"/>
        <v>1</v>
      </c>
      <c r="H51" s="46" t="str">
        <f t="shared" si="5"/>
        <v/>
      </c>
      <c r="I51" s="50" t="e">
        <f t="shared" si="6"/>
        <v>#N/A</v>
      </c>
      <c r="J51" s="13"/>
      <c r="K51" s="46" t="str">
        <f t="shared" si="7"/>
        <v xml:space="preserve">  </v>
      </c>
      <c r="L51" s="50" t="str">
        <f t="shared" si="8"/>
        <v xml:space="preserve">  </v>
      </c>
      <c r="M51" s="46" t="str">
        <f t="shared" si="9"/>
        <v xml:space="preserve">  </v>
      </c>
      <c r="N51" s="50" t="str">
        <f t="shared" si="10"/>
        <v xml:space="preserve">  </v>
      </c>
      <c r="O51" s="46" t="str">
        <f t="shared" si="11"/>
        <v xml:space="preserve">  </v>
      </c>
      <c r="P51" s="50" t="str">
        <f t="shared" si="12"/>
        <v xml:space="preserve">  </v>
      </c>
      <c r="Q51" s="46" t="str">
        <f t="shared" si="13"/>
        <v xml:space="preserve">  </v>
      </c>
      <c r="R51" s="50" t="str">
        <f t="shared" si="14"/>
        <v xml:space="preserve">  </v>
      </c>
      <c r="S51" s="46" t="str">
        <f t="shared" si="15"/>
        <v xml:space="preserve">  </v>
      </c>
      <c r="T51" s="50" t="str">
        <f t="shared" si="16"/>
        <v xml:space="preserve">  </v>
      </c>
      <c r="U51" s="46" t="str">
        <f t="shared" si="17"/>
        <v xml:space="preserve">  </v>
      </c>
      <c r="V51" s="50" t="str">
        <f t="shared" si="18"/>
        <v xml:space="preserve">  </v>
      </c>
      <c r="W51" s="46" t="str">
        <f t="shared" si="19"/>
        <v xml:space="preserve">  </v>
      </c>
      <c r="X51" s="50" t="str">
        <f t="shared" si="20"/>
        <v xml:space="preserve">  </v>
      </c>
      <c r="Y51" s="46" t="str">
        <f t="shared" si="21"/>
        <v xml:space="preserve">  </v>
      </c>
      <c r="Z51" s="50" t="str">
        <f t="shared" si="22"/>
        <v xml:space="preserve">  </v>
      </c>
      <c r="AA51" s="46" t="str">
        <f t="shared" si="23"/>
        <v xml:space="preserve">  </v>
      </c>
      <c r="AB51" s="50" t="str">
        <f t="shared" si="24"/>
        <v xml:space="preserve">  </v>
      </c>
      <c r="AC51" s="46" t="str">
        <f t="shared" si="25"/>
        <v xml:space="preserve">  </v>
      </c>
      <c r="AD51" s="50" t="str">
        <f t="shared" si="26"/>
        <v xml:space="preserve">  </v>
      </c>
      <c r="AE51" s="46" t="str">
        <f t="shared" si="27"/>
        <v xml:space="preserve">  </v>
      </c>
      <c r="AF51" s="50" t="str">
        <f t="shared" si="28"/>
        <v xml:space="preserve">  </v>
      </c>
      <c r="AG51" s="15">
        <f t="shared" si="29"/>
        <v>46225</v>
      </c>
      <c r="AH51" s="15">
        <f>_xlfn.IFNA(IF(Y51="Y","DONE",VLOOKUP(A51,'Date Calcs from Ship Date'!A:AE,27,0)),"")</f>
        <v>46121</v>
      </c>
      <c r="AI51" s="40">
        <f t="shared" ca="1" si="31"/>
        <v>48</v>
      </c>
      <c r="AJ51" s="15">
        <f>_xlfn.IFNA(IF(AC51="Y","DONE",VLOOKUP(A51,'Date Calcs from Ship Date'!A:AE,29,0)),"")</f>
        <v>46121</v>
      </c>
      <c r="AK51" s="40">
        <f t="shared" ca="1" si="32"/>
        <v>48</v>
      </c>
      <c r="AL51" s="15">
        <f>_xlfn.IFNA(IF(AA51="Y","DONE",VLOOKUP(A51,'Date Calcs from Ship Date'!A:AI,28,0)),"")</f>
        <v>46128</v>
      </c>
      <c r="AM51" s="40">
        <f t="shared" ca="1" si="33"/>
        <v>55</v>
      </c>
      <c r="AN51" s="15">
        <f>IF(U51="Y","DONE",VLOOKUP(A51,'Date Calcs from Ship Date'!A:AE,25,0))</f>
        <v>46128</v>
      </c>
      <c r="AO51" s="40">
        <f t="shared" si="34"/>
        <v>7</v>
      </c>
      <c r="AP51" s="15">
        <f>IF(AE51="Y","DONE",VLOOKUP(A51,'Date Calcs from Ship Date'!A:AE,30,0))</f>
        <v>46135</v>
      </c>
      <c r="AQ51" s="40">
        <f t="shared" ca="1" si="35"/>
        <v>62</v>
      </c>
      <c r="AR51" s="15">
        <f>_xlfn.IFNA(VLOOKUP(A51,'Date Calcs from Ship Date'!A:C,3,0),"")</f>
        <v>46198</v>
      </c>
      <c r="AS51" s="40">
        <f t="shared" si="36"/>
        <v>27</v>
      </c>
      <c r="AT51" s="40"/>
      <c r="AU51" s="15" t="str">
        <f t="shared" si="30"/>
        <v xml:space="preserve">  </v>
      </c>
      <c r="AV51" s="9"/>
    </row>
  </sheetData>
  <mergeCells count="18">
    <mergeCell ref="S5:T5"/>
    <mergeCell ref="K3:AB3"/>
    <mergeCell ref="AC5:AD5"/>
    <mergeCell ref="AE5:AF5"/>
    <mergeCell ref="AH3:AS3"/>
    <mergeCell ref="Y5:Z5"/>
    <mergeCell ref="K5:L5"/>
    <mergeCell ref="M5:N5"/>
    <mergeCell ref="O5:P5"/>
    <mergeCell ref="Q5:R5"/>
    <mergeCell ref="U5:V5"/>
    <mergeCell ref="W5:X5"/>
    <mergeCell ref="AA5:AB5"/>
    <mergeCell ref="A1:B1"/>
    <mergeCell ref="D5:E5"/>
    <mergeCell ref="F5:G5"/>
    <mergeCell ref="D3:I3"/>
    <mergeCell ref="H5:I5"/>
  </mergeCells>
  <phoneticPr fontId="16" type="noConversion"/>
  <conditionalFormatting sqref="AH1:AH1048576 AJ6:AJ51 AL6:AL51">
    <cfRule type="cellIs" dxfId="50" priority="56" operator="equal">
      <formula>"DONE"</formula>
    </cfRule>
  </conditionalFormatting>
  <conditionalFormatting sqref="AI6:AI51">
    <cfRule type="cellIs" dxfId="49" priority="26" operator="greaterThan">
      <formula>14</formula>
    </cfRule>
    <cfRule type="cellIs" dxfId="48" priority="27" operator="lessThan">
      <formula>0</formula>
    </cfRule>
    <cfRule type="cellIs" dxfId="47" priority="28" operator="equal">
      <formula>0</formula>
    </cfRule>
    <cfRule type="cellIs" dxfId="46" priority="57" operator="between">
      <formula>8</formula>
      <formula>15</formula>
    </cfRule>
    <cfRule type="cellIs" dxfId="45" priority="58" operator="between">
      <formula>1</formula>
      <formula>7</formula>
    </cfRule>
  </conditionalFormatting>
  <conditionalFormatting sqref="AK6:AK51">
    <cfRule type="cellIs" dxfId="44" priority="21" operator="greaterThan">
      <formula>14</formula>
    </cfRule>
    <cfRule type="cellIs" dxfId="43" priority="22" operator="lessThan">
      <formula>0</formula>
    </cfRule>
    <cfRule type="cellIs" dxfId="42" priority="23" operator="equal">
      <formula>0</formula>
    </cfRule>
    <cfRule type="cellIs" dxfId="41" priority="24" operator="between">
      <formula>8</formula>
      <formula>15</formula>
    </cfRule>
    <cfRule type="cellIs" dxfId="40" priority="25" operator="between">
      <formula>1</formula>
      <formula>7</formula>
    </cfRule>
  </conditionalFormatting>
  <conditionalFormatting sqref="AM6:AM51">
    <cfRule type="cellIs" dxfId="39" priority="16" operator="greaterThan">
      <formula>14</formula>
    </cfRule>
    <cfRule type="cellIs" dxfId="38" priority="17" operator="lessThan">
      <formula>0</formula>
    </cfRule>
    <cfRule type="cellIs" dxfId="37" priority="18" operator="equal">
      <formula>0</formula>
    </cfRule>
    <cfRule type="cellIs" dxfId="36" priority="19" operator="between">
      <formula>8</formula>
      <formula>15</formula>
    </cfRule>
    <cfRule type="cellIs" dxfId="35" priority="20" operator="between">
      <formula>1</formula>
      <formula>7</formula>
    </cfRule>
  </conditionalFormatting>
  <conditionalFormatting sqref="AN6:AN51">
    <cfRule type="cellIs" dxfId="34" priority="31" operator="equal">
      <formula>"DONE"</formula>
    </cfRule>
  </conditionalFormatting>
  <conditionalFormatting sqref="AO6:AO51">
    <cfRule type="cellIs" dxfId="33" priority="11" operator="greaterThan">
      <formula>14</formula>
    </cfRule>
    <cfRule type="cellIs" dxfId="32" priority="12" operator="lessThan">
      <formula>0</formula>
    </cfRule>
    <cfRule type="cellIs" dxfId="31" priority="13" operator="equal">
      <formula>0</formula>
    </cfRule>
    <cfRule type="cellIs" dxfId="30" priority="14" operator="between">
      <formula>8</formula>
      <formula>15</formula>
    </cfRule>
    <cfRule type="cellIs" dxfId="29" priority="15" operator="between">
      <formula>1</formula>
      <formula>7</formula>
    </cfRule>
  </conditionalFormatting>
  <conditionalFormatting sqref="AP6:AP51">
    <cfRule type="containsText" dxfId="28" priority="33" operator="containsText" text="DONE">
      <formula>NOT(ISERROR(SEARCH("DONE",AP6)))</formula>
    </cfRule>
  </conditionalFormatting>
  <conditionalFormatting sqref="AQ6:AQ51">
    <cfRule type="cellIs" dxfId="27" priority="6" operator="greaterThan">
      <formula>14</formula>
    </cfRule>
    <cfRule type="cellIs" dxfId="26" priority="7" operator="lessThan">
      <formula>0</formula>
    </cfRule>
    <cfRule type="cellIs" dxfId="25" priority="8" operator="equal">
      <formula>0</formula>
    </cfRule>
    <cfRule type="cellIs" dxfId="24" priority="9" operator="between">
      <formula>8</formula>
      <formula>15</formula>
    </cfRule>
    <cfRule type="cellIs" dxfId="23" priority="10" operator="between">
      <formula>1</formula>
      <formula>7</formula>
    </cfRule>
  </conditionalFormatting>
  <conditionalFormatting sqref="AS6:AT51">
    <cfRule type="cellIs" dxfId="22" priority="1" operator="greaterThan">
      <formula>14</formula>
    </cfRule>
    <cfRule type="cellIs" dxfId="21" priority="2" operator="lessThan">
      <formula>0</formula>
    </cfRule>
    <cfRule type="cellIs" dxfId="20" priority="3" operator="equal">
      <formula>0</formula>
    </cfRule>
    <cfRule type="cellIs" dxfId="19" priority="4" operator="between">
      <formula>8</formula>
      <formula>15</formula>
    </cfRule>
    <cfRule type="cellIs" dxfId="18" priority="5" operator="between">
      <formula>1</formula>
      <formula>7</formula>
    </cfRule>
  </conditionalFormatting>
  <pageMargins left="0.33" right="0.2" top="0.25" bottom="0.44" header="0.3" footer="0.21"/>
  <pageSetup fitToHeight="0" orientation="landscape" r:id="rId1"/>
  <headerFooter>
    <oddFooter>&amp;L&amp;D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751"/>
  <sheetViews>
    <sheetView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AC67" sqref="AC67"/>
    </sheetView>
  </sheetViews>
  <sheetFormatPr defaultRowHeight="15" x14ac:dyDescent="0.25"/>
  <cols>
    <col min="1" max="1" width="12.28515625" customWidth="1"/>
    <col min="2" max="4" width="2.7109375" customWidth="1"/>
    <col min="5" max="5" width="3.140625" customWidth="1"/>
    <col min="6" max="6" width="2.28515625" customWidth="1"/>
    <col min="7" max="7" width="2.7109375" style="53" customWidth="1"/>
    <col min="8" max="8" width="11.5703125" customWidth="1"/>
    <col min="9" max="9" width="10.5703125" customWidth="1"/>
    <col min="10" max="12" width="10.42578125" bestFit="1" customWidth="1"/>
    <col min="14" max="14" width="9.7109375" bestFit="1" customWidth="1"/>
    <col min="15" max="16" width="10.7109375" bestFit="1" customWidth="1"/>
    <col min="17" max="17" width="10.42578125" bestFit="1" customWidth="1"/>
    <col min="18" max="18" width="9.140625" customWidth="1"/>
    <col min="19" max="19" width="0.28515625" customWidth="1"/>
    <col min="20" max="20" width="9.140625" customWidth="1"/>
    <col min="21" max="21" width="9.42578125" bestFit="1" customWidth="1"/>
    <col min="22" max="22" width="9.42578125" customWidth="1"/>
    <col min="23" max="23" width="9.7109375" bestFit="1" customWidth="1"/>
    <col min="24" max="24" width="9.42578125" bestFit="1" customWidth="1"/>
    <col min="25" max="28" width="9.7109375" bestFit="1" customWidth="1"/>
    <col min="29" max="30" width="9.7109375" customWidth="1"/>
    <col min="31" max="31" width="9.28515625" bestFit="1" customWidth="1"/>
  </cols>
  <sheetData>
    <row r="1" spans="1:35" x14ac:dyDescent="0.25">
      <c r="G1" s="55"/>
      <c r="H1" s="128" t="s">
        <v>39</v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9"/>
    </row>
    <row r="2" spans="1:35" x14ac:dyDescent="0.25">
      <c r="G2" s="56"/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</row>
    <row r="3" spans="1:35" s="24" customFormat="1" ht="48.75" customHeight="1" x14ac:dyDescent="0.2">
      <c r="A3" s="28" t="s">
        <v>28</v>
      </c>
      <c r="B3" s="37" t="s">
        <v>63</v>
      </c>
      <c r="C3" s="37" t="s">
        <v>60</v>
      </c>
      <c r="D3" s="37" t="s">
        <v>61</v>
      </c>
      <c r="E3" s="37" t="s">
        <v>62</v>
      </c>
      <c r="F3" s="37" t="s">
        <v>47</v>
      </c>
      <c r="G3" s="57" t="s">
        <v>48</v>
      </c>
      <c r="H3" s="33" t="s">
        <v>38</v>
      </c>
      <c r="I3" s="34" t="s">
        <v>35</v>
      </c>
      <c r="J3" s="34" t="s">
        <v>36</v>
      </c>
      <c r="K3" s="34" t="s">
        <v>35</v>
      </c>
      <c r="L3" s="34" t="s">
        <v>36</v>
      </c>
      <c r="M3" s="34" t="s">
        <v>35</v>
      </c>
      <c r="N3" s="34" t="s">
        <v>36</v>
      </c>
      <c r="O3" s="35" t="s">
        <v>35</v>
      </c>
      <c r="P3" s="58" t="s">
        <v>24</v>
      </c>
      <c r="Q3" s="58" t="s">
        <v>27</v>
      </c>
      <c r="R3" s="27" t="s">
        <v>47</v>
      </c>
      <c r="S3" s="36" t="s">
        <v>20</v>
      </c>
      <c r="T3" s="34" t="s">
        <v>11</v>
      </c>
      <c r="U3" s="34" t="s">
        <v>17</v>
      </c>
      <c r="V3" s="34" t="s">
        <v>406</v>
      </c>
      <c r="W3" s="58" t="s">
        <v>22</v>
      </c>
      <c r="X3" s="58" t="s">
        <v>18</v>
      </c>
      <c r="Y3" s="58" t="s">
        <v>21</v>
      </c>
      <c r="Z3" s="58" t="s">
        <v>411</v>
      </c>
      <c r="AA3" s="58" t="s">
        <v>19</v>
      </c>
      <c r="AB3" s="36" t="s">
        <v>25</v>
      </c>
      <c r="AC3" s="36" t="s">
        <v>381</v>
      </c>
      <c r="AD3" s="36" t="s">
        <v>404</v>
      </c>
      <c r="AE3" s="36" t="s">
        <v>46</v>
      </c>
      <c r="AF3" s="36" t="s">
        <v>40</v>
      </c>
      <c r="AG3" s="27" t="s">
        <v>118</v>
      </c>
      <c r="AH3" s="77" t="s">
        <v>119</v>
      </c>
    </row>
    <row r="4" spans="1:35" x14ac:dyDescent="0.25">
      <c r="A4" s="39" t="s">
        <v>237</v>
      </c>
      <c r="B4" s="20" t="str">
        <f t="shared" ref="B4" si="0">IF(H4&gt;0,"Y","N")</f>
        <v>Y</v>
      </c>
      <c r="C4" s="20" t="str">
        <f t="shared" ref="C4" si="1">IF(I4&gt;0,IF(J4&gt;0,"Y","N"),"Y")</f>
        <v>Y</v>
      </c>
      <c r="D4" s="20" t="str">
        <f t="shared" ref="D4" si="2">IF(K4&gt;0,IF(L4&gt;0,"Y","N"),"Y")</f>
        <v>Y</v>
      </c>
      <c r="E4" s="20" t="str">
        <f t="shared" ref="E4" si="3">IF(M4&gt;0,IF(N4&gt;0,"Y","N"),"Y")</f>
        <v>Y</v>
      </c>
      <c r="F4" s="20">
        <f t="shared" ref="F4" si="4">IF(N4&gt;0,3,IF(L4&gt;0,2,IF(J4&gt;0,1,IF(H4&gt;0,0,"  "))))</f>
        <v>3</v>
      </c>
      <c r="G4" s="56" t="str">
        <f t="shared" ref="G4" si="5">IF(U4=0,"  ","y")</f>
        <v>y</v>
      </c>
      <c r="H4" s="61">
        <v>45544</v>
      </c>
      <c r="I4" s="60">
        <v>45782</v>
      </c>
      <c r="J4" s="60">
        <v>45801</v>
      </c>
      <c r="K4" s="60">
        <v>45846</v>
      </c>
      <c r="L4" s="60">
        <v>45854</v>
      </c>
      <c r="M4" s="60">
        <v>45868</v>
      </c>
      <c r="N4" s="60">
        <v>45875</v>
      </c>
      <c r="O4" s="60">
        <v>45877</v>
      </c>
      <c r="P4" s="60">
        <v>45531</v>
      </c>
      <c r="Q4" s="60">
        <v>45530</v>
      </c>
      <c r="R4" s="43">
        <f t="shared" ref="R4" si="6">IF(N4&gt;0,4,IF(L4&gt;0,3,IF(J4&gt;0,2,IF(H4&gt;0,1,0))))</f>
        <v>4</v>
      </c>
      <c r="S4" s="38">
        <f t="shared" ref="S4" si="7">U4</f>
        <v>45883</v>
      </c>
      <c r="T4" s="41"/>
      <c r="U4" s="60">
        <v>45883</v>
      </c>
      <c r="V4" s="60">
        <f t="shared" ref="V4:V35" si="8">_xlfn.IFNA(IF(U4="",VLOOKUP(A4,Jobs,23,0),U4+(VLOOKUP(A4,Jobs,7,FALSE)*7)+(VLOOKUP(A4,Jobs,22,FALSE)*7)),"")</f>
        <v>46163</v>
      </c>
      <c r="W4" s="60">
        <v>45888</v>
      </c>
      <c r="X4" s="60">
        <v>45888</v>
      </c>
      <c r="Y4" s="60">
        <v>45967</v>
      </c>
      <c r="Z4" s="60">
        <v>45629</v>
      </c>
      <c r="AA4" s="60">
        <v>45967</v>
      </c>
      <c r="AB4" s="60">
        <v>45985</v>
      </c>
      <c r="AC4" s="60">
        <v>45979</v>
      </c>
      <c r="AD4" s="60">
        <v>45985</v>
      </c>
      <c r="AE4" s="60">
        <v>45996</v>
      </c>
      <c r="AF4" s="41"/>
      <c r="AG4" s="24"/>
      <c r="AH4" s="78"/>
      <c r="AI4" s="25"/>
    </row>
    <row r="5" spans="1:35" x14ac:dyDescent="0.25">
      <c r="A5" s="39" t="s">
        <v>240</v>
      </c>
      <c r="B5" s="20" t="str">
        <f t="shared" ref="B5:B17" si="9">IF(H5&gt;0,"Y","N")</f>
        <v>Y</v>
      </c>
      <c r="C5" s="20" t="str">
        <f t="shared" ref="C5:C17" si="10">IF(I5&gt;0,IF(J5&gt;0,"Y","N"),"Y")</f>
        <v>Y</v>
      </c>
      <c r="D5" s="20" t="str">
        <f t="shared" ref="D5:D17" si="11">IF(K5&gt;0,IF(L5&gt;0,"Y","N"),"Y")</f>
        <v>Y</v>
      </c>
      <c r="E5" s="20" t="str">
        <f t="shared" ref="E5:E17" si="12">IF(M5&gt;0,IF(N5&gt;0,"Y","N"),"Y")</f>
        <v>Y</v>
      </c>
      <c r="F5" s="20">
        <f t="shared" ref="F5:F17" si="13">IF(N5&gt;0,3,IF(L5&gt;0,2,IF(J5&gt;0,1,IF(H5&gt;0,0,"  "))))</f>
        <v>2</v>
      </c>
      <c r="G5" s="56" t="str">
        <f t="shared" ref="G5:G17" si="14">IF(U5=0,"  ","y")</f>
        <v>y</v>
      </c>
      <c r="H5" s="61">
        <v>45805</v>
      </c>
      <c r="I5" s="60">
        <v>45834</v>
      </c>
      <c r="J5" s="60">
        <v>45841</v>
      </c>
      <c r="K5" s="60">
        <v>45890</v>
      </c>
      <c r="L5" s="60">
        <v>45897</v>
      </c>
      <c r="M5" s="41"/>
      <c r="N5" s="41"/>
      <c r="O5" s="41"/>
      <c r="P5" s="60">
        <v>45707</v>
      </c>
      <c r="Q5" s="60">
        <v>45705</v>
      </c>
      <c r="R5" s="43">
        <f t="shared" ref="R5:R17" si="15">IF(N5&gt;0,4,IF(L5&gt;0,3,IF(J5&gt;0,2,IF(H5&gt;0,1,0))))</f>
        <v>3</v>
      </c>
      <c r="S5" s="38">
        <f t="shared" ref="S5:S17" si="16">U5</f>
        <v>45897</v>
      </c>
      <c r="T5" s="41"/>
      <c r="U5" s="60">
        <v>45897</v>
      </c>
      <c r="V5" s="60">
        <f t="shared" si="8"/>
        <v>45995</v>
      </c>
      <c r="W5" s="60">
        <v>45863</v>
      </c>
      <c r="X5" s="60">
        <v>45863</v>
      </c>
      <c r="Y5" s="60">
        <v>45866</v>
      </c>
      <c r="Z5" s="60">
        <v>45873</v>
      </c>
      <c r="AA5" s="60">
        <v>45866</v>
      </c>
      <c r="AB5" s="60">
        <v>45999</v>
      </c>
      <c r="AC5" s="60">
        <v>46038</v>
      </c>
      <c r="AD5" s="60">
        <v>45673</v>
      </c>
      <c r="AE5" s="60">
        <v>46039</v>
      </c>
      <c r="AF5" s="41"/>
      <c r="AG5" s="24"/>
      <c r="AH5" s="78"/>
      <c r="AI5" s="25"/>
    </row>
    <row r="6" spans="1:35" hidden="1" x14ac:dyDescent="0.25">
      <c r="A6" s="39" t="s">
        <v>241</v>
      </c>
      <c r="B6" s="20" t="str">
        <f t="shared" si="9"/>
        <v>Y</v>
      </c>
      <c r="C6" s="20" t="str">
        <f t="shared" si="10"/>
        <v>Y</v>
      </c>
      <c r="D6" s="20" t="str">
        <f t="shared" si="11"/>
        <v>Y</v>
      </c>
      <c r="E6" s="20" t="str">
        <f t="shared" si="12"/>
        <v>Y</v>
      </c>
      <c r="F6" s="20">
        <f t="shared" si="13"/>
        <v>2</v>
      </c>
      <c r="G6" s="56" t="str">
        <f t="shared" si="14"/>
        <v>y</v>
      </c>
      <c r="H6" s="61">
        <v>45772</v>
      </c>
      <c r="I6" s="60">
        <v>45806</v>
      </c>
      <c r="J6" s="60">
        <v>45812</v>
      </c>
      <c r="K6" s="60">
        <v>45897</v>
      </c>
      <c r="L6" s="60">
        <v>45904</v>
      </c>
      <c r="M6" s="41"/>
      <c r="N6" s="41"/>
      <c r="O6" s="41"/>
      <c r="P6" s="60">
        <v>45706</v>
      </c>
      <c r="Q6" s="60">
        <v>45705</v>
      </c>
      <c r="R6" s="43">
        <f t="shared" si="15"/>
        <v>3</v>
      </c>
      <c r="S6" s="38">
        <f t="shared" si="16"/>
        <v>45904</v>
      </c>
      <c r="T6" s="41"/>
      <c r="U6" s="60">
        <v>45904</v>
      </c>
      <c r="V6" s="60">
        <f t="shared" si="8"/>
        <v>46030</v>
      </c>
      <c r="W6" s="60">
        <v>45834</v>
      </c>
      <c r="X6" s="60">
        <v>45834</v>
      </c>
      <c r="Y6" s="60">
        <v>45835</v>
      </c>
      <c r="Z6" s="60"/>
      <c r="AA6" s="60">
        <v>45835</v>
      </c>
      <c r="AB6" s="60">
        <v>45961</v>
      </c>
      <c r="AC6" s="60"/>
      <c r="AD6" s="60"/>
      <c r="AE6" s="41"/>
      <c r="AF6" s="41"/>
      <c r="AG6" s="24"/>
      <c r="AH6" s="78"/>
      <c r="AI6" s="25"/>
    </row>
    <row r="7" spans="1:35" x14ac:dyDescent="0.25">
      <c r="A7" s="39" t="s">
        <v>242</v>
      </c>
      <c r="B7" s="20" t="str">
        <f t="shared" si="9"/>
        <v>Y</v>
      </c>
      <c r="C7" s="20" t="str">
        <f t="shared" si="10"/>
        <v>Y</v>
      </c>
      <c r="D7" s="20" t="str">
        <f t="shared" si="11"/>
        <v>Y</v>
      </c>
      <c r="E7" s="20" t="str">
        <f t="shared" si="12"/>
        <v>Y</v>
      </c>
      <c r="F7" s="20">
        <f t="shared" si="13"/>
        <v>2</v>
      </c>
      <c r="G7" s="56" t="str">
        <f t="shared" si="14"/>
        <v>y</v>
      </c>
      <c r="H7" s="61">
        <v>45772</v>
      </c>
      <c r="I7" s="60">
        <v>45806</v>
      </c>
      <c r="J7" s="60">
        <v>45812</v>
      </c>
      <c r="K7" s="60">
        <v>45897</v>
      </c>
      <c r="L7" s="60">
        <v>45904</v>
      </c>
      <c r="M7" s="41"/>
      <c r="N7" s="41"/>
      <c r="O7" s="41"/>
      <c r="P7" s="60">
        <v>45706</v>
      </c>
      <c r="Q7" s="60">
        <v>45705</v>
      </c>
      <c r="R7" s="43">
        <f t="shared" si="15"/>
        <v>3</v>
      </c>
      <c r="S7" s="38">
        <f t="shared" si="16"/>
        <v>45904</v>
      </c>
      <c r="T7" s="41"/>
      <c r="U7" s="60">
        <v>45904</v>
      </c>
      <c r="V7" s="60">
        <f t="shared" si="8"/>
        <v>46030</v>
      </c>
      <c r="W7" s="60">
        <v>45838</v>
      </c>
      <c r="X7" s="60">
        <v>45838</v>
      </c>
      <c r="Y7" s="60">
        <v>45839</v>
      </c>
      <c r="Z7" s="60">
        <v>46002</v>
      </c>
      <c r="AA7" s="60">
        <v>45839</v>
      </c>
      <c r="AB7" s="60">
        <v>45664</v>
      </c>
      <c r="AC7" s="60">
        <v>46000</v>
      </c>
      <c r="AD7" s="60">
        <v>46029</v>
      </c>
      <c r="AE7" s="60">
        <v>46030</v>
      </c>
      <c r="AF7" s="41"/>
      <c r="AG7" s="24"/>
      <c r="AH7" s="78"/>
      <c r="AI7" s="25"/>
    </row>
    <row r="8" spans="1:35" x14ac:dyDescent="0.25">
      <c r="A8" s="39" t="s">
        <v>243</v>
      </c>
      <c r="B8" s="20" t="str">
        <f t="shared" si="9"/>
        <v>Y</v>
      </c>
      <c r="C8" s="20" t="str">
        <f t="shared" si="10"/>
        <v>Y</v>
      </c>
      <c r="D8" s="20" t="str">
        <f t="shared" si="11"/>
        <v>Y</v>
      </c>
      <c r="E8" s="20" t="str">
        <f t="shared" si="12"/>
        <v>Y</v>
      </c>
      <c r="F8" s="20">
        <f t="shared" si="13"/>
        <v>1</v>
      </c>
      <c r="G8" s="56" t="str">
        <f t="shared" si="14"/>
        <v>y</v>
      </c>
      <c r="H8" s="61">
        <v>45741</v>
      </c>
      <c r="I8" s="60">
        <v>45806</v>
      </c>
      <c r="J8" s="60">
        <v>45812</v>
      </c>
      <c r="K8" s="41"/>
      <c r="L8" s="41"/>
      <c r="M8" s="41"/>
      <c r="N8" s="41"/>
      <c r="O8" s="41"/>
      <c r="P8" s="60">
        <v>45706</v>
      </c>
      <c r="Q8" s="60">
        <v>45705</v>
      </c>
      <c r="R8" s="43">
        <f t="shared" si="15"/>
        <v>2</v>
      </c>
      <c r="S8" s="38">
        <f t="shared" si="16"/>
        <v>45812</v>
      </c>
      <c r="T8" s="41"/>
      <c r="U8" s="60">
        <v>45812</v>
      </c>
      <c r="V8" s="60">
        <f t="shared" si="8"/>
        <v>45938</v>
      </c>
      <c r="W8" s="60">
        <v>45838</v>
      </c>
      <c r="X8" s="60">
        <v>45838</v>
      </c>
      <c r="Y8" s="60">
        <v>45840</v>
      </c>
      <c r="Z8" s="60">
        <v>45887</v>
      </c>
      <c r="AA8" s="60">
        <v>45840</v>
      </c>
      <c r="AB8" s="60">
        <v>45952</v>
      </c>
      <c r="AC8" s="60">
        <v>45953</v>
      </c>
      <c r="AD8" s="60">
        <v>45955</v>
      </c>
      <c r="AE8" s="60">
        <v>45957</v>
      </c>
      <c r="AF8" s="41"/>
      <c r="AG8" s="24"/>
      <c r="AH8" s="78"/>
      <c r="AI8" s="25"/>
    </row>
    <row r="9" spans="1:35" hidden="1" x14ac:dyDescent="0.25">
      <c r="A9" s="39" t="s">
        <v>244</v>
      </c>
      <c r="B9" s="20" t="str">
        <f t="shared" si="9"/>
        <v>Y</v>
      </c>
      <c r="C9" s="20" t="str">
        <f t="shared" si="10"/>
        <v>Y</v>
      </c>
      <c r="D9" s="20" t="str">
        <f t="shared" si="11"/>
        <v>Y</v>
      </c>
      <c r="E9" s="20" t="str">
        <f t="shared" si="12"/>
        <v>Y</v>
      </c>
      <c r="F9" s="20">
        <f t="shared" si="13"/>
        <v>1</v>
      </c>
      <c r="G9" s="56" t="str">
        <f t="shared" si="14"/>
        <v>y</v>
      </c>
      <c r="H9" s="61">
        <v>45749</v>
      </c>
      <c r="I9" s="60">
        <v>45791</v>
      </c>
      <c r="J9" s="60">
        <v>45805</v>
      </c>
      <c r="K9" s="41"/>
      <c r="L9" s="41"/>
      <c r="M9" s="41"/>
      <c r="N9" s="41"/>
      <c r="O9" s="41"/>
      <c r="P9" s="60">
        <v>45706</v>
      </c>
      <c r="Q9" s="60">
        <v>45705</v>
      </c>
      <c r="R9" s="43">
        <f t="shared" si="15"/>
        <v>2</v>
      </c>
      <c r="S9" s="38">
        <f t="shared" si="16"/>
        <v>45805</v>
      </c>
      <c r="T9" s="41"/>
      <c r="U9" s="60">
        <v>45805</v>
      </c>
      <c r="V9" s="60">
        <f t="shared" si="8"/>
        <v>45931</v>
      </c>
      <c r="W9" s="60">
        <v>45839</v>
      </c>
      <c r="X9" s="60">
        <v>45839</v>
      </c>
      <c r="Y9" s="60">
        <v>45840</v>
      </c>
      <c r="Z9" s="60"/>
      <c r="AA9" s="60">
        <v>45840</v>
      </c>
      <c r="AB9" s="60">
        <v>45903</v>
      </c>
      <c r="AC9" s="60"/>
      <c r="AD9" s="60"/>
      <c r="AE9" s="60">
        <v>45903</v>
      </c>
      <c r="AF9" s="41"/>
      <c r="AG9" s="24"/>
      <c r="AH9" s="78"/>
      <c r="AI9" s="25"/>
    </row>
    <row r="10" spans="1:35" hidden="1" x14ac:dyDescent="0.25">
      <c r="A10" s="39" t="s">
        <v>251</v>
      </c>
      <c r="B10" s="20" t="str">
        <f t="shared" ref="B10" si="17">IF(H10&gt;0,"Y","N")</f>
        <v>Y</v>
      </c>
      <c r="C10" s="20" t="str">
        <f t="shared" ref="C10" si="18">IF(I10&gt;0,IF(J10&gt;0,"Y","N"),"Y")</f>
        <v>Y</v>
      </c>
      <c r="D10" s="20" t="str">
        <f t="shared" ref="D10" si="19">IF(K10&gt;0,IF(L10&gt;0,"Y","N"),"Y")</f>
        <v>Y</v>
      </c>
      <c r="E10" s="20" t="str">
        <f t="shared" ref="E10" si="20">IF(M10&gt;0,IF(N10&gt;0,"Y","N"),"Y")</f>
        <v>Y</v>
      </c>
      <c r="F10" s="20">
        <f t="shared" ref="F10" si="21">IF(N10&gt;0,3,IF(L10&gt;0,2,IF(J10&gt;0,1,IF(H10&gt;0,0,"  "))))</f>
        <v>1</v>
      </c>
      <c r="G10" s="56" t="str">
        <f t="shared" ref="G10" si="22">IF(U10=0,"  ","y")</f>
        <v>y</v>
      </c>
      <c r="H10" s="61">
        <v>45749</v>
      </c>
      <c r="I10" s="60">
        <v>45791</v>
      </c>
      <c r="J10" s="60">
        <v>45805</v>
      </c>
      <c r="K10" s="41"/>
      <c r="L10" s="41"/>
      <c r="M10" s="41"/>
      <c r="N10" s="41"/>
      <c r="O10" s="41"/>
      <c r="P10" s="60">
        <v>45706</v>
      </c>
      <c r="Q10" s="60">
        <v>45705</v>
      </c>
      <c r="R10" s="43">
        <f t="shared" ref="R10" si="23">IF(N10&gt;0,4,IF(L10&gt;0,3,IF(J10&gt;0,2,IF(H10&gt;0,1,0))))</f>
        <v>2</v>
      </c>
      <c r="S10" s="38">
        <f t="shared" ref="S10" si="24">U10</f>
        <v>45805</v>
      </c>
      <c r="T10" s="41"/>
      <c r="U10" s="60">
        <v>45805</v>
      </c>
      <c r="V10" s="60">
        <f t="shared" si="8"/>
        <v>45959</v>
      </c>
      <c r="W10" s="60">
        <v>45854</v>
      </c>
      <c r="X10" s="60">
        <v>45854</v>
      </c>
      <c r="Y10" s="60">
        <v>45855</v>
      </c>
      <c r="Z10" s="60"/>
      <c r="AA10" s="60">
        <v>45855</v>
      </c>
      <c r="AB10" s="60">
        <v>45896</v>
      </c>
      <c r="AC10" s="60"/>
      <c r="AD10" s="60"/>
      <c r="AE10" s="60">
        <v>45896</v>
      </c>
      <c r="AF10" s="41"/>
      <c r="AG10" s="24"/>
      <c r="AH10" s="78"/>
      <c r="AI10" s="25"/>
    </row>
    <row r="11" spans="1:35" x14ac:dyDescent="0.25">
      <c r="A11" s="39" t="s">
        <v>245</v>
      </c>
      <c r="B11" s="20" t="str">
        <f t="shared" si="9"/>
        <v>Y</v>
      </c>
      <c r="C11" s="20" t="str">
        <f t="shared" si="10"/>
        <v>Y</v>
      </c>
      <c r="D11" s="20" t="str">
        <f t="shared" si="11"/>
        <v>Y</v>
      </c>
      <c r="E11" s="20" t="str">
        <f t="shared" si="12"/>
        <v>Y</v>
      </c>
      <c r="F11" s="20">
        <f t="shared" si="13"/>
        <v>1</v>
      </c>
      <c r="G11" s="56" t="str">
        <f t="shared" si="14"/>
        <v>y</v>
      </c>
      <c r="H11" s="61">
        <v>45749</v>
      </c>
      <c r="I11" s="60">
        <v>45791</v>
      </c>
      <c r="J11" s="60">
        <v>45805</v>
      </c>
      <c r="K11" s="41"/>
      <c r="L11" s="41"/>
      <c r="M11" s="41"/>
      <c r="N11" s="41"/>
      <c r="O11" s="41"/>
      <c r="P11" s="60">
        <v>45706</v>
      </c>
      <c r="Q11" s="60">
        <v>45705</v>
      </c>
      <c r="R11" s="43">
        <f t="shared" si="15"/>
        <v>2</v>
      </c>
      <c r="S11" s="38">
        <f t="shared" si="16"/>
        <v>45805</v>
      </c>
      <c r="T11" s="41"/>
      <c r="U11" s="60">
        <v>45805</v>
      </c>
      <c r="V11" s="60">
        <f t="shared" si="8"/>
        <v>45959</v>
      </c>
      <c r="W11" s="60">
        <v>45859</v>
      </c>
      <c r="X11" s="60">
        <v>45859</v>
      </c>
      <c r="Y11" s="60">
        <v>45860</v>
      </c>
      <c r="Z11" s="60">
        <v>45915</v>
      </c>
      <c r="AA11" s="60">
        <v>45860</v>
      </c>
      <c r="AB11" s="60">
        <v>45979</v>
      </c>
      <c r="AC11" s="60">
        <v>45994</v>
      </c>
      <c r="AD11" s="60">
        <v>45994</v>
      </c>
      <c r="AE11" s="60">
        <v>45995</v>
      </c>
      <c r="AF11" s="41"/>
      <c r="AG11" s="24"/>
      <c r="AH11" s="78"/>
      <c r="AI11" s="25"/>
    </row>
    <row r="12" spans="1:35" hidden="1" x14ac:dyDescent="0.25">
      <c r="A12" s="39" t="s">
        <v>246</v>
      </c>
      <c r="B12" s="20" t="str">
        <f t="shared" si="9"/>
        <v>Y</v>
      </c>
      <c r="C12" s="20" t="str">
        <f t="shared" si="10"/>
        <v>Y</v>
      </c>
      <c r="D12" s="20" t="str">
        <f t="shared" si="11"/>
        <v>Y</v>
      </c>
      <c r="E12" s="20" t="str">
        <f t="shared" si="12"/>
        <v>Y</v>
      </c>
      <c r="F12" s="20">
        <f t="shared" si="13"/>
        <v>1</v>
      </c>
      <c r="G12" s="56" t="str">
        <f t="shared" si="14"/>
        <v>y</v>
      </c>
      <c r="H12" s="61">
        <v>45726</v>
      </c>
      <c r="I12" s="60">
        <v>45754</v>
      </c>
      <c r="J12" s="60">
        <v>45769</v>
      </c>
      <c r="K12" s="41"/>
      <c r="L12" s="41"/>
      <c r="M12" s="41"/>
      <c r="N12" s="41"/>
      <c r="O12" s="41"/>
      <c r="P12" s="60">
        <v>45706</v>
      </c>
      <c r="Q12" s="60">
        <v>45705</v>
      </c>
      <c r="R12" s="43">
        <f t="shared" si="15"/>
        <v>2</v>
      </c>
      <c r="S12" s="38">
        <f t="shared" si="16"/>
        <v>45769</v>
      </c>
      <c r="T12" s="41"/>
      <c r="U12" s="60">
        <v>45769</v>
      </c>
      <c r="V12" s="60">
        <f t="shared" si="8"/>
        <v>45923</v>
      </c>
      <c r="W12" s="60">
        <v>45860</v>
      </c>
      <c r="X12" s="60">
        <v>45860</v>
      </c>
      <c r="Y12" s="60">
        <v>45861</v>
      </c>
      <c r="Z12" s="60"/>
      <c r="AA12" s="60">
        <v>45861</v>
      </c>
      <c r="AB12" s="60">
        <v>45930</v>
      </c>
      <c r="AC12" s="60"/>
      <c r="AD12" s="60"/>
      <c r="AE12" s="60">
        <v>45930</v>
      </c>
      <c r="AF12" s="41"/>
      <c r="AG12" s="24"/>
      <c r="AH12" s="78"/>
      <c r="AI12" s="25"/>
    </row>
    <row r="13" spans="1:35" x14ac:dyDescent="0.25">
      <c r="A13" s="39" t="s">
        <v>247</v>
      </c>
      <c r="B13" s="20" t="str">
        <f t="shared" si="9"/>
        <v>Y</v>
      </c>
      <c r="C13" s="20" t="str">
        <f t="shared" si="10"/>
        <v>Y</v>
      </c>
      <c r="D13" s="20" t="str">
        <f t="shared" si="11"/>
        <v>Y</v>
      </c>
      <c r="E13" s="20" t="str">
        <f t="shared" si="12"/>
        <v>Y</v>
      </c>
      <c r="F13" s="20">
        <f t="shared" si="13"/>
        <v>2</v>
      </c>
      <c r="G13" s="56" t="str">
        <f t="shared" si="14"/>
        <v>y</v>
      </c>
      <c r="H13" s="61">
        <v>45798</v>
      </c>
      <c r="I13" s="60">
        <v>45852</v>
      </c>
      <c r="J13" s="60">
        <v>45874</v>
      </c>
      <c r="K13" s="60">
        <v>45890</v>
      </c>
      <c r="L13" s="60">
        <v>45905</v>
      </c>
      <c r="M13" s="41"/>
      <c r="N13" s="41"/>
      <c r="O13" s="41"/>
      <c r="P13" s="60">
        <v>45706</v>
      </c>
      <c r="Q13" s="60">
        <v>45705</v>
      </c>
      <c r="R13" s="43">
        <f t="shared" si="15"/>
        <v>3</v>
      </c>
      <c r="S13" s="38">
        <f t="shared" si="16"/>
        <v>45905</v>
      </c>
      <c r="T13" s="41"/>
      <c r="U13" s="60">
        <v>45905</v>
      </c>
      <c r="V13" s="60">
        <f t="shared" si="8"/>
        <v>46059</v>
      </c>
      <c r="W13" s="60">
        <v>45915</v>
      </c>
      <c r="X13" s="60">
        <v>45917</v>
      </c>
      <c r="Y13" s="60">
        <v>45919</v>
      </c>
      <c r="Z13" s="60">
        <v>46066</v>
      </c>
      <c r="AA13" s="60">
        <v>45919</v>
      </c>
      <c r="AB13" s="60">
        <v>45952</v>
      </c>
      <c r="AC13" s="60">
        <v>46051</v>
      </c>
      <c r="AD13" s="60">
        <v>46050</v>
      </c>
      <c r="AE13" s="60">
        <v>45954</v>
      </c>
      <c r="AF13" s="41"/>
      <c r="AG13" s="24"/>
      <c r="AH13" s="78"/>
      <c r="AI13" s="25"/>
    </row>
    <row r="14" spans="1:35" x14ac:dyDescent="0.25">
      <c r="A14" s="39" t="s">
        <v>248</v>
      </c>
      <c r="B14" s="20" t="str">
        <f t="shared" si="9"/>
        <v>Y</v>
      </c>
      <c r="C14" s="20" t="str">
        <f t="shared" si="10"/>
        <v>Y</v>
      </c>
      <c r="D14" s="20" t="str">
        <f t="shared" si="11"/>
        <v>Y</v>
      </c>
      <c r="E14" s="20" t="str">
        <f t="shared" si="12"/>
        <v>Y</v>
      </c>
      <c r="F14" s="20">
        <f t="shared" si="13"/>
        <v>2</v>
      </c>
      <c r="G14" s="56" t="str">
        <f t="shared" si="14"/>
        <v>y</v>
      </c>
      <c r="H14" s="61">
        <v>45790</v>
      </c>
      <c r="I14" s="60">
        <v>45826</v>
      </c>
      <c r="J14" s="60">
        <v>45834</v>
      </c>
      <c r="K14" s="60">
        <v>45897</v>
      </c>
      <c r="L14" s="60">
        <v>45905</v>
      </c>
      <c r="M14" s="41"/>
      <c r="N14" s="41"/>
      <c r="O14" s="41"/>
      <c r="P14" s="60">
        <v>45706</v>
      </c>
      <c r="Q14" s="60">
        <v>45705</v>
      </c>
      <c r="R14" s="43">
        <f t="shared" si="15"/>
        <v>3</v>
      </c>
      <c r="S14" s="38">
        <f t="shared" si="16"/>
        <v>45905</v>
      </c>
      <c r="T14" s="41"/>
      <c r="U14" s="60">
        <v>45905</v>
      </c>
      <c r="V14" s="60">
        <f t="shared" si="8"/>
        <v>46087</v>
      </c>
      <c r="W14" s="60">
        <v>45913</v>
      </c>
      <c r="X14" s="60">
        <v>45915</v>
      </c>
      <c r="Y14" s="60">
        <v>45917</v>
      </c>
      <c r="Z14" s="60">
        <v>45923</v>
      </c>
      <c r="AA14" s="60">
        <v>45917</v>
      </c>
      <c r="AB14" s="60">
        <v>45979</v>
      </c>
      <c r="AC14" s="60">
        <v>46002</v>
      </c>
      <c r="AD14" s="60">
        <v>45999</v>
      </c>
      <c r="AE14" s="60">
        <v>45995</v>
      </c>
      <c r="AF14" s="41"/>
      <c r="AG14" s="24"/>
      <c r="AH14" s="78"/>
      <c r="AI14" s="25"/>
    </row>
    <row r="15" spans="1:35" hidden="1" x14ac:dyDescent="0.25">
      <c r="A15" s="39" t="s">
        <v>249</v>
      </c>
      <c r="B15" s="20" t="str">
        <f t="shared" si="9"/>
        <v>Y</v>
      </c>
      <c r="C15" s="20" t="str">
        <f t="shared" si="10"/>
        <v>Y</v>
      </c>
      <c r="D15" s="20" t="str">
        <f t="shared" si="11"/>
        <v>Y</v>
      </c>
      <c r="E15" s="20" t="str">
        <f t="shared" si="12"/>
        <v>Y</v>
      </c>
      <c r="F15" s="20">
        <f t="shared" si="13"/>
        <v>3</v>
      </c>
      <c r="G15" s="56" t="str">
        <f t="shared" si="14"/>
        <v>y</v>
      </c>
      <c r="H15" s="61">
        <v>45741</v>
      </c>
      <c r="I15" s="60">
        <v>45806</v>
      </c>
      <c r="J15" s="60">
        <v>45812</v>
      </c>
      <c r="K15" s="60">
        <v>45862</v>
      </c>
      <c r="L15" s="60">
        <v>45873</v>
      </c>
      <c r="M15" s="60">
        <v>45890</v>
      </c>
      <c r="N15" s="60">
        <v>45895</v>
      </c>
      <c r="O15" s="41"/>
      <c r="P15" s="60">
        <v>45706</v>
      </c>
      <c r="Q15" s="60">
        <v>45705</v>
      </c>
      <c r="R15" s="43">
        <f t="shared" si="15"/>
        <v>4</v>
      </c>
      <c r="S15" s="38">
        <f t="shared" si="16"/>
        <v>45895</v>
      </c>
      <c r="T15" s="41"/>
      <c r="U15" s="60">
        <v>45895</v>
      </c>
      <c r="V15" s="60">
        <f t="shared" si="8"/>
        <v>46077</v>
      </c>
      <c r="W15" s="60">
        <v>45855</v>
      </c>
      <c r="X15" s="60">
        <v>45855</v>
      </c>
      <c r="Y15" s="60">
        <v>45888</v>
      </c>
      <c r="Z15" s="60"/>
      <c r="AA15" s="60">
        <v>45888</v>
      </c>
      <c r="AB15" s="60">
        <v>45904</v>
      </c>
      <c r="AC15" s="60"/>
      <c r="AD15" s="60"/>
      <c r="AE15" s="60">
        <v>45904</v>
      </c>
      <c r="AF15" s="41"/>
      <c r="AG15" s="24"/>
      <c r="AH15" s="78"/>
      <c r="AI15" s="25"/>
    </row>
    <row r="16" spans="1:35" x14ac:dyDescent="0.25">
      <c r="A16" s="39" t="s">
        <v>250</v>
      </c>
      <c r="B16" s="20" t="str">
        <f t="shared" si="9"/>
        <v>Y</v>
      </c>
      <c r="C16" s="20" t="str">
        <f t="shared" si="10"/>
        <v>Y</v>
      </c>
      <c r="D16" s="20" t="str">
        <f t="shared" si="11"/>
        <v>Y</v>
      </c>
      <c r="E16" s="20" t="str">
        <f t="shared" si="12"/>
        <v>Y</v>
      </c>
      <c r="F16" s="20">
        <f t="shared" si="13"/>
        <v>2</v>
      </c>
      <c r="G16" s="56" t="str">
        <f t="shared" si="14"/>
        <v>y</v>
      </c>
      <c r="H16" s="61">
        <v>45790</v>
      </c>
      <c r="I16" s="60">
        <v>45826</v>
      </c>
      <c r="J16" s="60">
        <v>45891</v>
      </c>
      <c r="K16" s="60">
        <v>45897</v>
      </c>
      <c r="L16" s="60">
        <v>45902</v>
      </c>
      <c r="M16" s="41"/>
      <c r="N16" s="41"/>
      <c r="O16" s="41"/>
      <c r="P16" s="60">
        <v>45706</v>
      </c>
      <c r="Q16" s="60">
        <v>45705</v>
      </c>
      <c r="R16" s="43">
        <f t="shared" si="15"/>
        <v>3</v>
      </c>
      <c r="S16" s="38">
        <f t="shared" si="16"/>
        <v>45902</v>
      </c>
      <c r="T16" s="41"/>
      <c r="U16" s="60">
        <v>45902</v>
      </c>
      <c r="V16" s="60">
        <f t="shared" si="8"/>
        <v>46084</v>
      </c>
      <c r="W16" s="60">
        <v>45910</v>
      </c>
      <c r="X16" s="60">
        <v>45910</v>
      </c>
      <c r="Y16" s="60">
        <v>45911</v>
      </c>
      <c r="Z16" s="60">
        <v>45915</v>
      </c>
      <c r="AA16" s="60">
        <v>45911</v>
      </c>
      <c r="AB16" s="60">
        <v>45916</v>
      </c>
      <c r="AC16" s="60">
        <v>45950</v>
      </c>
      <c r="AD16" s="60">
        <v>45918</v>
      </c>
      <c r="AE16" s="60">
        <v>45918</v>
      </c>
      <c r="AF16" s="41"/>
      <c r="AG16" s="24"/>
      <c r="AH16" s="78"/>
      <c r="AI16" s="25"/>
    </row>
    <row r="17" spans="1:35" hidden="1" x14ac:dyDescent="0.25">
      <c r="A17" s="39" t="s">
        <v>252</v>
      </c>
      <c r="B17" s="20" t="str">
        <f t="shared" si="9"/>
        <v>Y</v>
      </c>
      <c r="C17" s="20" t="str">
        <f t="shared" si="10"/>
        <v>Y</v>
      </c>
      <c r="D17" s="20" t="str">
        <f t="shared" si="11"/>
        <v>Y</v>
      </c>
      <c r="E17" s="20" t="str">
        <f t="shared" si="12"/>
        <v>Y</v>
      </c>
      <c r="F17" s="20">
        <f t="shared" si="13"/>
        <v>2</v>
      </c>
      <c r="G17" s="56" t="str">
        <f t="shared" si="14"/>
        <v>y</v>
      </c>
      <c r="H17" s="61">
        <v>45700</v>
      </c>
      <c r="I17" s="60">
        <v>45714</v>
      </c>
      <c r="J17" s="60">
        <v>45721</v>
      </c>
      <c r="K17" s="60">
        <v>45726</v>
      </c>
      <c r="L17" s="60">
        <v>45726</v>
      </c>
      <c r="M17" s="41"/>
      <c r="N17" s="41"/>
      <c r="O17" s="41"/>
      <c r="P17" s="60">
        <v>45699</v>
      </c>
      <c r="Q17" s="60">
        <v>45699</v>
      </c>
      <c r="R17" s="43">
        <f t="shared" si="15"/>
        <v>3</v>
      </c>
      <c r="S17" s="38">
        <f t="shared" si="16"/>
        <v>45726</v>
      </c>
      <c r="T17" s="41"/>
      <c r="U17" s="60">
        <v>45726</v>
      </c>
      <c r="V17" s="60">
        <f t="shared" si="8"/>
        <v>45810</v>
      </c>
      <c r="W17" s="60">
        <v>45729</v>
      </c>
      <c r="X17" s="60">
        <v>45730</v>
      </c>
      <c r="Y17" s="60">
        <v>45734</v>
      </c>
      <c r="Z17" s="60"/>
      <c r="AA17" s="60">
        <v>45734</v>
      </c>
      <c r="AB17" s="60">
        <v>45728</v>
      </c>
      <c r="AC17" s="60"/>
      <c r="AD17" s="60"/>
      <c r="AE17" s="60">
        <v>45735</v>
      </c>
      <c r="AF17" s="41"/>
      <c r="AG17" s="24"/>
      <c r="AH17" s="78"/>
      <c r="AI17" s="25"/>
    </row>
    <row r="18" spans="1:35" hidden="1" x14ac:dyDescent="0.25">
      <c r="A18" s="39" t="s">
        <v>253</v>
      </c>
      <c r="B18" s="20" t="str">
        <f t="shared" ref="B18:B25" si="25">IF(H18&gt;0,"Y","N")</f>
        <v>Y</v>
      </c>
      <c r="C18" s="20" t="str">
        <f t="shared" ref="C18:C25" si="26">IF(I18&gt;0,IF(J18&gt;0,"Y","N"),"Y")</f>
        <v>Y</v>
      </c>
      <c r="D18" s="20" t="str">
        <f t="shared" ref="D18:D25" si="27">IF(K18&gt;0,IF(L18&gt;0,"Y","N"),"Y")</f>
        <v>Y</v>
      </c>
      <c r="E18" s="20" t="str">
        <f t="shared" ref="E18:E25" si="28">IF(M18&gt;0,IF(N18&gt;0,"Y","N"),"Y")</f>
        <v>Y</v>
      </c>
      <c r="F18" s="20">
        <f t="shared" ref="F18:F25" si="29">IF(N18&gt;0,3,IF(L18&gt;0,2,IF(J18&gt;0,1,IF(H18&gt;0,0,"  "))))</f>
        <v>2</v>
      </c>
      <c r="G18" s="56" t="str">
        <f t="shared" ref="G18:G25" si="30">IF(U18=0,"  ","y")</f>
        <v>y</v>
      </c>
      <c r="H18" s="61">
        <v>45700</v>
      </c>
      <c r="I18" s="60">
        <v>45714</v>
      </c>
      <c r="J18" s="60">
        <v>45721</v>
      </c>
      <c r="K18" s="60">
        <v>45726</v>
      </c>
      <c r="L18" s="60">
        <v>45726</v>
      </c>
      <c r="M18" s="41"/>
      <c r="N18" s="41"/>
      <c r="O18" s="41"/>
      <c r="P18" s="60">
        <v>45699</v>
      </c>
      <c r="Q18" s="60">
        <v>45699</v>
      </c>
      <c r="R18" s="43">
        <f t="shared" ref="R18:R25" si="31">IF(N18&gt;0,4,IF(L18&gt;0,3,IF(J18&gt;0,2,IF(H18&gt;0,1,0))))</f>
        <v>3</v>
      </c>
      <c r="S18" s="38">
        <f t="shared" ref="S18:S25" si="32">U18</f>
        <v>45726</v>
      </c>
      <c r="T18" s="41"/>
      <c r="U18" s="60">
        <v>45726</v>
      </c>
      <c r="V18" s="60">
        <f t="shared" si="8"/>
        <v>45810</v>
      </c>
      <c r="W18" s="60">
        <v>45729</v>
      </c>
      <c r="X18" s="60">
        <v>45730</v>
      </c>
      <c r="Y18" s="60">
        <v>45734</v>
      </c>
      <c r="Z18" s="60"/>
      <c r="AA18" s="60">
        <v>45734</v>
      </c>
      <c r="AB18" s="60">
        <v>45728</v>
      </c>
      <c r="AC18" s="60"/>
      <c r="AD18" s="60"/>
      <c r="AE18" s="60">
        <v>45735</v>
      </c>
      <c r="AF18" s="41"/>
      <c r="AG18" s="24"/>
      <c r="AH18" s="78"/>
      <c r="AI18" s="25"/>
    </row>
    <row r="19" spans="1:35" hidden="1" x14ac:dyDescent="0.25">
      <c r="A19" s="39" t="s">
        <v>254</v>
      </c>
      <c r="B19" s="20" t="str">
        <f t="shared" si="25"/>
        <v>Y</v>
      </c>
      <c r="C19" s="20" t="str">
        <f t="shared" si="26"/>
        <v>Y</v>
      </c>
      <c r="D19" s="20" t="str">
        <f t="shared" si="27"/>
        <v>Y</v>
      </c>
      <c r="E19" s="20" t="str">
        <f t="shared" si="28"/>
        <v>Y</v>
      </c>
      <c r="F19" s="20">
        <f t="shared" si="29"/>
        <v>2</v>
      </c>
      <c r="G19" s="56" t="str">
        <f t="shared" si="30"/>
        <v>y</v>
      </c>
      <c r="H19" s="61">
        <v>45714</v>
      </c>
      <c r="I19" s="60">
        <v>45754</v>
      </c>
      <c r="J19" s="60">
        <v>45764</v>
      </c>
      <c r="K19" s="60">
        <v>45799</v>
      </c>
      <c r="L19" s="60">
        <v>45805</v>
      </c>
      <c r="M19" s="41"/>
      <c r="N19" s="41"/>
      <c r="O19" s="41"/>
      <c r="P19" s="60">
        <v>45706</v>
      </c>
      <c r="Q19" s="60">
        <v>45707</v>
      </c>
      <c r="R19" s="43">
        <f t="shared" si="31"/>
        <v>3</v>
      </c>
      <c r="S19" s="38">
        <f t="shared" si="32"/>
        <v>45805</v>
      </c>
      <c r="T19" s="41"/>
      <c r="U19" s="60">
        <v>45805</v>
      </c>
      <c r="V19" s="60">
        <f t="shared" si="8"/>
        <v>45973</v>
      </c>
      <c r="W19" s="60">
        <v>45805</v>
      </c>
      <c r="X19" s="60">
        <v>45805</v>
      </c>
      <c r="Y19" s="60">
        <v>45805</v>
      </c>
      <c r="Z19" s="60"/>
      <c r="AA19" s="60">
        <v>45805</v>
      </c>
      <c r="AB19" s="60">
        <v>45811</v>
      </c>
      <c r="AC19" s="60"/>
      <c r="AD19" s="60"/>
      <c r="AE19" s="60">
        <v>45821</v>
      </c>
      <c r="AF19" s="41"/>
      <c r="AG19" s="24"/>
      <c r="AH19" s="78"/>
      <c r="AI19" s="25"/>
    </row>
    <row r="20" spans="1:35" hidden="1" x14ac:dyDescent="0.25">
      <c r="A20" s="39" t="s">
        <v>255</v>
      </c>
      <c r="B20" s="20" t="str">
        <f t="shared" si="25"/>
        <v>Y</v>
      </c>
      <c r="C20" s="20" t="str">
        <f t="shared" si="26"/>
        <v>Y</v>
      </c>
      <c r="D20" s="20" t="str">
        <f t="shared" si="27"/>
        <v>Y</v>
      </c>
      <c r="E20" s="20" t="str">
        <f t="shared" si="28"/>
        <v>Y</v>
      </c>
      <c r="F20" s="20">
        <f t="shared" si="29"/>
        <v>2</v>
      </c>
      <c r="G20" s="56" t="str">
        <f t="shared" si="30"/>
        <v>y</v>
      </c>
      <c r="H20" s="61">
        <v>45714</v>
      </c>
      <c r="I20" s="60">
        <v>45754</v>
      </c>
      <c r="J20" s="60">
        <v>45764</v>
      </c>
      <c r="K20" s="60">
        <v>45790</v>
      </c>
      <c r="L20" s="60">
        <v>45797</v>
      </c>
      <c r="M20" s="41"/>
      <c r="N20" s="41"/>
      <c r="O20" s="41"/>
      <c r="P20" s="60">
        <v>45706</v>
      </c>
      <c r="Q20" s="60">
        <v>45707</v>
      </c>
      <c r="R20" s="43">
        <f t="shared" si="31"/>
        <v>3</v>
      </c>
      <c r="S20" s="38">
        <f t="shared" si="32"/>
        <v>45797</v>
      </c>
      <c r="T20" s="41"/>
      <c r="U20" s="60">
        <v>45797</v>
      </c>
      <c r="V20" s="60">
        <f t="shared" si="8"/>
        <v>45965</v>
      </c>
      <c r="W20" s="60">
        <v>45792</v>
      </c>
      <c r="X20" s="60">
        <v>45792</v>
      </c>
      <c r="Y20" s="60">
        <v>45793</v>
      </c>
      <c r="Z20" s="60"/>
      <c r="AA20" s="60">
        <v>45793</v>
      </c>
      <c r="AB20" s="60">
        <v>45810</v>
      </c>
      <c r="AC20" s="60"/>
      <c r="AD20" s="60"/>
      <c r="AE20" s="60">
        <v>45821</v>
      </c>
      <c r="AF20" s="41"/>
      <c r="AG20" s="24"/>
      <c r="AH20" s="78"/>
      <c r="AI20" s="25"/>
    </row>
    <row r="21" spans="1:35" hidden="1" x14ac:dyDescent="0.25">
      <c r="A21" s="39" t="s">
        <v>256</v>
      </c>
      <c r="B21" s="20" t="str">
        <f t="shared" si="25"/>
        <v>Y</v>
      </c>
      <c r="C21" s="20" t="str">
        <f t="shared" si="26"/>
        <v>Y</v>
      </c>
      <c r="D21" s="20" t="str">
        <f t="shared" si="27"/>
        <v>Y</v>
      </c>
      <c r="E21" s="20" t="str">
        <f t="shared" si="28"/>
        <v>Y</v>
      </c>
      <c r="F21" s="20">
        <f t="shared" si="29"/>
        <v>2</v>
      </c>
      <c r="G21" s="56" t="str">
        <f t="shared" si="30"/>
        <v>y</v>
      </c>
      <c r="H21" s="61">
        <v>45714</v>
      </c>
      <c r="I21" s="60">
        <v>45754</v>
      </c>
      <c r="J21" s="60">
        <v>45764</v>
      </c>
      <c r="K21" s="60">
        <v>45790</v>
      </c>
      <c r="L21" s="60">
        <v>45797</v>
      </c>
      <c r="M21" s="41"/>
      <c r="N21" s="41"/>
      <c r="O21" s="41"/>
      <c r="P21" s="60">
        <v>45706</v>
      </c>
      <c r="Q21" s="60">
        <v>45707</v>
      </c>
      <c r="R21" s="43">
        <f t="shared" si="31"/>
        <v>3</v>
      </c>
      <c r="S21" s="38">
        <f t="shared" si="32"/>
        <v>45797</v>
      </c>
      <c r="T21" s="41"/>
      <c r="U21" s="60">
        <v>45797</v>
      </c>
      <c r="V21" s="60">
        <f t="shared" si="8"/>
        <v>45965</v>
      </c>
      <c r="W21" s="60">
        <v>45796</v>
      </c>
      <c r="X21" s="60">
        <v>45797</v>
      </c>
      <c r="Y21" s="60">
        <v>45798</v>
      </c>
      <c r="Z21" s="60"/>
      <c r="AA21" s="60">
        <v>45799</v>
      </c>
      <c r="AB21" s="60">
        <v>45811</v>
      </c>
      <c r="AC21" s="60"/>
      <c r="AD21" s="60"/>
      <c r="AE21" s="60">
        <v>45875</v>
      </c>
      <c r="AF21" s="41"/>
      <c r="AG21" s="24"/>
      <c r="AH21" s="78"/>
      <c r="AI21" s="25"/>
    </row>
    <row r="22" spans="1:35" hidden="1" x14ac:dyDescent="0.25">
      <c r="A22" s="39" t="s">
        <v>257</v>
      </c>
      <c r="B22" s="20" t="str">
        <f t="shared" si="25"/>
        <v>Y</v>
      </c>
      <c r="C22" s="20" t="str">
        <f t="shared" si="26"/>
        <v>Y</v>
      </c>
      <c r="D22" s="20" t="str">
        <f t="shared" si="27"/>
        <v>Y</v>
      </c>
      <c r="E22" s="20" t="str">
        <f t="shared" si="28"/>
        <v>Y</v>
      </c>
      <c r="F22" s="20">
        <f t="shared" si="29"/>
        <v>2</v>
      </c>
      <c r="G22" s="56" t="str">
        <f t="shared" si="30"/>
        <v>y</v>
      </c>
      <c r="H22" s="61">
        <v>45719</v>
      </c>
      <c r="I22" s="60">
        <v>45754</v>
      </c>
      <c r="J22" s="60">
        <v>45764</v>
      </c>
      <c r="K22" s="60">
        <v>45790</v>
      </c>
      <c r="L22" s="60">
        <v>45797</v>
      </c>
      <c r="M22" s="41"/>
      <c r="N22" s="41"/>
      <c r="O22" s="41"/>
      <c r="P22" s="60">
        <v>45706</v>
      </c>
      <c r="Q22" s="60">
        <v>45707</v>
      </c>
      <c r="R22" s="43">
        <f t="shared" si="31"/>
        <v>3</v>
      </c>
      <c r="S22" s="38">
        <f t="shared" si="32"/>
        <v>45797</v>
      </c>
      <c r="T22" s="41"/>
      <c r="U22" s="60">
        <v>45797</v>
      </c>
      <c r="V22" s="60">
        <f t="shared" si="8"/>
        <v>45965</v>
      </c>
      <c r="W22" s="60">
        <v>45796</v>
      </c>
      <c r="X22" s="60">
        <v>45797</v>
      </c>
      <c r="Y22" s="60">
        <v>45798</v>
      </c>
      <c r="Z22" s="60"/>
      <c r="AA22" s="60">
        <v>45799</v>
      </c>
      <c r="AB22" s="60">
        <v>45811</v>
      </c>
      <c r="AC22" s="60"/>
      <c r="AD22" s="60"/>
      <c r="AE22" s="60">
        <v>45875</v>
      </c>
      <c r="AF22" s="41"/>
      <c r="AG22" s="24"/>
      <c r="AH22" s="78"/>
      <c r="AI22" s="25"/>
    </row>
    <row r="23" spans="1:35" hidden="1" x14ac:dyDescent="0.25">
      <c r="A23" s="39" t="s">
        <v>258</v>
      </c>
      <c r="B23" s="20" t="str">
        <f t="shared" si="25"/>
        <v>Y</v>
      </c>
      <c r="C23" s="20" t="str">
        <f t="shared" si="26"/>
        <v>Y</v>
      </c>
      <c r="D23" s="20" t="str">
        <f t="shared" si="27"/>
        <v>Y</v>
      </c>
      <c r="E23" s="20" t="str">
        <f t="shared" si="28"/>
        <v>Y</v>
      </c>
      <c r="F23" s="20">
        <f t="shared" si="29"/>
        <v>2</v>
      </c>
      <c r="G23" s="56" t="str">
        <f t="shared" si="30"/>
        <v>y</v>
      </c>
      <c r="H23" s="61">
        <v>45719</v>
      </c>
      <c r="I23" s="60">
        <v>45754</v>
      </c>
      <c r="J23" s="60">
        <v>45764</v>
      </c>
      <c r="K23" s="60">
        <v>45790</v>
      </c>
      <c r="L23" s="60">
        <v>45797</v>
      </c>
      <c r="M23" s="41"/>
      <c r="N23" s="41"/>
      <c r="O23" s="41"/>
      <c r="P23" s="60">
        <v>45706</v>
      </c>
      <c r="Q23" s="60">
        <v>45707</v>
      </c>
      <c r="R23" s="43">
        <f t="shared" si="31"/>
        <v>3</v>
      </c>
      <c r="S23" s="38">
        <f t="shared" si="32"/>
        <v>45797</v>
      </c>
      <c r="T23" s="41"/>
      <c r="U23" s="60">
        <v>45797</v>
      </c>
      <c r="V23" s="60">
        <f t="shared" si="8"/>
        <v>45965</v>
      </c>
      <c r="W23" s="60">
        <v>45796</v>
      </c>
      <c r="X23" s="60">
        <v>45797</v>
      </c>
      <c r="Y23" s="60">
        <v>45798</v>
      </c>
      <c r="Z23" s="60"/>
      <c r="AA23" s="60">
        <v>45799</v>
      </c>
      <c r="AB23" s="60">
        <v>45817</v>
      </c>
      <c r="AC23" s="60"/>
      <c r="AD23" s="60"/>
      <c r="AE23" s="60">
        <v>45877</v>
      </c>
      <c r="AF23" s="41"/>
      <c r="AG23" s="24"/>
      <c r="AH23" s="78"/>
      <c r="AI23" s="25"/>
    </row>
    <row r="24" spans="1:35" hidden="1" x14ac:dyDescent="0.25">
      <c r="A24" s="39" t="s">
        <v>259</v>
      </c>
      <c r="B24" s="20" t="str">
        <f t="shared" si="25"/>
        <v>Y</v>
      </c>
      <c r="C24" s="20" t="str">
        <f t="shared" si="26"/>
        <v>Y</v>
      </c>
      <c r="D24" s="20" t="str">
        <f t="shared" si="27"/>
        <v>Y</v>
      </c>
      <c r="E24" s="20" t="str">
        <f t="shared" si="28"/>
        <v>Y</v>
      </c>
      <c r="F24" s="20">
        <f t="shared" si="29"/>
        <v>2</v>
      </c>
      <c r="G24" s="56" t="str">
        <f t="shared" si="30"/>
        <v>y</v>
      </c>
      <c r="H24" s="61">
        <v>45721</v>
      </c>
      <c r="I24" s="60">
        <v>45754</v>
      </c>
      <c r="J24" s="60">
        <v>45764</v>
      </c>
      <c r="K24" s="60">
        <v>45790</v>
      </c>
      <c r="L24" s="60">
        <v>45797</v>
      </c>
      <c r="M24" s="41"/>
      <c r="N24" s="41"/>
      <c r="O24" s="41"/>
      <c r="P24" s="60">
        <v>45706</v>
      </c>
      <c r="Q24" s="60">
        <v>45707</v>
      </c>
      <c r="R24" s="43">
        <f t="shared" si="31"/>
        <v>3</v>
      </c>
      <c r="S24" s="38">
        <f t="shared" si="32"/>
        <v>45797</v>
      </c>
      <c r="T24" s="41"/>
      <c r="U24" s="60">
        <v>45797</v>
      </c>
      <c r="V24" s="60">
        <f t="shared" si="8"/>
        <v>45965</v>
      </c>
      <c r="W24" s="60">
        <v>45799</v>
      </c>
      <c r="X24" s="60">
        <v>45799</v>
      </c>
      <c r="Y24" s="60">
        <v>45800</v>
      </c>
      <c r="Z24" s="60"/>
      <c r="AA24" s="60">
        <v>45800</v>
      </c>
      <c r="AB24" s="60">
        <v>45817</v>
      </c>
      <c r="AC24" s="60"/>
      <c r="AD24" s="60"/>
      <c r="AE24" s="60">
        <v>45877</v>
      </c>
      <c r="AF24" s="41"/>
      <c r="AG24" s="24"/>
      <c r="AH24" s="78"/>
      <c r="AI24" s="25"/>
    </row>
    <row r="25" spans="1:35" hidden="1" x14ac:dyDescent="0.25">
      <c r="A25" s="39" t="s">
        <v>260</v>
      </c>
      <c r="B25" s="20" t="str">
        <f t="shared" si="25"/>
        <v>Y</v>
      </c>
      <c r="C25" s="20" t="str">
        <f t="shared" si="26"/>
        <v>Y</v>
      </c>
      <c r="D25" s="20" t="str">
        <f t="shared" si="27"/>
        <v>Y</v>
      </c>
      <c r="E25" s="20" t="str">
        <f t="shared" si="28"/>
        <v>Y</v>
      </c>
      <c r="F25" s="20">
        <f t="shared" si="29"/>
        <v>2</v>
      </c>
      <c r="G25" s="56" t="str">
        <f t="shared" si="30"/>
        <v>y</v>
      </c>
      <c r="H25" s="61">
        <v>45715</v>
      </c>
      <c r="I25" s="60">
        <v>45754</v>
      </c>
      <c r="J25" s="60">
        <v>45764</v>
      </c>
      <c r="K25" s="60">
        <v>45798</v>
      </c>
      <c r="L25" s="60">
        <v>45805</v>
      </c>
      <c r="M25" s="41"/>
      <c r="N25" s="41"/>
      <c r="O25" s="41"/>
      <c r="P25" s="60">
        <v>45706</v>
      </c>
      <c r="Q25" s="60">
        <v>45707</v>
      </c>
      <c r="R25" s="43">
        <f t="shared" si="31"/>
        <v>3</v>
      </c>
      <c r="S25" s="38">
        <f t="shared" si="32"/>
        <v>45805</v>
      </c>
      <c r="T25" s="41"/>
      <c r="U25" s="60">
        <v>45805</v>
      </c>
      <c r="V25" s="60">
        <f t="shared" si="8"/>
        <v>45973</v>
      </c>
      <c r="W25" s="60">
        <v>45807</v>
      </c>
      <c r="X25" s="60">
        <v>228428</v>
      </c>
      <c r="Y25" s="60">
        <v>45810</v>
      </c>
      <c r="Z25" s="60"/>
      <c r="AA25" s="60">
        <v>45810</v>
      </c>
      <c r="AB25" s="60">
        <v>45820</v>
      </c>
      <c r="AC25" s="60"/>
      <c r="AD25" s="60"/>
      <c r="AE25" s="60">
        <v>45882</v>
      </c>
      <c r="AF25" s="41"/>
      <c r="AG25" s="24"/>
      <c r="AH25" s="78"/>
      <c r="AI25" s="25"/>
    </row>
    <row r="26" spans="1:35" hidden="1" x14ac:dyDescent="0.25">
      <c r="A26" s="39" t="s">
        <v>261</v>
      </c>
      <c r="B26" s="20" t="str">
        <f t="shared" ref="B26:B31" si="33">IF(H26&gt;0,"Y","N")</f>
        <v>Y</v>
      </c>
      <c r="C26" s="20" t="str">
        <f t="shared" ref="C26:C31" si="34">IF(I26&gt;0,IF(J26&gt;0,"Y","N"),"Y")</f>
        <v>Y</v>
      </c>
      <c r="D26" s="20" t="str">
        <f t="shared" ref="D26:D31" si="35">IF(K26&gt;0,IF(L26&gt;0,"Y","N"),"Y")</f>
        <v>Y</v>
      </c>
      <c r="E26" s="20" t="str">
        <f t="shared" ref="E26:E31" si="36">IF(M26&gt;0,IF(N26&gt;0,"Y","N"),"Y")</f>
        <v>Y</v>
      </c>
      <c r="F26" s="20">
        <f t="shared" ref="F26:F31" si="37">IF(N26&gt;0,3,IF(L26&gt;0,2,IF(J26&gt;0,1,IF(H26&gt;0,0,"  "))))</f>
        <v>2</v>
      </c>
      <c r="G26" s="56" t="str">
        <f t="shared" ref="G26:G31" si="38">IF(U26=0,"  ","y")</f>
        <v>y</v>
      </c>
      <c r="H26" s="61">
        <v>45715</v>
      </c>
      <c r="I26" s="60">
        <v>45754</v>
      </c>
      <c r="J26" s="60">
        <v>45764</v>
      </c>
      <c r="K26" s="60">
        <v>45798</v>
      </c>
      <c r="L26" s="60">
        <v>45805</v>
      </c>
      <c r="M26" s="41"/>
      <c r="N26" s="41"/>
      <c r="O26" s="41"/>
      <c r="P26" s="60">
        <v>45706</v>
      </c>
      <c r="Q26" s="60">
        <v>45707</v>
      </c>
      <c r="R26" s="43">
        <f t="shared" ref="R26:R31" si="39">IF(N26&gt;0,4,IF(L26&gt;0,3,IF(J26&gt;0,2,IF(H26&gt;0,1,0))))</f>
        <v>3</v>
      </c>
      <c r="S26" s="38">
        <f t="shared" ref="S26:S31" si="40">U26</f>
        <v>45805</v>
      </c>
      <c r="T26" s="41"/>
      <c r="U26" s="60">
        <v>45805</v>
      </c>
      <c r="V26" s="60">
        <f t="shared" si="8"/>
        <v>45973</v>
      </c>
      <c r="W26" s="60">
        <v>45807</v>
      </c>
      <c r="X26" s="60">
        <v>228428</v>
      </c>
      <c r="Y26" s="60">
        <v>45810</v>
      </c>
      <c r="Z26" s="60"/>
      <c r="AA26" s="60">
        <v>45810</v>
      </c>
      <c r="AB26" s="60">
        <v>45820</v>
      </c>
      <c r="AC26" s="60"/>
      <c r="AD26" s="60"/>
      <c r="AE26" s="60">
        <v>45884</v>
      </c>
      <c r="AF26" s="41"/>
      <c r="AG26" s="24"/>
      <c r="AH26" s="78"/>
      <c r="AI26" s="25"/>
    </row>
    <row r="27" spans="1:35" hidden="1" x14ac:dyDescent="0.25">
      <c r="A27" s="39" t="s">
        <v>262</v>
      </c>
      <c r="B27" s="20" t="str">
        <f t="shared" si="33"/>
        <v>Y</v>
      </c>
      <c r="C27" s="20" t="str">
        <f t="shared" si="34"/>
        <v>Y</v>
      </c>
      <c r="D27" s="20" t="str">
        <f t="shared" si="35"/>
        <v>Y</v>
      </c>
      <c r="E27" s="20" t="str">
        <f t="shared" si="36"/>
        <v>Y</v>
      </c>
      <c r="F27" s="20">
        <f t="shared" si="37"/>
        <v>2</v>
      </c>
      <c r="G27" s="56" t="str">
        <f t="shared" si="38"/>
        <v>y</v>
      </c>
      <c r="H27" s="61">
        <v>45721</v>
      </c>
      <c r="I27" s="60">
        <v>45754</v>
      </c>
      <c r="J27" s="60">
        <v>45764</v>
      </c>
      <c r="K27" s="60">
        <v>45798</v>
      </c>
      <c r="L27" s="60">
        <v>45805</v>
      </c>
      <c r="M27" s="41"/>
      <c r="N27" s="41"/>
      <c r="O27" s="41"/>
      <c r="P27" s="60">
        <v>45706</v>
      </c>
      <c r="Q27" s="60">
        <v>45707</v>
      </c>
      <c r="R27" s="43">
        <f t="shared" si="39"/>
        <v>3</v>
      </c>
      <c r="S27" s="38">
        <f t="shared" si="40"/>
        <v>45805</v>
      </c>
      <c r="T27" s="41"/>
      <c r="U27" s="60">
        <v>45805</v>
      </c>
      <c r="V27" s="60">
        <f t="shared" si="8"/>
        <v>45973</v>
      </c>
      <c r="W27" s="60">
        <v>45812</v>
      </c>
      <c r="X27" s="60">
        <v>45812</v>
      </c>
      <c r="Y27" s="60">
        <v>45812</v>
      </c>
      <c r="Z27" s="60"/>
      <c r="AA27" s="60">
        <v>45812</v>
      </c>
      <c r="AB27" s="60">
        <v>45824</v>
      </c>
      <c r="AC27" s="60"/>
      <c r="AD27" s="60"/>
      <c r="AE27" s="60">
        <v>45889</v>
      </c>
      <c r="AF27" s="41"/>
      <c r="AG27" s="24"/>
      <c r="AH27" s="78"/>
      <c r="AI27" s="25"/>
    </row>
    <row r="28" spans="1:35" hidden="1" x14ac:dyDescent="0.25">
      <c r="A28" s="39" t="s">
        <v>263</v>
      </c>
      <c r="B28" s="20" t="str">
        <f t="shared" si="33"/>
        <v>Y</v>
      </c>
      <c r="C28" s="20" t="str">
        <f t="shared" si="34"/>
        <v>Y</v>
      </c>
      <c r="D28" s="20" t="str">
        <f t="shared" si="35"/>
        <v>Y</v>
      </c>
      <c r="E28" s="20" t="str">
        <f t="shared" si="36"/>
        <v>Y</v>
      </c>
      <c r="F28" s="20">
        <f t="shared" si="37"/>
        <v>2</v>
      </c>
      <c r="G28" s="56" t="str">
        <f t="shared" si="38"/>
        <v>y</v>
      </c>
      <c r="H28" s="61">
        <v>45714</v>
      </c>
      <c r="I28" s="60">
        <v>45754</v>
      </c>
      <c r="J28" s="60">
        <v>45764</v>
      </c>
      <c r="K28" s="60">
        <v>45798</v>
      </c>
      <c r="L28" s="60">
        <v>45805</v>
      </c>
      <c r="M28" s="41"/>
      <c r="N28" s="41"/>
      <c r="O28" s="41"/>
      <c r="P28" s="60">
        <v>45706</v>
      </c>
      <c r="Q28" s="60">
        <v>45707</v>
      </c>
      <c r="R28" s="43">
        <f t="shared" si="39"/>
        <v>3</v>
      </c>
      <c r="S28" s="38">
        <f t="shared" si="40"/>
        <v>45805</v>
      </c>
      <c r="T28" s="41"/>
      <c r="U28" s="60">
        <v>45805</v>
      </c>
      <c r="V28" s="60">
        <f t="shared" si="8"/>
        <v>45973</v>
      </c>
      <c r="W28" s="60">
        <v>45813</v>
      </c>
      <c r="X28" s="60">
        <v>45813</v>
      </c>
      <c r="Y28" s="60">
        <v>45814</v>
      </c>
      <c r="Z28" s="60"/>
      <c r="AA28" s="60">
        <v>45814</v>
      </c>
      <c r="AB28" s="60">
        <v>45824</v>
      </c>
      <c r="AC28" s="60"/>
      <c r="AD28" s="60"/>
      <c r="AE28" s="60">
        <v>45840</v>
      </c>
      <c r="AF28" s="41"/>
      <c r="AG28" s="24"/>
      <c r="AH28" s="78"/>
      <c r="AI28" s="25"/>
    </row>
    <row r="29" spans="1:35" hidden="1" x14ac:dyDescent="0.25">
      <c r="A29" s="39" t="s">
        <v>264</v>
      </c>
      <c r="B29" s="20" t="str">
        <f t="shared" si="33"/>
        <v>Y</v>
      </c>
      <c r="C29" s="20" t="str">
        <f t="shared" si="34"/>
        <v>Y</v>
      </c>
      <c r="D29" s="20" t="str">
        <f t="shared" si="35"/>
        <v>Y</v>
      </c>
      <c r="E29" s="20" t="str">
        <f t="shared" si="36"/>
        <v>Y</v>
      </c>
      <c r="F29" s="20">
        <f t="shared" si="37"/>
        <v>2</v>
      </c>
      <c r="G29" s="56" t="str">
        <f t="shared" si="38"/>
        <v>y</v>
      </c>
      <c r="H29" s="61">
        <v>45721</v>
      </c>
      <c r="I29" s="60">
        <v>45754</v>
      </c>
      <c r="J29" s="60">
        <v>45764</v>
      </c>
      <c r="K29" s="60">
        <v>45798</v>
      </c>
      <c r="L29" s="60">
        <v>45805</v>
      </c>
      <c r="M29" s="41"/>
      <c r="N29" s="41"/>
      <c r="O29" s="41"/>
      <c r="P29" s="60">
        <v>45706</v>
      </c>
      <c r="Q29" s="60">
        <v>45707</v>
      </c>
      <c r="R29" s="43">
        <f t="shared" si="39"/>
        <v>3</v>
      </c>
      <c r="S29" s="38">
        <f t="shared" si="40"/>
        <v>45805</v>
      </c>
      <c r="T29" s="41"/>
      <c r="U29" s="60">
        <v>45805</v>
      </c>
      <c r="V29" s="60">
        <f t="shared" si="8"/>
        <v>45973</v>
      </c>
      <c r="W29" s="60">
        <v>45813</v>
      </c>
      <c r="X29" s="60">
        <v>45813</v>
      </c>
      <c r="Y29" s="60">
        <v>45813</v>
      </c>
      <c r="Z29" s="60"/>
      <c r="AA29" s="60">
        <v>45813</v>
      </c>
      <c r="AB29" s="60">
        <v>45824</v>
      </c>
      <c r="AC29" s="60"/>
      <c r="AD29" s="60"/>
      <c r="AE29" s="60">
        <v>45840</v>
      </c>
      <c r="AF29" s="41"/>
      <c r="AG29" s="24"/>
      <c r="AH29" s="78"/>
      <c r="AI29" s="25"/>
    </row>
    <row r="30" spans="1:35" hidden="1" x14ac:dyDescent="0.25">
      <c r="A30" s="39" t="s">
        <v>265</v>
      </c>
      <c r="B30" s="20" t="str">
        <f t="shared" si="33"/>
        <v>Y</v>
      </c>
      <c r="C30" s="20" t="str">
        <f t="shared" si="34"/>
        <v>Y</v>
      </c>
      <c r="D30" s="20" t="str">
        <f t="shared" si="35"/>
        <v>Y</v>
      </c>
      <c r="E30" s="20" t="str">
        <f t="shared" si="36"/>
        <v>Y</v>
      </c>
      <c r="F30" s="20">
        <f t="shared" si="37"/>
        <v>2</v>
      </c>
      <c r="G30" s="56" t="str">
        <f t="shared" si="38"/>
        <v>y</v>
      </c>
      <c r="H30" s="61">
        <v>45714</v>
      </c>
      <c r="I30" s="60">
        <v>45754</v>
      </c>
      <c r="J30" s="60">
        <v>45764</v>
      </c>
      <c r="K30" s="60">
        <v>45798</v>
      </c>
      <c r="L30" s="60">
        <v>45805</v>
      </c>
      <c r="M30" s="41"/>
      <c r="N30" s="41"/>
      <c r="O30" s="41"/>
      <c r="P30" s="60">
        <v>45706</v>
      </c>
      <c r="Q30" s="60">
        <v>45707</v>
      </c>
      <c r="R30" s="43">
        <f t="shared" si="39"/>
        <v>3</v>
      </c>
      <c r="S30" s="38">
        <f t="shared" si="40"/>
        <v>45805</v>
      </c>
      <c r="T30" s="41"/>
      <c r="U30" s="60">
        <v>45805</v>
      </c>
      <c r="V30" s="60">
        <f t="shared" si="8"/>
        <v>45973</v>
      </c>
      <c r="W30" s="60">
        <v>45813</v>
      </c>
      <c r="X30" s="60">
        <v>45813</v>
      </c>
      <c r="Y30" s="60">
        <v>45814</v>
      </c>
      <c r="Z30" s="60"/>
      <c r="AA30" s="60">
        <v>45814</v>
      </c>
      <c r="AB30" s="60">
        <v>45824</v>
      </c>
      <c r="AC30" s="60"/>
      <c r="AD30" s="60"/>
      <c r="AE30" s="60">
        <v>45840</v>
      </c>
      <c r="AF30" s="41"/>
      <c r="AG30" s="24"/>
      <c r="AH30" s="78"/>
      <c r="AI30" s="25"/>
    </row>
    <row r="31" spans="1:35" hidden="1" x14ac:dyDescent="0.25">
      <c r="A31" s="39" t="s">
        <v>266</v>
      </c>
      <c r="B31" s="20" t="str">
        <f t="shared" si="33"/>
        <v>Y</v>
      </c>
      <c r="C31" s="20" t="str">
        <f t="shared" si="34"/>
        <v>Y</v>
      </c>
      <c r="D31" s="20" t="str">
        <f t="shared" si="35"/>
        <v>Y</v>
      </c>
      <c r="E31" s="20" t="str">
        <f t="shared" si="36"/>
        <v>Y</v>
      </c>
      <c r="F31" s="20">
        <f t="shared" si="37"/>
        <v>2</v>
      </c>
      <c r="G31" s="56" t="str">
        <f t="shared" si="38"/>
        <v>y</v>
      </c>
      <c r="H31" s="61">
        <v>45716</v>
      </c>
      <c r="I31" s="60">
        <v>45754</v>
      </c>
      <c r="J31" s="60">
        <v>45764</v>
      </c>
      <c r="K31" s="60">
        <v>45798</v>
      </c>
      <c r="L31" s="60">
        <v>45805</v>
      </c>
      <c r="M31" s="41"/>
      <c r="N31" s="41"/>
      <c r="O31" s="41"/>
      <c r="P31" s="60">
        <v>45706</v>
      </c>
      <c r="Q31" s="60">
        <v>45707</v>
      </c>
      <c r="R31" s="43">
        <f t="shared" si="39"/>
        <v>3</v>
      </c>
      <c r="S31" s="38">
        <f t="shared" si="40"/>
        <v>45805</v>
      </c>
      <c r="T31" s="41"/>
      <c r="U31" s="60">
        <v>45805</v>
      </c>
      <c r="V31" s="60">
        <f t="shared" si="8"/>
        <v>45973</v>
      </c>
      <c r="W31" s="60">
        <v>45805</v>
      </c>
      <c r="X31" s="60">
        <v>45805</v>
      </c>
      <c r="Y31" s="60">
        <v>45806</v>
      </c>
      <c r="Z31" s="60"/>
      <c r="AA31" s="60">
        <v>45806</v>
      </c>
      <c r="AB31" s="60">
        <v>45824</v>
      </c>
      <c r="AC31" s="60"/>
      <c r="AD31" s="60"/>
      <c r="AE31" s="60">
        <v>45826</v>
      </c>
      <c r="AF31" s="41"/>
      <c r="AG31" s="24"/>
      <c r="AH31" s="78"/>
      <c r="AI31" s="25"/>
    </row>
    <row r="32" spans="1:35" hidden="1" x14ac:dyDescent="0.25">
      <c r="A32" s="39" t="s">
        <v>268</v>
      </c>
      <c r="B32" s="20" t="str">
        <f t="shared" ref="B32:B153" si="41">IF(H32&gt;0,"Y","N")</f>
        <v>Y</v>
      </c>
      <c r="C32" s="20" t="str">
        <f t="shared" ref="C32:C153" si="42">IF(I32&gt;0,IF(J32&gt;0,"Y","N"),"Y")</f>
        <v>Y</v>
      </c>
      <c r="D32" s="20" t="str">
        <f t="shared" ref="D32:D153" si="43">IF(K32&gt;0,IF(L32&gt;0,"Y","N"),"Y")</f>
        <v>Y</v>
      </c>
      <c r="E32" s="20" t="str">
        <f t="shared" ref="E32:E153" si="44">IF(M32&gt;0,IF(N32&gt;0,"Y","N"),"Y")</f>
        <v>Y</v>
      </c>
      <c r="F32" s="20">
        <f t="shared" ref="F32:F153" si="45">IF(N32&gt;0,3,IF(L32&gt;0,2,IF(J32&gt;0,1,IF(H32&gt;0,0,"  "))))</f>
        <v>1</v>
      </c>
      <c r="G32" s="56" t="str">
        <f t="shared" ref="G32:G153" si="46">IF(U32=0,"  ","y")</f>
        <v>y</v>
      </c>
      <c r="H32" s="61">
        <v>45736</v>
      </c>
      <c r="I32" s="60">
        <v>45778</v>
      </c>
      <c r="J32" s="60">
        <v>45783</v>
      </c>
      <c r="K32" s="41"/>
      <c r="L32" s="41"/>
      <c r="M32" s="41"/>
      <c r="N32" s="41"/>
      <c r="O32" s="41"/>
      <c r="P32" s="60">
        <v>45722</v>
      </c>
      <c r="Q32" s="60">
        <v>45721</v>
      </c>
      <c r="R32" s="43">
        <f t="shared" ref="R32:R153" si="47">IF(N32&gt;0,4,IF(L32&gt;0,3,IF(J32&gt;0,2,IF(H32&gt;0,1,0))))</f>
        <v>2</v>
      </c>
      <c r="S32" s="38">
        <f t="shared" ref="S32:S153" si="48">U32</f>
        <v>45783</v>
      </c>
      <c r="T32" s="41"/>
      <c r="U32" s="60">
        <v>45783</v>
      </c>
      <c r="V32" s="60">
        <f t="shared" si="8"/>
        <v>45895</v>
      </c>
      <c r="W32" s="60">
        <v>45786</v>
      </c>
      <c r="X32" s="60">
        <v>45789</v>
      </c>
      <c r="Y32" s="60">
        <v>45790</v>
      </c>
      <c r="Z32" s="60"/>
      <c r="AA32" s="60">
        <v>45791</v>
      </c>
      <c r="AB32" s="60">
        <v>45785</v>
      </c>
      <c r="AC32" s="60"/>
      <c r="AD32" s="60"/>
      <c r="AE32" s="60">
        <v>45806</v>
      </c>
      <c r="AF32" s="41"/>
      <c r="AG32" s="24"/>
      <c r="AH32" s="78"/>
      <c r="AI32" s="25"/>
    </row>
    <row r="33" spans="1:35" x14ac:dyDescent="0.25">
      <c r="A33" s="39" t="s">
        <v>269</v>
      </c>
      <c r="B33" s="20" t="str">
        <f t="shared" si="41"/>
        <v>Y</v>
      </c>
      <c r="C33" s="20" t="str">
        <f t="shared" si="42"/>
        <v>Y</v>
      </c>
      <c r="D33" s="20" t="str">
        <f t="shared" si="43"/>
        <v>Y</v>
      </c>
      <c r="E33" s="20" t="str">
        <f t="shared" si="44"/>
        <v>Y</v>
      </c>
      <c r="F33" s="20">
        <f t="shared" si="45"/>
        <v>1</v>
      </c>
      <c r="G33" s="56" t="str">
        <f t="shared" si="46"/>
        <v>y</v>
      </c>
      <c r="H33" s="61">
        <v>45706</v>
      </c>
      <c r="I33" s="60">
        <v>45713</v>
      </c>
      <c r="J33" s="60">
        <v>45729</v>
      </c>
      <c r="K33" s="41"/>
      <c r="L33" s="41"/>
      <c r="M33" s="41"/>
      <c r="N33" s="41"/>
      <c r="O33" s="41"/>
      <c r="P33" s="60">
        <v>45721</v>
      </c>
      <c r="Q33" s="60">
        <v>45721</v>
      </c>
      <c r="R33" s="43">
        <f t="shared" si="47"/>
        <v>2</v>
      </c>
      <c r="S33" s="38">
        <f t="shared" si="48"/>
        <v>45729</v>
      </c>
      <c r="T33" s="41"/>
      <c r="U33" s="60">
        <v>45729</v>
      </c>
      <c r="V33" s="60">
        <f t="shared" si="8"/>
        <v>45883</v>
      </c>
      <c r="W33" s="60">
        <v>45743</v>
      </c>
      <c r="X33" s="60">
        <v>45916</v>
      </c>
      <c r="Y33" s="60">
        <v>45916</v>
      </c>
      <c r="Z33" s="60">
        <v>45839</v>
      </c>
      <c r="AA33" s="60">
        <v>45916</v>
      </c>
      <c r="AB33" s="60">
        <v>45916</v>
      </c>
      <c r="AC33" s="60">
        <v>45917</v>
      </c>
      <c r="AD33" s="60">
        <v>45916</v>
      </c>
      <c r="AE33" s="60">
        <v>45917</v>
      </c>
      <c r="AF33" s="41"/>
      <c r="AG33" s="24"/>
      <c r="AH33" s="78"/>
      <c r="AI33" s="25"/>
    </row>
    <row r="34" spans="1:35" hidden="1" x14ac:dyDescent="0.25">
      <c r="A34" s="39" t="s">
        <v>271</v>
      </c>
      <c r="B34" s="20" t="str">
        <f t="shared" si="41"/>
        <v>Y</v>
      </c>
      <c r="C34" s="20" t="str">
        <f t="shared" si="42"/>
        <v>Y</v>
      </c>
      <c r="D34" s="20" t="str">
        <f t="shared" si="43"/>
        <v>Y</v>
      </c>
      <c r="E34" s="20" t="str">
        <f t="shared" si="44"/>
        <v>Y</v>
      </c>
      <c r="F34" s="20">
        <f t="shared" si="45"/>
        <v>2</v>
      </c>
      <c r="G34" s="56" t="str">
        <f t="shared" si="46"/>
        <v>y</v>
      </c>
      <c r="H34" s="61">
        <v>45741</v>
      </c>
      <c r="I34" s="60">
        <v>45761</v>
      </c>
      <c r="J34" s="60">
        <v>45762</v>
      </c>
      <c r="K34" s="60">
        <v>45796</v>
      </c>
      <c r="L34" s="60">
        <v>45799</v>
      </c>
      <c r="M34" s="41"/>
      <c r="N34" s="41"/>
      <c r="O34" s="41"/>
      <c r="P34" s="60">
        <v>45743</v>
      </c>
      <c r="Q34" s="60">
        <v>45743</v>
      </c>
      <c r="R34" s="43">
        <f t="shared" si="47"/>
        <v>3</v>
      </c>
      <c r="S34" s="38">
        <f t="shared" si="48"/>
        <v>45799</v>
      </c>
      <c r="T34" s="41"/>
      <c r="U34" s="60">
        <v>45799</v>
      </c>
      <c r="V34" s="60">
        <f t="shared" si="8"/>
        <v>45869</v>
      </c>
      <c r="W34" s="60">
        <v>45804</v>
      </c>
      <c r="X34" s="60">
        <v>45805</v>
      </c>
      <c r="Y34" s="60">
        <v>45806</v>
      </c>
      <c r="Z34" s="60"/>
      <c r="AA34" s="60">
        <v>45806</v>
      </c>
      <c r="AB34" s="60">
        <v>45828</v>
      </c>
      <c r="AC34" s="60"/>
      <c r="AD34" s="60"/>
      <c r="AE34" s="60">
        <v>45839</v>
      </c>
      <c r="AF34" s="41"/>
      <c r="AG34" s="24"/>
      <c r="AH34" s="78"/>
      <c r="AI34" s="25"/>
    </row>
    <row r="35" spans="1:35" hidden="1" x14ac:dyDescent="0.25">
      <c r="A35" s="39" t="s">
        <v>272</v>
      </c>
      <c r="B35" s="20" t="str">
        <f t="shared" si="41"/>
        <v>Y</v>
      </c>
      <c r="C35" s="20" t="str">
        <f t="shared" si="42"/>
        <v>Y</v>
      </c>
      <c r="D35" s="20" t="str">
        <f t="shared" si="43"/>
        <v>Y</v>
      </c>
      <c r="E35" s="20" t="str">
        <f t="shared" si="44"/>
        <v>Y</v>
      </c>
      <c r="F35" s="20">
        <f t="shared" si="45"/>
        <v>2</v>
      </c>
      <c r="G35" s="56" t="str">
        <f t="shared" si="46"/>
        <v>y</v>
      </c>
      <c r="H35" s="61">
        <v>45791</v>
      </c>
      <c r="I35" s="60">
        <v>45798</v>
      </c>
      <c r="J35" s="60">
        <v>45804</v>
      </c>
      <c r="K35" s="60">
        <v>45806</v>
      </c>
      <c r="L35" s="60">
        <v>45807</v>
      </c>
      <c r="M35" s="41"/>
      <c r="N35" s="41"/>
      <c r="O35" s="41"/>
      <c r="P35" s="60">
        <v>45770</v>
      </c>
      <c r="Q35" s="60">
        <v>45765</v>
      </c>
      <c r="R35" s="43">
        <f t="shared" si="47"/>
        <v>3</v>
      </c>
      <c r="S35" s="38">
        <f t="shared" si="48"/>
        <v>45807</v>
      </c>
      <c r="T35" s="41"/>
      <c r="U35" s="60">
        <v>45807</v>
      </c>
      <c r="V35" s="60">
        <f t="shared" si="8"/>
        <v>45891</v>
      </c>
      <c r="W35" s="60">
        <v>45820</v>
      </c>
      <c r="X35" s="60">
        <v>45820</v>
      </c>
      <c r="Y35" s="60">
        <v>45825</v>
      </c>
      <c r="Z35" s="60"/>
      <c r="AA35" s="60">
        <v>45825</v>
      </c>
      <c r="AB35" s="60">
        <v>45826</v>
      </c>
      <c r="AC35" s="60"/>
      <c r="AD35" s="60"/>
      <c r="AE35" s="60">
        <v>45833</v>
      </c>
      <c r="AF35" s="41"/>
      <c r="AG35" s="24"/>
      <c r="AH35" s="78"/>
      <c r="AI35" s="25"/>
    </row>
    <row r="36" spans="1:35" hidden="1" x14ac:dyDescent="0.25">
      <c r="A36" s="39" t="s">
        <v>273</v>
      </c>
      <c r="B36" s="20" t="str">
        <f t="shared" si="41"/>
        <v>N</v>
      </c>
      <c r="C36" s="20" t="str">
        <f t="shared" si="42"/>
        <v>Y</v>
      </c>
      <c r="D36" s="20" t="str">
        <f t="shared" si="43"/>
        <v>Y</v>
      </c>
      <c r="E36" s="20" t="str">
        <f t="shared" si="44"/>
        <v>Y</v>
      </c>
      <c r="F36" s="20" t="str">
        <f t="shared" si="45"/>
        <v xml:space="preserve">  </v>
      </c>
      <c r="G36" s="56" t="str">
        <f t="shared" si="46"/>
        <v xml:space="preserve">  </v>
      </c>
      <c r="H36" s="54"/>
      <c r="I36" s="41"/>
      <c r="J36" s="41"/>
      <c r="K36" s="41"/>
      <c r="L36" s="41"/>
      <c r="M36" s="41"/>
      <c r="N36" s="41"/>
      <c r="O36" s="41"/>
      <c r="P36" s="60">
        <v>45756</v>
      </c>
      <c r="Q36" s="60">
        <v>45756</v>
      </c>
      <c r="R36" s="43">
        <f t="shared" si="47"/>
        <v>0</v>
      </c>
      <c r="S36" s="38">
        <f t="shared" si="48"/>
        <v>0</v>
      </c>
      <c r="T36" s="41"/>
      <c r="U36" s="41"/>
      <c r="V36" s="60">
        <f t="shared" ref="V36:V67" si="49">_xlfn.IFNA(IF(U36="",VLOOKUP(A36,Jobs,23,0),U36+(VLOOKUP(A36,Jobs,7,FALSE)*7)+(VLOOKUP(A36,Jobs,22,FALSE)*7)),"")</f>
        <v>45794</v>
      </c>
      <c r="W36" s="60" t="s">
        <v>80</v>
      </c>
      <c r="X36" s="60" t="s">
        <v>80</v>
      </c>
      <c r="Y36" s="60" t="s">
        <v>80</v>
      </c>
      <c r="Z36" s="60"/>
      <c r="AA36" s="60" t="s">
        <v>80</v>
      </c>
      <c r="AB36" s="41"/>
      <c r="AC36" s="41"/>
      <c r="AD36" s="41"/>
      <c r="AE36" s="41"/>
      <c r="AF36" s="41"/>
      <c r="AG36" s="24"/>
      <c r="AH36" s="78"/>
      <c r="AI36" s="25"/>
    </row>
    <row r="37" spans="1:35" hidden="1" x14ac:dyDescent="0.25">
      <c r="A37" s="39" t="s">
        <v>275</v>
      </c>
      <c r="B37" s="20" t="str">
        <f t="shared" si="41"/>
        <v>Y</v>
      </c>
      <c r="C37" s="20" t="str">
        <f t="shared" si="42"/>
        <v>Y</v>
      </c>
      <c r="D37" s="20" t="str">
        <f t="shared" si="43"/>
        <v>Y</v>
      </c>
      <c r="E37" s="20" t="str">
        <f t="shared" si="44"/>
        <v>Y</v>
      </c>
      <c r="F37" s="20">
        <f t="shared" si="45"/>
        <v>3</v>
      </c>
      <c r="G37" s="56" t="str">
        <f t="shared" si="46"/>
        <v>y</v>
      </c>
      <c r="H37" s="61">
        <v>45819</v>
      </c>
      <c r="I37" s="60">
        <v>45839</v>
      </c>
      <c r="J37" s="60">
        <v>45846</v>
      </c>
      <c r="K37" s="60">
        <v>45852</v>
      </c>
      <c r="L37" s="60">
        <v>45859</v>
      </c>
      <c r="M37" s="60">
        <v>45860</v>
      </c>
      <c r="N37" s="60">
        <v>45867</v>
      </c>
      <c r="O37" s="41"/>
      <c r="P37" s="60">
        <v>45800</v>
      </c>
      <c r="Q37" s="60">
        <v>45800</v>
      </c>
      <c r="R37" s="43">
        <f t="shared" si="47"/>
        <v>4</v>
      </c>
      <c r="S37" s="38">
        <f t="shared" si="48"/>
        <v>45867</v>
      </c>
      <c r="T37" s="41"/>
      <c r="U37" s="60">
        <v>45867</v>
      </c>
      <c r="V37" s="60">
        <f t="shared" si="49"/>
        <v>45965</v>
      </c>
      <c r="W37" s="60">
        <v>45908</v>
      </c>
      <c r="X37" s="60">
        <v>45909</v>
      </c>
      <c r="Y37" s="60">
        <v>45912</v>
      </c>
      <c r="Z37" s="60"/>
      <c r="AA37" s="60">
        <v>45912</v>
      </c>
      <c r="AB37" s="60">
        <v>45917</v>
      </c>
      <c r="AC37" s="60"/>
      <c r="AD37" s="60"/>
      <c r="AE37" s="60">
        <v>45923</v>
      </c>
      <c r="AF37" s="41"/>
      <c r="AG37" s="24"/>
      <c r="AH37" s="78"/>
      <c r="AI37" s="25"/>
    </row>
    <row r="38" spans="1:35" x14ac:dyDescent="0.25">
      <c r="A38" s="39" t="s">
        <v>276</v>
      </c>
      <c r="B38" s="20" t="str">
        <f t="shared" ref="B38:B147" si="50">IF(H38&gt;0,"Y","N")</f>
        <v>N</v>
      </c>
      <c r="C38" s="20" t="str">
        <f t="shared" ref="C38:C147" si="51">IF(I38&gt;0,IF(J38&gt;0,"Y","N"),"Y")</f>
        <v>Y</v>
      </c>
      <c r="D38" s="20" t="str">
        <f t="shared" ref="D38:D147" si="52">IF(K38&gt;0,IF(L38&gt;0,"Y","N"),"Y")</f>
        <v>Y</v>
      </c>
      <c r="E38" s="20" t="str">
        <f t="shared" ref="E38:E147" si="53">IF(M38&gt;0,IF(N38&gt;0,"Y","N"),"Y")</f>
        <v>Y</v>
      </c>
      <c r="F38" s="20" t="str">
        <f t="shared" ref="F38:F147" si="54">IF(N38&gt;0,3,IF(L38&gt;0,2,IF(J38&gt;0,1,IF(H38&gt;0,0,"  "))))</f>
        <v xml:space="preserve">  </v>
      </c>
      <c r="G38" s="56" t="str">
        <f t="shared" ref="G38:G147" si="55">IF(U38=0,"  ","y")</f>
        <v xml:space="preserve">  </v>
      </c>
      <c r="H38" s="61"/>
      <c r="I38" s="41"/>
      <c r="J38" s="41"/>
      <c r="K38" s="41"/>
      <c r="L38" s="41"/>
      <c r="M38" s="41"/>
      <c r="N38" s="41"/>
      <c r="O38" s="41"/>
      <c r="P38" s="60">
        <v>45882</v>
      </c>
      <c r="Q38" s="60">
        <v>45881</v>
      </c>
      <c r="R38" s="43">
        <f t="shared" ref="R38:R147" si="56">IF(N38&gt;0,4,IF(L38&gt;0,3,IF(J38&gt;0,2,IF(H38&gt;0,1,0))))</f>
        <v>0</v>
      </c>
      <c r="S38" s="38">
        <f t="shared" ref="S38:S147" si="57">U38</f>
        <v>0</v>
      </c>
      <c r="T38" s="41"/>
      <c r="U38" s="41"/>
      <c r="V38" s="60">
        <f t="shared" si="49"/>
        <v>46230</v>
      </c>
      <c r="W38" s="60">
        <v>45882</v>
      </c>
      <c r="X38" s="60">
        <v>45882</v>
      </c>
      <c r="Y38" s="60">
        <v>45894</v>
      </c>
      <c r="Z38" s="60">
        <v>45902</v>
      </c>
      <c r="AA38" s="60">
        <v>45894</v>
      </c>
      <c r="AB38" s="60">
        <v>45897</v>
      </c>
      <c r="AC38" s="60">
        <v>45924</v>
      </c>
      <c r="AD38" s="60"/>
      <c r="AE38" s="60">
        <v>45897</v>
      </c>
      <c r="AF38" s="41"/>
      <c r="AG38" s="24"/>
      <c r="AH38" s="78"/>
      <c r="AI38" s="25"/>
    </row>
    <row r="39" spans="1:35" hidden="1" x14ac:dyDescent="0.25">
      <c r="A39" s="39" t="s">
        <v>277</v>
      </c>
      <c r="B39" s="20" t="str">
        <f t="shared" si="50"/>
        <v>Y</v>
      </c>
      <c r="C39" s="20" t="str">
        <f t="shared" si="51"/>
        <v>Y</v>
      </c>
      <c r="D39" s="20" t="str">
        <f t="shared" si="52"/>
        <v>Y</v>
      </c>
      <c r="E39" s="20" t="str">
        <f t="shared" si="53"/>
        <v>Y</v>
      </c>
      <c r="F39" s="20">
        <f t="shared" si="54"/>
        <v>2</v>
      </c>
      <c r="G39" s="56" t="str">
        <f t="shared" si="55"/>
        <v>y</v>
      </c>
      <c r="H39" s="61">
        <v>45835</v>
      </c>
      <c r="I39" s="60">
        <v>45838</v>
      </c>
      <c r="J39" s="60">
        <v>45848</v>
      </c>
      <c r="K39" s="60">
        <v>45848</v>
      </c>
      <c r="L39" s="60">
        <v>45855</v>
      </c>
      <c r="M39" s="41"/>
      <c r="N39" s="41"/>
      <c r="O39" s="41"/>
      <c r="P39" s="60">
        <v>45817</v>
      </c>
      <c r="Q39" s="60">
        <v>45817</v>
      </c>
      <c r="R39" s="43">
        <f t="shared" si="56"/>
        <v>3</v>
      </c>
      <c r="S39" s="38">
        <f t="shared" si="57"/>
        <v>45855</v>
      </c>
      <c r="T39" s="41"/>
      <c r="U39" s="60">
        <v>45855</v>
      </c>
      <c r="V39" s="60">
        <f t="shared" si="49"/>
        <v>45960</v>
      </c>
      <c r="W39" s="60">
        <v>45867</v>
      </c>
      <c r="X39" s="60">
        <v>45867</v>
      </c>
      <c r="Y39" s="60">
        <v>45868</v>
      </c>
      <c r="Z39" s="60"/>
      <c r="AA39" s="60">
        <v>45868</v>
      </c>
      <c r="AB39" s="60">
        <v>45917</v>
      </c>
      <c r="AC39" s="60"/>
      <c r="AD39" s="60"/>
      <c r="AE39" s="60">
        <v>45923</v>
      </c>
      <c r="AF39" s="41"/>
      <c r="AG39" s="24"/>
      <c r="AH39" s="78"/>
      <c r="AI39" s="25"/>
    </row>
    <row r="40" spans="1:35" x14ac:dyDescent="0.25">
      <c r="A40" s="39" t="s">
        <v>279</v>
      </c>
      <c r="B40" s="20" t="str">
        <f t="shared" si="50"/>
        <v>Y</v>
      </c>
      <c r="C40" s="20" t="str">
        <f t="shared" si="51"/>
        <v>Y</v>
      </c>
      <c r="D40" s="20" t="str">
        <f t="shared" si="52"/>
        <v>Y</v>
      </c>
      <c r="E40" s="20" t="str">
        <f t="shared" si="53"/>
        <v>Y</v>
      </c>
      <c r="F40" s="20">
        <f t="shared" si="54"/>
        <v>1</v>
      </c>
      <c r="G40" s="56" t="str">
        <f t="shared" si="55"/>
        <v>y</v>
      </c>
      <c r="H40" s="61">
        <v>45986</v>
      </c>
      <c r="I40" s="60">
        <v>46001</v>
      </c>
      <c r="J40" s="60">
        <v>46008</v>
      </c>
      <c r="K40" s="41"/>
      <c r="L40" s="41"/>
      <c r="M40" s="41"/>
      <c r="N40" s="41"/>
      <c r="O40" s="41"/>
      <c r="P40" s="60">
        <v>46000</v>
      </c>
      <c r="Q40" s="60">
        <v>45999</v>
      </c>
      <c r="R40" s="43">
        <f t="shared" si="56"/>
        <v>2</v>
      </c>
      <c r="S40" s="38">
        <f t="shared" si="57"/>
        <v>46008</v>
      </c>
      <c r="T40" s="41"/>
      <c r="U40" s="60">
        <v>46008</v>
      </c>
      <c r="V40" s="60">
        <f t="shared" si="49"/>
        <v>46190</v>
      </c>
      <c r="W40" s="60">
        <v>46024</v>
      </c>
      <c r="X40" s="60">
        <v>46027</v>
      </c>
      <c r="Y40" s="60">
        <v>46029</v>
      </c>
      <c r="Z40" s="60"/>
      <c r="AA40" s="60">
        <v>46029</v>
      </c>
      <c r="AB40" s="41"/>
      <c r="AC40" s="60">
        <v>46063</v>
      </c>
      <c r="AD40" s="60">
        <v>46061</v>
      </c>
      <c r="AE40" s="41"/>
      <c r="AF40" s="41"/>
      <c r="AG40" s="24"/>
      <c r="AH40" s="78"/>
      <c r="AI40" s="25"/>
    </row>
    <row r="41" spans="1:35" hidden="1" x14ac:dyDescent="0.25">
      <c r="A41" s="39" t="s">
        <v>280</v>
      </c>
      <c r="B41" s="20" t="str">
        <f t="shared" ref="B41:B64" si="58">IF(H41&gt;0,"Y","N")</f>
        <v>Y</v>
      </c>
      <c r="C41" s="20" t="str">
        <f t="shared" ref="C41:C64" si="59">IF(I41&gt;0,IF(J41&gt;0,"Y","N"),"Y")</f>
        <v>Y</v>
      </c>
      <c r="D41" s="20" t="str">
        <f t="shared" ref="D41:D64" si="60">IF(K41&gt;0,IF(L41&gt;0,"Y","N"),"Y")</f>
        <v>Y</v>
      </c>
      <c r="E41" s="20" t="str">
        <f t="shared" ref="E41:E64" si="61">IF(M41&gt;0,IF(N41&gt;0,"Y","N"),"Y")</f>
        <v>Y</v>
      </c>
      <c r="F41" s="20">
        <f t="shared" ref="F41:F64" si="62">IF(N41&gt;0,3,IF(L41&gt;0,2,IF(J41&gt;0,1,IF(H41&gt;0,0,"  "))))</f>
        <v>2</v>
      </c>
      <c r="G41" s="56" t="str">
        <f t="shared" ref="G41:G64" si="63">IF(U41=0,"  ","y")</f>
        <v>y</v>
      </c>
      <c r="H41" s="61">
        <v>45847</v>
      </c>
      <c r="I41" s="60">
        <v>45852</v>
      </c>
      <c r="J41" s="60">
        <v>45861</v>
      </c>
      <c r="K41" s="60">
        <v>45866</v>
      </c>
      <c r="L41" s="60">
        <v>45873</v>
      </c>
      <c r="M41" s="41"/>
      <c r="N41" s="41"/>
      <c r="O41" s="41"/>
      <c r="P41" s="60" t="s">
        <v>80</v>
      </c>
      <c r="Q41" s="60" t="s">
        <v>80</v>
      </c>
      <c r="R41" s="43">
        <f t="shared" ref="R41:R64" si="64">IF(N41&gt;0,4,IF(L41&gt;0,3,IF(J41&gt;0,2,IF(H41&gt;0,1,0))))</f>
        <v>3</v>
      </c>
      <c r="S41" s="38">
        <f t="shared" ref="S41:S64" si="65">U41</f>
        <v>45873</v>
      </c>
      <c r="T41" s="41"/>
      <c r="U41" s="60">
        <v>45873</v>
      </c>
      <c r="V41" s="60">
        <f t="shared" si="49"/>
        <v>45971</v>
      </c>
      <c r="W41" s="60">
        <v>45874</v>
      </c>
      <c r="X41" s="60">
        <v>45874</v>
      </c>
      <c r="Y41" s="60">
        <v>45875</v>
      </c>
      <c r="Z41" s="60"/>
      <c r="AA41" s="60">
        <v>45875</v>
      </c>
      <c r="AB41" s="60">
        <v>45870</v>
      </c>
      <c r="AC41" s="60"/>
      <c r="AD41" s="60"/>
      <c r="AE41" s="60">
        <v>45889</v>
      </c>
      <c r="AF41" s="41"/>
      <c r="AG41" s="24"/>
      <c r="AH41" s="78"/>
      <c r="AI41" s="25"/>
    </row>
    <row r="42" spans="1:35" hidden="1" x14ac:dyDescent="0.25">
      <c r="A42" s="39" t="s">
        <v>282</v>
      </c>
      <c r="B42" s="20" t="str">
        <f t="shared" si="58"/>
        <v>Y</v>
      </c>
      <c r="C42" s="20" t="str">
        <f t="shared" si="59"/>
        <v>Y</v>
      </c>
      <c r="D42" s="20" t="str">
        <f t="shared" si="60"/>
        <v>Y</v>
      </c>
      <c r="E42" s="20" t="str">
        <f t="shared" si="61"/>
        <v>Y</v>
      </c>
      <c r="F42" s="20">
        <f t="shared" si="62"/>
        <v>2</v>
      </c>
      <c r="G42" s="56" t="str">
        <f t="shared" si="63"/>
        <v>y</v>
      </c>
      <c r="H42" s="61">
        <v>45847</v>
      </c>
      <c r="I42" s="60">
        <v>45852</v>
      </c>
      <c r="J42" s="60">
        <v>45861</v>
      </c>
      <c r="K42" s="60">
        <v>45866</v>
      </c>
      <c r="L42" s="60">
        <v>45873</v>
      </c>
      <c r="M42" s="41"/>
      <c r="N42" s="41"/>
      <c r="O42" s="41"/>
      <c r="P42" s="60" t="s">
        <v>80</v>
      </c>
      <c r="Q42" s="60" t="s">
        <v>80</v>
      </c>
      <c r="R42" s="43">
        <f t="shared" si="64"/>
        <v>3</v>
      </c>
      <c r="S42" s="38">
        <f t="shared" si="65"/>
        <v>45873</v>
      </c>
      <c r="T42" s="41"/>
      <c r="U42" s="60">
        <v>45873</v>
      </c>
      <c r="V42" s="60">
        <f t="shared" si="49"/>
        <v>45971</v>
      </c>
      <c r="W42" s="60">
        <v>45874</v>
      </c>
      <c r="X42" s="60">
        <v>45874</v>
      </c>
      <c r="Y42" s="60">
        <v>45875</v>
      </c>
      <c r="Z42" s="60"/>
      <c r="AA42" s="60">
        <v>45875</v>
      </c>
      <c r="AB42" s="60">
        <v>45870</v>
      </c>
      <c r="AC42" s="60"/>
      <c r="AD42" s="60"/>
      <c r="AE42" s="60">
        <v>45889</v>
      </c>
      <c r="AF42" s="41"/>
      <c r="AG42" s="24"/>
      <c r="AH42" s="78"/>
      <c r="AI42" s="25"/>
    </row>
    <row r="43" spans="1:35" hidden="1" x14ac:dyDescent="0.25">
      <c r="A43" s="39" t="s">
        <v>283</v>
      </c>
      <c r="B43" s="20" t="str">
        <f t="shared" si="58"/>
        <v>Y</v>
      </c>
      <c r="C43" s="20" t="str">
        <f t="shared" si="59"/>
        <v>Y</v>
      </c>
      <c r="D43" s="20" t="str">
        <f t="shared" si="60"/>
        <v>Y</v>
      </c>
      <c r="E43" s="20" t="str">
        <f t="shared" si="61"/>
        <v>Y</v>
      </c>
      <c r="F43" s="20">
        <f t="shared" si="62"/>
        <v>2</v>
      </c>
      <c r="G43" s="56" t="str">
        <f t="shared" si="63"/>
        <v>y</v>
      </c>
      <c r="H43" s="61">
        <v>45847</v>
      </c>
      <c r="I43" s="60">
        <v>45852</v>
      </c>
      <c r="J43" s="60">
        <v>45861</v>
      </c>
      <c r="K43" s="60">
        <v>45866</v>
      </c>
      <c r="L43" s="60">
        <v>45873</v>
      </c>
      <c r="M43" s="41"/>
      <c r="N43" s="41"/>
      <c r="O43" s="41"/>
      <c r="P43" s="60" t="s">
        <v>80</v>
      </c>
      <c r="Q43" s="60" t="s">
        <v>80</v>
      </c>
      <c r="R43" s="43">
        <f t="shared" si="64"/>
        <v>3</v>
      </c>
      <c r="S43" s="38">
        <f t="shared" si="65"/>
        <v>45873</v>
      </c>
      <c r="T43" s="41"/>
      <c r="U43" s="60">
        <v>45873</v>
      </c>
      <c r="V43" s="60">
        <f t="shared" si="49"/>
        <v>45999</v>
      </c>
      <c r="W43" s="60">
        <v>45874</v>
      </c>
      <c r="X43" s="60">
        <v>45874</v>
      </c>
      <c r="Y43" s="60">
        <v>45875</v>
      </c>
      <c r="Z43" s="60"/>
      <c r="AA43" s="60">
        <v>45875</v>
      </c>
      <c r="AB43" s="60">
        <v>45870</v>
      </c>
      <c r="AC43" s="60"/>
      <c r="AD43" s="60"/>
      <c r="AE43" s="60">
        <v>45903</v>
      </c>
      <c r="AF43" s="41"/>
      <c r="AG43" s="24"/>
      <c r="AH43" s="78"/>
      <c r="AI43" s="25"/>
    </row>
    <row r="44" spans="1:35" hidden="1" x14ac:dyDescent="0.25">
      <c r="A44" s="39" t="s">
        <v>284</v>
      </c>
      <c r="B44" s="20" t="str">
        <f t="shared" si="58"/>
        <v>Y</v>
      </c>
      <c r="C44" s="20" t="str">
        <f t="shared" si="59"/>
        <v>Y</v>
      </c>
      <c r="D44" s="20" t="str">
        <f t="shared" si="60"/>
        <v>Y</v>
      </c>
      <c r="E44" s="20" t="str">
        <f t="shared" si="61"/>
        <v>Y</v>
      </c>
      <c r="F44" s="20">
        <f t="shared" si="62"/>
        <v>2</v>
      </c>
      <c r="G44" s="56" t="str">
        <f t="shared" si="63"/>
        <v>y</v>
      </c>
      <c r="H44" s="61">
        <v>45847</v>
      </c>
      <c r="I44" s="60">
        <v>45852</v>
      </c>
      <c r="J44" s="60">
        <v>45861</v>
      </c>
      <c r="K44" s="60">
        <v>45866</v>
      </c>
      <c r="L44" s="60">
        <v>45873</v>
      </c>
      <c r="M44" s="41"/>
      <c r="N44" s="41"/>
      <c r="O44" s="41"/>
      <c r="P44" s="60" t="s">
        <v>80</v>
      </c>
      <c r="Q44" s="60" t="s">
        <v>80</v>
      </c>
      <c r="R44" s="43">
        <f t="shared" si="64"/>
        <v>3</v>
      </c>
      <c r="S44" s="38">
        <f t="shared" si="65"/>
        <v>45873</v>
      </c>
      <c r="T44" s="41"/>
      <c r="U44" s="60">
        <v>45873</v>
      </c>
      <c r="V44" s="60">
        <f t="shared" si="49"/>
        <v>45999</v>
      </c>
      <c r="W44" s="60">
        <v>45874</v>
      </c>
      <c r="X44" s="60">
        <v>45874</v>
      </c>
      <c r="Y44" s="60">
        <v>45875</v>
      </c>
      <c r="Z44" s="60"/>
      <c r="AA44" s="60">
        <v>45875</v>
      </c>
      <c r="AB44" s="60">
        <v>45870</v>
      </c>
      <c r="AC44" s="60"/>
      <c r="AD44" s="60"/>
      <c r="AE44" s="60">
        <v>45903</v>
      </c>
      <c r="AF44" s="41"/>
      <c r="AG44" s="24"/>
      <c r="AH44" s="78"/>
      <c r="AI44" s="25"/>
    </row>
    <row r="45" spans="1:35" hidden="1" x14ac:dyDescent="0.25">
      <c r="A45" s="39" t="s">
        <v>285</v>
      </c>
      <c r="B45" s="20" t="str">
        <f t="shared" si="58"/>
        <v>Y</v>
      </c>
      <c r="C45" s="20" t="str">
        <f t="shared" si="59"/>
        <v>Y</v>
      </c>
      <c r="D45" s="20" t="str">
        <f t="shared" si="60"/>
        <v>Y</v>
      </c>
      <c r="E45" s="20" t="str">
        <f t="shared" si="61"/>
        <v>Y</v>
      </c>
      <c r="F45" s="20">
        <f t="shared" si="62"/>
        <v>2</v>
      </c>
      <c r="G45" s="56" t="str">
        <f t="shared" si="63"/>
        <v>y</v>
      </c>
      <c r="H45" s="61">
        <v>45847</v>
      </c>
      <c r="I45" s="60">
        <v>45852</v>
      </c>
      <c r="J45" s="60">
        <v>45861</v>
      </c>
      <c r="K45" s="60">
        <v>45866</v>
      </c>
      <c r="L45" s="60">
        <v>45873</v>
      </c>
      <c r="M45" s="41"/>
      <c r="N45" s="41"/>
      <c r="O45" s="41"/>
      <c r="P45" s="60" t="s">
        <v>80</v>
      </c>
      <c r="Q45" s="60" t="s">
        <v>80</v>
      </c>
      <c r="R45" s="43">
        <f t="shared" si="64"/>
        <v>3</v>
      </c>
      <c r="S45" s="38">
        <f t="shared" si="65"/>
        <v>45873</v>
      </c>
      <c r="T45" s="41"/>
      <c r="U45" s="60">
        <v>45873</v>
      </c>
      <c r="V45" s="60">
        <f t="shared" si="49"/>
        <v>46027</v>
      </c>
      <c r="W45" s="60">
        <v>45874</v>
      </c>
      <c r="X45" s="60">
        <v>45874</v>
      </c>
      <c r="Y45" s="60">
        <v>45875</v>
      </c>
      <c r="Z45" s="60"/>
      <c r="AA45" s="60">
        <v>45875</v>
      </c>
      <c r="AB45" s="60">
        <v>45870</v>
      </c>
      <c r="AC45" s="60"/>
      <c r="AD45" s="60"/>
      <c r="AE45" s="60">
        <v>45926</v>
      </c>
      <c r="AF45" s="41"/>
      <c r="AG45" s="24"/>
      <c r="AH45" s="78"/>
      <c r="AI45" s="25"/>
    </row>
    <row r="46" spans="1:35" hidden="1" x14ac:dyDescent="0.25">
      <c r="A46" s="39" t="s">
        <v>286</v>
      </c>
      <c r="B46" s="20" t="str">
        <f t="shared" si="58"/>
        <v>Y</v>
      </c>
      <c r="C46" s="20" t="str">
        <f t="shared" si="59"/>
        <v>Y</v>
      </c>
      <c r="D46" s="20" t="str">
        <f t="shared" si="60"/>
        <v>Y</v>
      </c>
      <c r="E46" s="20" t="str">
        <f t="shared" si="61"/>
        <v>Y</v>
      </c>
      <c r="F46" s="20">
        <f t="shared" si="62"/>
        <v>2</v>
      </c>
      <c r="G46" s="56" t="str">
        <f t="shared" si="63"/>
        <v>y</v>
      </c>
      <c r="H46" s="61">
        <v>45847</v>
      </c>
      <c r="I46" s="60">
        <v>45852</v>
      </c>
      <c r="J46" s="60">
        <v>45861</v>
      </c>
      <c r="K46" s="60">
        <v>45866</v>
      </c>
      <c r="L46" s="60">
        <v>45873</v>
      </c>
      <c r="M46" s="41"/>
      <c r="N46" s="41"/>
      <c r="O46" s="41"/>
      <c r="P46" s="60" t="s">
        <v>80</v>
      </c>
      <c r="Q46" s="60" t="s">
        <v>80</v>
      </c>
      <c r="R46" s="43">
        <f t="shared" si="64"/>
        <v>3</v>
      </c>
      <c r="S46" s="38">
        <f t="shared" si="65"/>
        <v>45873</v>
      </c>
      <c r="T46" s="41"/>
      <c r="U46" s="60">
        <v>45873</v>
      </c>
      <c r="V46" s="60">
        <f t="shared" si="49"/>
        <v>46027</v>
      </c>
      <c r="W46" s="60">
        <v>45874</v>
      </c>
      <c r="X46" s="60">
        <v>45874</v>
      </c>
      <c r="Y46" s="60">
        <v>45875</v>
      </c>
      <c r="Z46" s="60"/>
      <c r="AA46" s="60">
        <v>45875</v>
      </c>
      <c r="AB46" s="60">
        <v>45870</v>
      </c>
      <c r="AC46" s="60"/>
      <c r="AD46" s="60"/>
      <c r="AE46" s="60">
        <v>45926</v>
      </c>
      <c r="AF46" s="41"/>
      <c r="AG46" s="24"/>
      <c r="AH46" s="78"/>
      <c r="AI46" s="25"/>
    </row>
    <row r="47" spans="1:35" hidden="1" x14ac:dyDescent="0.25">
      <c r="A47" s="39" t="s">
        <v>287</v>
      </c>
      <c r="B47" s="20" t="str">
        <f t="shared" si="58"/>
        <v>Y</v>
      </c>
      <c r="C47" s="20" t="str">
        <f t="shared" si="59"/>
        <v>Y</v>
      </c>
      <c r="D47" s="20" t="str">
        <f t="shared" si="60"/>
        <v>Y</v>
      </c>
      <c r="E47" s="20" t="str">
        <f t="shared" si="61"/>
        <v>Y</v>
      </c>
      <c r="F47" s="20">
        <f t="shared" si="62"/>
        <v>2</v>
      </c>
      <c r="G47" s="56" t="str">
        <f t="shared" si="63"/>
        <v>y</v>
      </c>
      <c r="H47" s="61">
        <v>45847</v>
      </c>
      <c r="I47" s="60">
        <v>45852</v>
      </c>
      <c r="J47" s="60">
        <v>45861</v>
      </c>
      <c r="K47" s="60">
        <v>45866</v>
      </c>
      <c r="L47" s="60">
        <v>45873</v>
      </c>
      <c r="M47" s="41"/>
      <c r="N47" s="41"/>
      <c r="O47" s="41"/>
      <c r="P47" s="60" t="s">
        <v>80</v>
      </c>
      <c r="Q47" s="60" t="s">
        <v>80</v>
      </c>
      <c r="R47" s="43">
        <f t="shared" si="64"/>
        <v>3</v>
      </c>
      <c r="S47" s="38">
        <f t="shared" si="65"/>
        <v>45873</v>
      </c>
      <c r="T47" s="41"/>
      <c r="U47" s="60">
        <v>45873</v>
      </c>
      <c r="V47" s="60">
        <f t="shared" si="49"/>
        <v>46055</v>
      </c>
      <c r="W47" s="60">
        <v>45874</v>
      </c>
      <c r="X47" s="60">
        <v>45874</v>
      </c>
      <c r="Y47" s="60">
        <v>45875</v>
      </c>
      <c r="Z47" s="60"/>
      <c r="AA47" s="60">
        <v>45875</v>
      </c>
      <c r="AB47" s="60">
        <v>45870</v>
      </c>
      <c r="AC47" s="60"/>
      <c r="AD47" s="60"/>
      <c r="AE47" s="60">
        <v>45971</v>
      </c>
      <c r="AF47" s="41"/>
      <c r="AG47" s="24"/>
      <c r="AH47" s="78"/>
      <c r="AI47" s="25"/>
    </row>
    <row r="48" spans="1:35" hidden="1" x14ac:dyDescent="0.25">
      <c r="A48" s="39" t="s">
        <v>288</v>
      </c>
      <c r="B48" s="20" t="str">
        <f t="shared" si="58"/>
        <v>Y</v>
      </c>
      <c r="C48" s="20" t="str">
        <f t="shared" si="59"/>
        <v>Y</v>
      </c>
      <c r="D48" s="20" t="str">
        <f t="shared" si="60"/>
        <v>Y</v>
      </c>
      <c r="E48" s="20" t="str">
        <f t="shared" si="61"/>
        <v>Y</v>
      </c>
      <c r="F48" s="20">
        <f t="shared" si="62"/>
        <v>2</v>
      </c>
      <c r="G48" s="56" t="str">
        <f t="shared" si="63"/>
        <v>y</v>
      </c>
      <c r="H48" s="61">
        <v>45847</v>
      </c>
      <c r="I48" s="60">
        <v>45852</v>
      </c>
      <c r="J48" s="60">
        <v>45861</v>
      </c>
      <c r="K48" s="60">
        <v>45866</v>
      </c>
      <c r="L48" s="60">
        <v>45873</v>
      </c>
      <c r="M48" s="41"/>
      <c r="N48" s="41"/>
      <c r="O48" s="41"/>
      <c r="P48" s="60" t="s">
        <v>80</v>
      </c>
      <c r="Q48" s="60" t="s">
        <v>80</v>
      </c>
      <c r="R48" s="43">
        <f t="shared" si="64"/>
        <v>3</v>
      </c>
      <c r="S48" s="38">
        <f t="shared" si="65"/>
        <v>45873</v>
      </c>
      <c r="T48" s="41"/>
      <c r="U48" s="60">
        <v>45873</v>
      </c>
      <c r="V48" s="60">
        <f t="shared" si="49"/>
        <v>46055</v>
      </c>
      <c r="W48" s="60">
        <v>45874</v>
      </c>
      <c r="X48" s="60">
        <v>45874</v>
      </c>
      <c r="Y48" s="60">
        <v>45875</v>
      </c>
      <c r="Z48" s="60"/>
      <c r="AA48" s="60">
        <v>45875</v>
      </c>
      <c r="AB48" s="60">
        <v>45870</v>
      </c>
      <c r="AC48" s="60"/>
      <c r="AD48" s="60"/>
      <c r="AE48" s="60">
        <v>45971</v>
      </c>
      <c r="AF48" s="41"/>
      <c r="AG48" s="24"/>
      <c r="AH48" s="78"/>
      <c r="AI48" s="25"/>
    </row>
    <row r="49" spans="1:35" x14ac:dyDescent="0.25">
      <c r="A49" s="39" t="s">
        <v>289</v>
      </c>
      <c r="B49" s="20" t="str">
        <f t="shared" si="58"/>
        <v>Y</v>
      </c>
      <c r="C49" s="20" t="str">
        <f t="shared" si="59"/>
        <v>Y</v>
      </c>
      <c r="D49" s="20" t="str">
        <f t="shared" si="60"/>
        <v>Y</v>
      </c>
      <c r="E49" s="20" t="str">
        <f t="shared" si="61"/>
        <v>Y</v>
      </c>
      <c r="F49" s="20">
        <f t="shared" si="62"/>
        <v>2</v>
      </c>
      <c r="G49" s="56" t="str">
        <f t="shared" si="63"/>
        <v>y</v>
      </c>
      <c r="H49" s="61">
        <v>45847</v>
      </c>
      <c r="I49" s="60">
        <v>45852</v>
      </c>
      <c r="J49" s="60">
        <v>45861</v>
      </c>
      <c r="K49" s="60">
        <v>45866</v>
      </c>
      <c r="L49" s="60">
        <v>45873</v>
      </c>
      <c r="M49" s="41"/>
      <c r="N49" s="41"/>
      <c r="O49" s="41"/>
      <c r="P49" s="60" t="s">
        <v>80</v>
      </c>
      <c r="Q49" s="60" t="s">
        <v>80</v>
      </c>
      <c r="R49" s="43">
        <f t="shared" si="64"/>
        <v>3</v>
      </c>
      <c r="S49" s="38">
        <f t="shared" si="65"/>
        <v>45873</v>
      </c>
      <c r="T49" s="41"/>
      <c r="U49" s="60">
        <v>45873</v>
      </c>
      <c r="V49" s="60">
        <f t="shared" si="49"/>
        <v>46083</v>
      </c>
      <c r="W49" s="60">
        <v>45874</v>
      </c>
      <c r="X49" s="60">
        <v>45874</v>
      </c>
      <c r="Y49" s="60">
        <v>45875</v>
      </c>
      <c r="Z49" s="60">
        <v>45882</v>
      </c>
      <c r="AA49" s="60">
        <v>45875</v>
      </c>
      <c r="AB49" s="60">
        <v>45870</v>
      </c>
      <c r="AC49" s="60"/>
      <c r="AD49" s="60"/>
      <c r="AE49" s="60">
        <v>46000</v>
      </c>
      <c r="AF49" s="41"/>
      <c r="AG49" s="24"/>
      <c r="AH49" s="78"/>
      <c r="AI49" s="25"/>
    </row>
    <row r="50" spans="1:35" x14ac:dyDescent="0.25">
      <c r="A50" s="39" t="s">
        <v>290</v>
      </c>
      <c r="B50" s="20" t="str">
        <f t="shared" si="58"/>
        <v>Y</v>
      </c>
      <c r="C50" s="20" t="str">
        <f t="shared" si="59"/>
        <v>Y</v>
      </c>
      <c r="D50" s="20" t="str">
        <f t="shared" si="60"/>
        <v>Y</v>
      </c>
      <c r="E50" s="20" t="str">
        <f t="shared" si="61"/>
        <v>Y</v>
      </c>
      <c r="F50" s="20">
        <f t="shared" si="62"/>
        <v>2</v>
      </c>
      <c r="G50" s="56" t="str">
        <f t="shared" si="63"/>
        <v>y</v>
      </c>
      <c r="H50" s="61">
        <v>45847</v>
      </c>
      <c r="I50" s="60">
        <v>45852</v>
      </c>
      <c r="J50" s="60">
        <v>45861</v>
      </c>
      <c r="K50" s="60">
        <v>45866</v>
      </c>
      <c r="L50" s="60">
        <v>45873</v>
      </c>
      <c r="M50" s="41"/>
      <c r="N50" s="41"/>
      <c r="O50" s="41"/>
      <c r="P50" s="60" t="s">
        <v>80</v>
      </c>
      <c r="Q50" s="60" t="s">
        <v>80</v>
      </c>
      <c r="R50" s="43">
        <f t="shared" si="64"/>
        <v>3</v>
      </c>
      <c r="S50" s="38">
        <f t="shared" si="65"/>
        <v>45873</v>
      </c>
      <c r="T50" s="41"/>
      <c r="U50" s="60">
        <v>45873</v>
      </c>
      <c r="V50" s="60">
        <f t="shared" si="49"/>
        <v>46083</v>
      </c>
      <c r="W50" s="60">
        <v>45874</v>
      </c>
      <c r="X50" s="60">
        <v>45874</v>
      </c>
      <c r="Y50" s="60">
        <v>45875</v>
      </c>
      <c r="Z50" s="60">
        <v>45882</v>
      </c>
      <c r="AA50" s="60">
        <v>45875</v>
      </c>
      <c r="AB50" s="60">
        <v>45870</v>
      </c>
      <c r="AC50" s="60"/>
      <c r="AD50" s="60"/>
      <c r="AE50" s="60">
        <v>46000</v>
      </c>
      <c r="AF50" s="41"/>
      <c r="AG50" s="24"/>
      <c r="AH50" s="78"/>
      <c r="AI50" s="25"/>
    </row>
    <row r="51" spans="1:35" x14ac:dyDescent="0.25">
      <c r="A51" s="39" t="s">
        <v>291</v>
      </c>
      <c r="B51" s="20" t="str">
        <f t="shared" si="58"/>
        <v>Y</v>
      </c>
      <c r="C51" s="20" t="str">
        <f t="shared" si="59"/>
        <v>Y</v>
      </c>
      <c r="D51" s="20" t="str">
        <f t="shared" si="60"/>
        <v>Y</v>
      </c>
      <c r="E51" s="20" t="str">
        <f t="shared" si="61"/>
        <v>Y</v>
      </c>
      <c r="F51" s="20">
        <f t="shared" si="62"/>
        <v>2</v>
      </c>
      <c r="G51" s="56" t="str">
        <f t="shared" si="63"/>
        <v>y</v>
      </c>
      <c r="H51" s="61">
        <v>45847</v>
      </c>
      <c r="I51" s="60">
        <v>45852</v>
      </c>
      <c r="J51" s="60">
        <v>45861</v>
      </c>
      <c r="K51" s="60">
        <v>45866</v>
      </c>
      <c r="L51" s="60">
        <v>45873</v>
      </c>
      <c r="M51" s="41"/>
      <c r="N51" s="41"/>
      <c r="O51" s="41"/>
      <c r="P51" s="60" t="s">
        <v>80</v>
      </c>
      <c r="Q51" s="60" t="s">
        <v>80</v>
      </c>
      <c r="R51" s="43">
        <f t="shared" si="64"/>
        <v>3</v>
      </c>
      <c r="S51" s="38">
        <f t="shared" si="65"/>
        <v>45873</v>
      </c>
      <c r="T51" s="41"/>
      <c r="U51" s="60">
        <v>45873</v>
      </c>
      <c r="V51" s="60">
        <f t="shared" si="49"/>
        <v>46111</v>
      </c>
      <c r="W51" s="60">
        <v>45874</v>
      </c>
      <c r="X51" s="60">
        <v>45874</v>
      </c>
      <c r="Y51" s="60">
        <v>45875</v>
      </c>
      <c r="Z51" s="60">
        <v>45882</v>
      </c>
      <c r="AA51" s="60">
        <v>45875</v>
      </c>
      <c r="AB51" s="60">
        <v>45870</v>
      </c>
      <c r="AC51" s="60">
        <v>46073</v>
      </c>
      <c r="AD51" s="60">
        <v>45870</v>
      </c>
      <c r="AE51" s="60">
        <v>46034</v>
      </c>
      <c r="AF51" s="41"/>
      <c r="AG51" s="24"/>
      <c r="AH51" s="78"/>
      <c r="AI51" s="25"/>
    </row>
    <row r="52" spans="1:35" x14ac:dyDescent="0.25">
      <c r="A52" s="39" t="s">
        <v>292</v>
      </c>
      <c r="B52" s="20" t="str">
        <f t="shared" si="58"/>
        <v>Y</v>
      </c>
      <c r="C52" s="20" t="str">
        <f t="shared" si="59"/>
        <v>Y</v>
      </c>
      <c r="D52" s="20" t="str">
        <f t="shared" si="60"/>
        <v>Y</v>
      </c>
      <c r="E52" s="20" t="str">
        <f t="shared" si="61"/>
        <v>Y</v>
      </c>
      <c r="F52" s="20">
        <f t="shared" si="62"/>
        <v>2</v>
      </c>
      <c r="G52" s="56" t="str">
        <f t="shared" si="63"/>
        <v>y</v>
      </c>
      <c r="H52" s="61">
        <v>45847</v>
      </c>
      <c r="I52" s="60">
        <v>45852</v>
      </c>
      <c r="J52" s="60">
        <v>45861</v>
      </c>
      <c r="K52" s="60">
        <v>45866</v>
      </c>
      <c r="L52" s="60">
        <v>45873</v>
      </c>
      <c r="M52" s="41"/>
      <c r="N52" s="41"/>
      <c r="O52" s="41"/>
      <c r="P52" s="60" t="s">
        <v>80</v>
      </c>
      <c r="Q52" s="60" t="s">
        <v>80</v>
      </c>
      <c r="R52" s="43">
        <f t="shared" si="64"/>
        <v>3</v>
      </c>
      <c r="S52" s="38">
        <f t="shared" si="65"/>
        <v>45873</v>
      </c>
      <c r="T52" s="41"/>
      <c r="U52" s="60">
        <v>45873</v>
      </c>
      <c r="V52" s="60">
        <f t="shared" si="49"/>
        <v>46111</v>
      </c>
      <c r="W52" s="60">
        <v>45874</v>
      </c>
      <c r="X52" s="60">
        <v>45874</v>
      </c>
      <c r="Y52" s="60">
        <v>45875</v>
      </c>
      <c r="Z52" s="60">
        <v>45882</v>
      </c>
      <c r="AA52" s="60">
        <v>45875</v>
      </c>
      <c r="AB52" s="60">
        <v>45870</v>
      </c>
      <c r="AC52" s="60">
        <v>46073</v>
      </c>
      <c r="AD52" s="60">
        <v>45870</v>
      </c>
      <c r="AE52" s="60">
        <v>46034</v>
      </c>
      <c r="AF52" s="41"/>
      <c r="AG52" s="24"/>
      <c r="AH52" s="78"/>
      <c r="AI52" s="25"/>
    </row>
    <row r="53" spans="1:35" x14ac:dyDescent="0.25">
      <c r="A53" s="39" t="s">
        <v>293</v>
      </c>
      <c r="B53" s="20" t="str">
        <f t="shared" si="58"/>
        <v>Y</v>
      </c>
      <c r="C53" s="20" t="str">
        <f t="shared" si="59"/>
        <v>Y</v>
      </c>
      <c r="D53" s="20" t="str">
        <f t="shared" si="60"/>
        <v>Y</v>
      </c>
      <c r="E53" s="20" t="str">
        <f t="shared" si="61"/>
        <v>Y</v>
      </c>
      <c r="F53" s="20">
        <f t="shared" si="62"/>
        <v>2</v>
      </c>
      <c r="G53" s="56" t="str">
        <f t="shared" si="63"/>
        <v>y</v>
      </c>
      <c r="H53" s="61">
        <v>45847</v>
      </c>
      <c r="I53" s="60">
        <v>45852</v>
      </c>
      <c r="J53" s="60">
        <v>45861</v>
      </c>
      <c r="K53" s="60">
        <v>45866</v>
      </c>
      <c r="L53" s="60">
        <v>45873</v>
      </c>
      <c r="M53" s="41"/>
      <c r="N53" s="41"/>
      <c r="O53" s="41"/>
      <c r="P53" s="60" t="s">
        <v>80</v>
      </c>
      <c r="Q53" s="60" t="s">
        <v>80</v>
      </c>
      <c r="R53" s="43">
        <f t="shared" si="64"/>
        <v>3</v>
      </c>
      <c r="S53" s="38">
        <f t="shared" si="65"/>
        <v>45873</v>
      </c>
      <c r="T53" s="41"/>
      <c r="U53" s="60">
        <v>45873</v>
      </c>
      <c r="V53" s="60">
        <f t="shared" si="49"/>
        <v>46139</v>
      </c>
      <c r="W53" s="60">
        <v>45874</v>
      </c>
      <c r="X53" s="60">
        <v>45874</v>
      </c>
      <c r="Y53" s="60">
        <v>45875</v>
      </c>
      <c r="Z53" s="60">
        <v>45882</v>
      </c>
      <c r="AA53" s="60">
        <v>45875</v>
      </c>
      <c r="AB53" s="60">
        <v>45870</v>
      </c>
      <c r="AC53" s="60">
        <v>46073</v>
      </c>
      <c r="AD53" s="60">
        <v>45870</v>
      </c>
      <c r="AE53" s="60">
        <v>46062</v>
      </c>
      <c r="AF53" s="41"/>
      <c r="AG53" s="24"/>
      <c r="AH53" s="78"/>
      <c r="AI53" s="25"/>
    </row>
    <row r="54" spans="1:35" x14ac:dyDescent="0.25">
      <c r="A54" s="39" t="s">
        <v>294</v>
      </c>
      <c r="B54" s="20" t="str">
        <f t="shared" si="58"/>
        <v>Y</v>
      </c>
      <c r="C54" s="20" t="str">
        <f t="shared" si="59"/>
        <v>Y</v>
      </c>
      <c r="D54" s="20" t="str">
        <f t="shared" si="60"/>
        <v>Y</v>
      </c>
      <c r="E54" s="20" t="str">
        <f t="shared" si="61"/>
        <v>Y</v>
      </c>
      <c r="F54" s="20">
        <f t="shared" si="62"/>
        <v>2</v>
      </c>
      <c r="G54" s="56" t="str">
        <f t="shared" si="63"/>
        <v>y</v>
      </c>
      <c r="H54" s="61">
        <v>45847</v>
      </c>
      <c r="I54" s="60">
        <v>45852</v>
      </c>
      <c r="J54" s="60">
        <v>45861</v>
      </c>
      <c r="K54" s="60">
        <v>45866</v>
      </c>
      <c r="L54" s="60">
        <v>45873</v>
      </c>
      <c r="M54" s="41"/>
      <c r="N54" s="41"/>
      <c r="O54" s="41"/>
      <c r="P54" s="60" t="s">
        <v>80</v>
      </c>
      <c r="Q54" s="60" t="s">
        <v>80</v>
      </c>
      <c r="R54" s="43">
        <f t="shared" si="64"/>
        <v>3</v>
      </c>
      <c r="S54" s="38">
        <f t="shared" si="65"/>
        <v>45873</v>
      </c>
      <c r="T54" s="41"/>
      <c r="U54" s="60">
        <v>45873</v>
      </c>
      <c r="V54" s="60">
        <f t="shared" si="49"/>
        <v>46139</v>
      </c>
      <c r="W54" s="60">
        <v>45874</v>
      </c>
      <c r="X54" s="60">
        <v>45874</v>
      </c>
      <c r="Y54" s="60">
        <v>45875</v>
      </c>
      <c r="Z54" s="60">
        <v>45882</v>
      </c>
      <c r="AA54" s="60">
        <v>45875</v>
      </c>
      <c r="AB54" s="60">
        <v>45870</v>
      </c>
      <c r="AC54" s="60">
        <v>46073</v>
      </c>
      <c r="AD54" s="60">
        <v>45870</v>
      </c>
      <c r="AE54" s="60">
        <v>46062</v>
      </c>
      <c r="AF54" s="41"/>
      <c r="AG54" s="24"/>
      <c r="AH54" s="78"/>
      <c r="AI54" s="25"/>
    </row>
    <row r="55" spans="1:35" x14ac:dyDescent="0.25">
      <c r="A55" s="39" t="s">
        <v>295</v>
      </c>
      <c r="B55" s="20" t="str">
        <f t="shared" si="58"/>
        <v>Y</v>
      </c>
      <c r="C55" s="20" t="str">
        <f t="shared" si="59"/>
        <v>Y</v>
      </c>
      <c r="D55" s="20" t="str">
        <f t="shared" si="60"/>
        <v>Y</v>
      </c>
      <c r="E55" s="20" t="str">
        <f t="shared" si="61"/>
        <v>Y</v>
      </c>
      <c r="F55" s="20">
        <f t="shared" si="62"/>
        <v>2</v>
      </c>
      <c r="G55" s="56" t="str">
        <f t="shared" si="63"/>
        <v>y</v>
      </c>
      <c r="H55" s="61">
        <v>45847</v>
      </c>
      <c r="I55" s="60">
        <v>45852</v>
      </c>
      <c r="J55" s="60">
        <v>45861</v>
      </c>
      <c r="K55" s="60">
        <v>45866</v>
      </c>
      <c r="L55" s="60">
        <v>45873</v>
      </c>
      <c r="M55" s="41"/>
      <c r="N55" s="41"/>
      <c r="O55" s="41"/>
      <c r="P55" s="60" t="s">
        <v>80</v>
      </c>
      <c r="Q55" s="60" t="s">
        <v>80</v>
      </c>
      <c r="R55" s="43">
        <f t="shared" si="64"/>
        <v>3</v>
      </c>
      <c r="S55" s="38">
        <f t="shared" si="65"/>
        <v>45873</v>
      </c>
      <c r="T55" s="41"/>
      <c r="U55" s="60">
        <v>45873</v>
      </c>
      <c r="V55" s="60">
        <f t="shared" si="49"/>
        <v>46167</v>
      </c>
      <c r="W55" s="60">
        <v>45874</v>
      </c>
      <c r="X55" s="60">
        <v>45874</v>
      </c>
      <c r="Y55" s="60">
        <v>45875</v>
      </c>
      <c r="Z55" s="60">
        <v>45882</v>
      </c>
      <c r="AA55" s="60">
        <v>45875</v>
      </c>
      <c r="AB55" s="60">
        <v>45870</v>
      </c>
      <c r="AC55" s="60">
        <v>46073</v>
      </c>
      <c r="AD55" s="60">
        <v>45870</v>
      </c>
      <c r="AE55" s="60">
        <v>46071</v>
      </c>
      <c r="AF55" s="41"/>
      <c r="AG55" s="24"/>
      <c r="AH55" s="78"/>
      <c r="AI55" s="25"/>
    </row>
    <row r="56" spans="1:35" x14ac:dyDescent="0.25">
      <c r="A56" s="39" t="s">
        <v>296</v>
      </c>
      <c r="B56" s="20" t="str">
        <f t="shared" si="58"/>
        <v>Y</v>
      </c>
      <c r="C56" s="20" t="str">
        <f t="shared" si="59"/>
        <v>Y</v>
      </c>
      <c r="D56" s="20" t="str">
        <f t="shared" si="60"/>
        <v>Y</v>
      </c>
      <c r="E56" s="20" t="str">
        <f t="shared" si="61"/>
        <v>Y</v>
      </c>
      <c r="F56" s="20">
        <f t="shared" si="62"/>
        <v>2</v>
      </c>
      <c r="G56" s="56" t="str">
        <f t="shared" si="63"/>
        <v>y</v>
      </c>
      <c r="H56" s="61">
        <v>45847</v>
      </c>
      <c r="I56" s="60">
        <v>45852</v>
      </c>
      <c r="J56" s="60">
        <v>45861</v>
      </c>
      <c r="K56" s="60">
        <v>45866</v>
      </c>
      <c r="L56" s="60">
        <v>45873</v>
      </c>
      <c r="M56" s="41"/>
      <c r="N56" s="41"/>
      <c r="O56" s="41"/>
      <c r="P56" s="60" t="s">
        <v>80</v>
      </c>
      <c r="Q56" s="60" t="s">
        <v>80</v>
      </c>
      <c r="R56" s="43">
        <f t="shared" si="64"/>
        <v>3</v>
      </c>
      <c r="S56" s="38">
        <f t="shared" si="65"/>
        <v>45873</v>
      </c>
      <c r="T56" s="41"/>
      <c r="U56" s="60">
        <v>45873</v>
      </c>
      <c r="V56" s="60">
        <f t="shared" si="49"/>
        <v>46167</v>
      </c>
      <c r="W56" s="60">
        <v>45874</v>
      </c>
      <c r="X56" s="60">
        <v>45874</v>
      </c>
      <c r="Y56" s="60">
        <v>45875</v>
      </c>
      <c r="Z56" s="60">
        <v>45882</v>
      </c>
      <c r="AA56" s="60">
        <v>45875</v>
      </c>
      <c r="AB56" s="60">
        <v>45870</v>
      </c>
      <c r="AC56" s="60">
        <v>46073</v>
      </c>
      <c r="AD56" s="60">
        <v>45870</v>
      </c>
      <c r="AE56" s="60">
        <v>46071</v>
      </c>
      <c r="AF56" s="41"/>
      <c r="AG56" s="24"/>
      <c r="AH56" s="78"/>
      <c r="AI56" s="25"/>
    </row>
    <row r="57" spans="1:35" ht="14.25" hidden="1" customHeight="1" x14ac:dyDescent="0.25">
      <c r="A57" s="39" t="s">
        <v>297</v>
      </c>
      <c r="B57" s="20" t="str">
        <f t="shared" ref="B57:B60" si="66">IF(H57&gt;0,"Y","N")</f>
        <v>Y</v>
      </c>
      <c r="C57" s="20" t="str">
        <f t="shared" ref="C57:C60" si="67">IF(I57&gt;0,IF(J57&gt;0,"Y","N"),"Y")</f>
        <v>Y</v>
      </c>
      <c r="D57" s="20" t="str">
        <f t="shared" ref="D57:D60" si="68">IF(K57&gt;0,IF(L57&gt;0,"Y","N"),"Y")</f>
        <v>Y</v>
      </c>
      <c r="E57" s="20" t="str">
        <f t="shared" ref="E57:E60" si="69">IF(M57&gt;0,IF(N57&gt;0,"Y","N"),"Y")</f>
        <v>Y</v>
      </c>
      <c r="F57" s="20">
        <f t="shared" ref="F57:F60" si="70">IF(N57&gt;0,3,IF(L57&gt;0,2,IF(J57&gt;0,1,IF(H57&gt;0,0,"  "))))</f>
        <v>1</v>
      </c>
      <c r="G57" s="56" t="str">
        <f t="shared" ref="G57:G60" si="71">IF(U57=0,"  ","y")</f>
        <v>y</v>
      </c>
      <c r="H57" s="61">
        <v>45841</v>
      </c>
      <c r="I57" s="60">
        <v>45845</v>
      </c>
      <c r="J57" s="60">
        <v>45852</v>
      </c>
      <c r="K57" s="41"/>
      <c r="L57" s="41"/>
      <c r="M57" s="41"/>
      <c r="N57" s="41"/>
      <c r="O57" s="41"/>
      <c r="P57" s="60">
        <v>45831</v>
      </c>
      <c r="Q57" s="60">
        <v>45828</v>
      </c>
      <c r="R57" s="43">
        <f t="shared" ref="R57:R60" si="72">IF(N57&gt;0,4,IF(L57&gt;0,3,IF(J57&gt;0,2,IF(H57&gt;0,1,0))))</f>
        <v>2</v>
      </c>
      <c r="S57" s="38">
        <f t="shared" ref="S57:S60" si="73">U57</f>
        <v>45852</v>
      </c>
      <c r="T57" s="41"/>
      <c r="U57" s="60">
        <v>45852</v>
      </c>
      <c r="V57" s="60">
        <f t="shared" si="49"/>
        <v>45943</v>
      </c>
      <c r="W57" s="60">
        <v>45856</v>
      </c>
      <c r="X57" s="60">
        <v>45856</v>
      </c>
      <c r="Y57" s="60">
        <v>45859</v>
      </c>
      <c r="Z57" s="60"/>
      <c r="AA57" s="60">
        <v>45859</v>
      </c>
      <c r="AB57" s="60">
        <v>45861</v>
      </c>
      <c r="AC57" s="60"/>
      <c r="AD57" s="60"/>
      <c r="AE57" s="60">
        <v>45868</v>
      </c>
      <c r="AF57" s="41"/>
      <c r="AG57" s="24"/>
      <c r="AH57" s="78"/>
      <c r="AI57" s="25"/>
    </row>
    <row r="58" spans="1:35" hidden="1" x14ac:dyDescent="0.25">
      <c r="A58" s="39" t="s">
        <v>298</v>
      </c>
      <c r="B58" s="20" t="str">
        <f t="shared" si="66"/>
        <v>Y</v>
      </c>
      <c r="C58" s="20" t="str">
        <f t="shared" si="67"/>
        <v>Y</v>
      </c>
      <c r="D58" s="20" t="str">
        <f t="shared" si="68"/>
        <v>Y</v>
      </c>
      <c r="E58" s="20" t="str">
        <f t="shared" si="69"/>
        <v>Y</v>
      </c>
      <c r="F58" s="20">
        <f t="shared" si="70"/>
        <v>1</v>
      </c>
      <c r="G58" s="56" t="str">
        <f t="shared" si="71"/>
        <v>y</v>
      </c>
      <c r="H58" s="61">
        <v>45841</v>
      </c>
      <c r="I58" s="60">
        <v>45845</v>
      </c>
      <c r="J58" s="60">
        <v>45852</v>
      </c>
      <c r="K58" s="41"/>
      <c r="L58" s="41"/>
      <c r="M58" s="41"/>
      <c r="N58" s="41"/>
      <c r="O58" s="41"/>
      <c r="P58" s="60">
        <v>45831</v>
      </c>
      <c r="Q58" s="60">
        <v>45828</v>
      </c>
      <c r="R58" s="43">
        <f t="shared" si="72"/>
        <v>2</v>
      </c>
      <c r="S58" s="38">
        <f t="shared" si="73"/>
        <v>45852</v>
      </c>
      <c r="T58" s="41"/>
      <c r="U58" s="60">
        <v>45852</v>
      </c>
      <c r="V58" s="60">
        <f t="shared" si="49"/>
        <v>45943</v>
      </c>
      <c r="W58" s="60">
        <v>45856</v>
      </c>
      <c r="X58" s="60">
        <v>45856</v>
      </c>
      <c r="Y58" s="60">
        <v>45859</v>
      </c>
      <c r="Z58" s="60"/>
      <c r="AA58" s="60">
        <v>45859</v>
      </c>
      <c r="AB58" s="60">
        <v>45861</v>
      </c>
      <c r="AC58" s="60"/>
      <c r="AD58" s="60"/>
      <c r="AE58" s="60">
        <v>45868</v>
      </c>
      <c r="AF58" s="41"/>
      <c r="AG58" s="24"/>
      <c r="AH58" s="78"/>
      <c r="AI58" s="25"/>
    </row>
    <row r="59" spans="1:35" hidden="1" x14ac:dyDescent="0.25">
      <c r="A59" s="39" t="s">
        <v>299</v>
      </c>
      <c r="B59" s="20" t="str">
        <f t="shared" si="66"/>
        <v>Y</v>
      </c>
      <c r="C59" s="20" t="str">
        <f t="shared" si="67"/>
        <v>Y</v>
      </c>
      <c r="D59" s="20" t="str">
        <f t="shared" si="68"/>
        <v>Y</v>
      </c>
      <c r="E59" s="20" t="str">
        <f t="shared" si="69"/>
        <v>Y</v>
      </c>
      <c r="F59" s="20">
        <f t="shared" si="70"/>
        <v>1</v>
      </c>
      <c r="G59" s="56" t="str">
        <f t="shared" si="71"/>
        <v>y</v>
      </c>
      <c r="H59" s="61">
        <v>45854</v>
      </c>
      <c r="I59" s="60">
        <v>45855</v>
      </c>
      <c r="J59" s="60">
        <v>45860</v>
      </c>
      <c r="K59" s="41"/>
      <c r="L59" s="41"/>
      <c r="M59" s="41"/>
      <c r="N59" s="41"/>
      <c r="O59" s="41"/>
      <c r="P59" s="60">
        <v>45833</v>
      </c>
      <c r="Q59" s="60">
        <v>45832</v>
      </c>
      <c r="R59" s="43">
        <f t="shared" si="72"/>
        <v>2</v>
      </c>
      <c r="S59" s="38">
        <f t="shared" si="73"/>
        <v>45860</v>
      </c>
      <c r="T59" s="41"/>
      <c r="U59" s="60">
        <v>45860</v>
      </c>
      <c r="V59" s="60">
        <f t="shared" si="49"/>
        <v>45958</v>
      </c>
      <c r="W59" s="60">
        <v>45868</v>
      </c>
      <c r="X59" s="60">
        <v>45868</v>
      </c>
      <c r="Y59" s="60">
        <v>45870</v>
      </c>
      <c r="Z59" s="60"/>
      <c r="AA59" s="60">
        <v>45870</v>
      </c>
      <c r="AB59" s="60">
        <v>45910</v>
      </c>
      <c r="AC59" s="60"/>
      <c r="AD59" s="60"/>
      <c r="AE59" s="60">
        <v>45911</v>
      </c>
      <c r="AF59" s="41"/>
      <c r="AG59" s="24"/>
      <c r="AH59" s="78"/>
      <c r="AI59" s="25"/>
    </row>
    <row r="60" spans="1:35" hidden="1" x14ac:dyDescent="0.25">
      <c r="A60" s="39" t="s">
        <v>300</v>
      </c>
      <c r="B60" s="20" t="str">
        <f t="shared" si="66"/>
        <v>Y</v>
      </c>
      <c r="C60" s="20" t="str">
        <f t="shared" si="67"/>
        <v>Y</v>
      </c>
      <c r="D60" s="20" t="str">
        <f t="shared" si="68"/>
        <v>Y</v>
      </c>
      <c r="E60" s="20" t="str">
        <f t="shared" si="69"/>
        <v>Y</v>
      </c>
      <c r="F60" s="20">
        <f t="shared" si="70"/>
        <v>2</v>
      </c>
      <c r="G60" s="56" t="str">
        <f t="shared" si="71"/>
        <v>y</v>
      </c>
      <c r="H60" s="61">
        <v>45854</v>
      </c>
      <c r="I60" s="60">
        <v>45859</v>
      </c>
      <c r="J60" s="60">
        <v>45868</v>
      </c>
      <c r="K60" s="60">
        <v>45884</v>
      </c>
      <c r="L60" s="60">
        <v>45888</v>
      </c>
      <c r="M60" s="41"/>
      <c r="N60" s="41"/>
      <c r="O60" s="41"/>
      <c r="P60" s="60">
        <v>45833</v>
      </c>
      <c r="Q60" s="60">
        <v>45832</v>
      </c>
      <c r="R60" s="43">
        <f t="shared" si="72"/>
        <v>3</v>
      </c>
      <c r="S60" s="38">
        <f t="shared" si="73"/>
        <v>45888</v>
      </c>
      <c r="T60" s="41"/>
      <c r="U60" s="60">
        <v>45888</v>
      </c>
      <c r="V60" s="60">
        <f t="shared" si="49"/>
        <v>45986</v>
      </c>
      <c r="W60" s="60">
        <v>45897</v>
      </c>
      <c r="X60" s="60">
        <v>45897</v>
      </c>
      <c r="Y60" s="60">
        <v>45898</v>
      </c>
      <c r="Z60" s="60"/>
      <c r="AA60" s="60">
        <v>45898</v>
      </c>
      <c r="AB60" s="60">
        <v>45952</v>
      </c>
      <c r="AC60" s="60"/>
      <c r="AD60" s="60"/>
      <c r="AE60" s="60">
        <v>45960</v>
      </c>
      <c r="AF60" s="41"/>
      <c r="AG60" s="24"/>
      <c r="AH60" s="78"/>
      <c r="AI60" s="25"/>
    </row>
    <row r="61" spans="1:35" hidden="1" x14ac:dyDescent="0.25">
      <c r="A61" s="39" t="s">
        <v>302</v>
      </c>
      <c r="B61" s="20" t="str">
        <f t="shared" si="58"/>
        <v>Y</v>
      </c>
      <c r="C61" s="20" t="str">
        <f t="shared" si="59"/>
        <v>Y</v>
      </c>
      <c r="D61" s="20" t="str">
        <f t="shared" si="60"/>
        <v>Y</v>
      </c>
      <c r="E61" s="20" t="str">
        <f>IF(M61&gt;0,IF(N61&gt;0,"Y","N"),"Y")</f>
        <v>Y</v>
      </c>
      <c r="F61" s="20">
        <f t="shared" si="62"/>
        <v>1</v>
      </c>
      <c r="G61" s="56" t="str">
        <f t="shared" si="63"/>
        <v>y</v>
      </c>
      <c r="H61" s="61">
        <v>45866</v>
      </c>
      <c r="I61" s="60">
        <v>45881</v>
      </c>
      <c r="J61" s="60">
        <v>45888</v>
      </c>
      <c r="K61" s="41"/>
      <c r="L61" s="41"/>
      <c r="M61" s="41"/>
      <c r="N61" s="41"/>
      <c r="O61" s="41"/>
      <c r="P61" s="60" t="s">
        <v>80</v>
      </c>
      <c r="Q61" s="60" t="s">
        <v>80</v>
      </c>
      <c r="R61" s="43">
        <f t="shared" si="64"/>
        <v>2</v>
      </c>
      <c r="S61" s="38">
        <f t="shared" si="65"/>
        <v>45888</v>
      </c>
      <c r="T61" s="41"/>
      <c r="U61" s="60">
        <v>45888</v>
      </c>
      <c r="V61" s="60">
        <f t="shared" si="49"/>
        <v>46070</v>
      </c>
      <c r="W61" s="60">
        <v>45889</v>
      </c>
      <c r="X61" s="60">
        <v>45889</v>
      </c>
      <c r="Y61" s="60">
        <v>45890</v>
      </c>
      <c r="Z61" s="60"/>
      <c r="AA61" s="60">
        <v>45890</v>
      </c>
      <c r="AB61" s="60">
        <v>45897</v>
      </c>
      <c r="AC61" s="60"/>
      <c r="AD61" s="60"/>
      <c r="AE61" s="60">
        <v>45897</v>
      </c>
      <c r="AF61" s="41"/>
      <c r="AG61" s="24"/>
      <c r="AH61" s="78"/>
      <c r="AI61" s="25"/>
    </row>
    <row r="62" spans="1:35" hidden="1" x14ac:dyDescent="0.25">
      <c r="A62" s="39" t="s">
        <v>303</v>
      </c>
      <c r="B62" s="20" t="str">
        <f t="shared" si="58"/>
        <v>Y</v>
      </c>
      <c r="C62" s="20" t="str">
        <f t="shared" si="59"/>
        <v>Y</v>
      </c>
      <c r="D62" s="20" t="str">
        <f t="shared" si="60"/>
        <v>Y</v>
      </c>
      <c r="E62" s="20" t="str">
        <f>IF(M62&gt;0,IF(N62&gt;0,"Y","N"),"Y")</f>
        <v>Y</v>
      </c>
      <c r="F62" s="20">
        <f t="shared" si="62"/>
        <v>2</v>
      </c>
      <c r="G62" s="56" t="str">
        <f t="shared" si="63"/>
        <v>y</v>
      </c>
      <c r="H62" s="61">
        <v>45861</v>
      </c>
      <c r="I62" s="60">
        <v>45875</v>
      </c>
      <c r="J62" s="60">
        <v>45883</v>
      </c>
      <c r="K62" s="60">
        <v>45887</v>
      </c>
      <c r="L62" s="60">
        <v>45894</v>
      </c>
      <c r="M62" s="41"/>
      <c r="N62" s="41"/>
      <c r="O62" s="41"/>
      <c r="P62" s="60">
        <v>45901</v>
      </c>
      <c r="Q62" s="60">
        <v>45901</v>
      </c>
      <c r="R62" s="43">
        <f t="shared" si="64"/>
        <v>3</v>
      </c>
      <c r="S62" s="38">
        <f t="shared" si="65"/>
        <v>45894</v>
      </c>
      <c r="T62" s="41"/>
      <c r="U62" s="60">
        <v>45894</v>
      </c>
      <c r="V62" s="60">
        <f t="shared" si="49"/>
        <v>46076</v>
      </c>
      <c r="W62" s="60">
        <v>45902</v>
      </c>
      <c r="X62" s="60">
        <v>45902</v>
      </c>
      <c r="Y62" s="60">
        <v>45904</v>
      </c>
      <c r="Z62" s="60"/>
      <c r="AA62" s="60">
        <v>45812</v>
      </c>
      <c r="AB62" s="60">
        <v>45953</v>
      </c>
      <c r="AC62" s="60"/>
      <c r="AD62" s="60"/>
      <c r="AE62" s="60">
        <v>45961</v>
      </c>
      <c r="AF62" s="41"/>
      <c r="AG62" s="24"/>
      <c r="AH62" s="78"/>
      <c r="AI62" s="25"/>
    </row>
    <row r="63" spans="1:35" hidden="1" x14ac:dyDescent="0.25">
      <c r="A63" s="39" t="s">
        <v>304</v>
      </c>
      <c r="B63" s="20" t="str">
        <f t="shared" si="58"/>
        <v>Y</v>
      </c>
      <c r="C63" s="20" t="str">
        <f t="shared" si="59"/>
        <v>Y</v>
      </c>
      <c r="D63" s="20" t="str">
        <f t="shared" si="60"/>
        <v>Y</v>
      </c>
      <c r="E63" s="20" t="str">
        <f t="shared" si="61"/>
        <v>Y</v>
      </c>
      <c r="F63" s="20">
        <f t="shared" si="62"/>
        <v>2</v>
      </c>
      <c r="G63" s="56" t="str">
        <f t="shared" si="63"/>
        <v>y</v>
      </c>
      <c r="H63" s="61">
        <v>45859</v>
      </c>
      <c r="I63" s="60">
        <v>45870</v>
      </c>
      <c r="J63" s="60">
        <v>45880</v>
      </c>
      <c r="K63" s="60">
        <v>45887</v>
      </c>
      <c r="L63" s="60">
        <v>45894</v>
      </c>
      <c r="M63" s="41"/>
      <c r="N63" s="41"/>
      <c r="O63" s="41"/>
      <c r="P63" s="60">
        <v>45902</v>
      </c>
      <c r="Q63" s="60">
        <v>45902</v>
      </c>
      <c r="R63" s="43">
        <f t="shared" si="64"/>
        <v>3</v>
      </c>
      <c r="S63" s="38">
        <f t="shared" si="65"/>
        <v>45894</v>
      </c>
      <c r="T63" s="41"/>
      <c r="U63" s="60">
        <v>45894</v>
      </c>
      <c r="V63" s="60">
        <f t="shared" si="49"/>
        <v>46076</v>
      </c>
      <c r="W63" s="60">
        <v>45902</v>
      </c>
      <c r="X63" s="60">
        <v>45902</v>
      </c>
      <c r="Y63" s="60">
        <v>45903</v>
      </c>
      <c r="Z63" s="60"/>
      <c r="AA63" s="60">
        <v>45903</v>
      </c>
      <c r="AB63" s="60">
        <v>45953</v>
      </c>
      <c r="AC63" s="60"/>
      <c r="AD63" s="60"/>
      <c r="AE63" s="60">
        <v>45966</v>
      </c>
      <c r="AF63" s="41"/>
      <c r="AG63" s="24"/>
      <c r="AH63" s="78"/>
      <c r="AI63" s="25"/>
    </row>
    <row r="64" spans="1:35" hidden="1" x14ac:dyDescent="0.25">
      <c r="A64" s="39" t="s">
        <v>305</v>
      </c>
      <c r="B64" s="20" t="str">
        <f t="shared" si="58"/>
        <v>Y</v>
      </c>
      <c r="C64" s="20" t="str">
        <f t="shared" si="59"/>
        <v>Y</v>
      </c>
      <c r="D64" s="20" t="str">
        <f t="shared" si="60"/>
        <v>Y</v>
      </c>
      <c r="E64" s="20" t="str">
        <f t="shared" si="61"/>
        <v>Y</v>
      </c>
      <c r="F64" s="20">
        <f t="shared" si="62"/>
        <v>2</v>
      </c>
      <c r="G64" s="56" t="str">
        <f t="shared" si="63"/>
        <v>y</v>
      </c>
      <c r="H64" s="61">
        <v>45859</v>
      </c>
      <c r="I64" s="60">
        <v>45870</v>
      </c>
      <c r="J64" s="60">
        <v>45880</v>
      </c>
      <c r="K64" s="60">
        <v>45887</v>
      </c>
      <c r="L64" s="60">
        <v>45894</v>
      </c>
      <c r="M64" s="41"/>
      <c r="N64" s="41"/>
      <c r="O64" s="41"/>
      <c r="P64" s="60">
        <v>45902</v>
      </c>
      <c r="Q64" s="60">
        <v>45902</v>
      </c>
      <c r="R64" s="43">
        <f t="shared" si="64"/>
        <v>3</v>
      </c>
      <c r="S64" s="38">
        <f t="shared" si="65"/>
        <v>45894</v>
      </c>
      <c r="T64" s="41"/>
      <c r="U64" s="60">
        <v>45894</v>
      </c>
      <c r="V64" s="60">
        <f t="shared" si="49"/>
        <v>46076</v>
      </c>
      <c r="W64" s="60">
        <v>45902</v>
      </c>
      <c r="X64" s="60">
        <v>45902</v>
      </c>
      <c r="Y64" s="60">
        <v>45903</v>
      </c>
      <c r="Z64" s="60"/>
      <c r="AA64" s="60">
        <v>45903</v>
      </c>
      <c r="AB64" s="60">
        <v>45953</v>
      </c>
      <c r="AC64" s="60"/>
      <c r="AD64" s="60"/>
      <c r="AE64" s="60">
        <v>45966</v>
      </c>
      <c r="AF64" s="41"/>
      <c r="AG64" s="24"/>
      <c r="AH64" s="78"/>
      <c r="AI64" s="25"/>
    </row>
    <row r="65" spans="1:35" hidden="1" x14ac:dyDescent="0.25">
      <c r="A65" s="39" t="s">
        <v>306</v>
      </c>
      <c r="B65" s="20" t="str">
        <f t="shared" si="50"/>
        <v>Y</v>
      </c>
      <c r="C65" s="20" t="str">
        <f t="shared" si="51"/>
        <v>Y</v>
      </c>
      <c r="D65" s="20" t="str">
        <f t="shared" si="52"/>
        <v>Y</v>
      </c>
      <c r="E65" s="20" t="str">
        <f t="shared" si="53"/>
        <v>Y</v>
      </c>
      <c r="F65" s="20">
        <f t="shared" si="54"/>
        <v>1</v>
      </c>
      <c r="G65" s="56" t="str">
        <f t="shared" si="55"/>
        <v>y</v>
      </c>
      <c r="H65" s="61">
        <v>45856</v>
      </c>
      <c r="I65" s="60">
        <v>45869</v>
      </c>
      <c r="J65" s="60">
        <v>45890</v>
      </c>
      <c r="K65" s="41"/>
      <c r="L65" s="41"/>
      <c r="M65" s="41"/>
      <c r="N65" s="41"/>
      <c r="O65" s="41"/>
      <c r="P65" s="60">
        <v>45853</v>
      </c>
      <c r="Q65" s="41" t="s">
        <v>308</v>
      </c>
      <c r="R65" s="43">
        <f t="shared" si="56"/>
        <v>2</v>
      </c>
      <c r="S65" s="38">
        <f t="shared" si="57"/>
        <v>45890</v>
      </c>
      <c r="T65" s="41"/>
      <c r="U65" s="60">
        <v>45890</v>
      </c>
      <c r="V65" s="60">
        <f t="shared" si="49"/>
        <v>46072</v>
      </c>
      <c r="W65" s="60">
        <v>45905</v>
      </c>
      <c r="X65" s="60">
        <v>45905</v>
      </c>
      <c r="Y65" s="60">
        <v>45910</v>
      </c>
      <c r="Z65" s="60"/>
      <c r="AA65" s="60">
        <v>45910</v>
      </c>
      <c r="AB65" s="60">
        <v>45923</v>
      </c>
      <c r="AC65" s="60"/>
      <c r="AD65" s="60"/>
      <c r="AE65" s="60">
        <v>45960</v>
      </c>
      <c r="AF65" s="41"/>
      <c r="AG65" s="24"/>
      <c r="AH65" s="78"/>
      <c r="AI65" s="25"/>
    </row>
    <row r="66" spans="1:35" hidden="1" x14ac:dyDescent="0.25">
      <c r="A66" s="39" t="s">
        <v>307</v>
      </c>
      <c r="B66" s="20" t="str">
        <f t="shared" si="50"/>
        <v>N</v>
      </c>
      <c r="C66" s="20" t="str">
        <f t="shared" si="51"/>
        <v>Y</v>
      </c>
      <c r="D66" s="20" t="str">
        <f t="shared" si="52"/>
        <v>Y</v>
      </c>
      <c r="E66" s="20" t="str">
        <f t="shared" si="53"/>
        <v>Y</v>
      </c>
      <c r="F66" s="20" t="str">
        <f t="shared" si="54"/>
        <v xml:space="preserve">  </v>
      </c>
      <c r="G66" s="56" t="str">
        <f t="shared" si="55"/>
        <v xml:space="preserve">  </v>
      </c>
      <c r="H66" s="54"/>
      <c r="I66" s="41"/>
      <c r="J66" s="41"/>
      <c r="K66" s="41"/>
      <c r="L66" s="41"/>
      <c r="M66" s="41"/>
      <c r="N66" s="41"/>
      <c r="O66" s="41"/>
      <c r="P66" s="60" t="s">
        <v>80</v>
      </c>
      <c r="Q66" s="60" t="s">
        <v>80</v>
      </c>
      <c r="R66" s="43">
        <f t="shared" si="56"/>
        <v>0</v>
      </c>
      <c r="S66" s="38">
        <f t="shared" si="57"/>
        <v>0</v>
      </c>
      <c r="T66" s="41"/>
      <c r="U66" s="41"/>
      <c r="V66" s="60" t="str">
        <f t="shared" si="49"/>
        <v/>
      </c>
      <c r="W66" s="60" t="s">
        <v>80</v>
      </c>
      <c r="X66" s="60" t="s">
        <v>80</v>
      </c>
      <c r="Y66" s="60" t="s">
        <v>80</v>
      </c>
      <c r="Z66" s="60"/>
      <c r="AA66" s="60" t="s">
        <v>80</v>
      </c>
      <c r="AB66" s="41"/>
      <c r="AC66" s="41"/>
      <c r="AD66" s="41"/>
      <c r="AE66" s="41"/>
      <c r="AF66" s="41"/>
      <c r="AG66" s="24"/>
      <c r="AH66" s="78"/>
      <c r="AI66" s="25"/>
    </row>
    <row r="67" spans="1:35" x14ac:dyDescent="0.25">
      <c r="A67" s="39" t="s">
        <v>311</v>
      </c>
      <c r="B67" s="20" t="str">
        <f t="shared" si="50"/>
        <v>Y</v>
      </c>
      <c r="C67" s="20" t="str">
        <f t="shared" si="51"/>
        <v>Y</v>
      </c>
      <c r="D67" s="20" t="str">
        <f t="shared" si="52"/>
        <v>Y</v>
      </c>
      <c r="E67" s="20" t="str">
        <f t="shared" si="53"/>
        <v>N</v>
      </c>
      <c r="F67" s="20">
        <f t="shared" si="54"/>
        <v>2</v>
      </c>
      <c r="G67" s="56" t="str">
        <f t="shared" si="55"/>
        <v>y</v>
      </c>
      <c r="H67" s="61">
        <v>45884</v>
      </c>
      <c r="I67" s="60">
        <v>45944</v>
      </c>
      <c r="J67" s="60">
        <v>45959</v>
      </c>
      <c r="K67" s="60">
        <v>45960</v>
      </c>
      <c r="L67" s="60">
        <v>45965</v>
      </c>
      <c r="M67" s="60">
        <v>46055</v>
      </c>
      <c r="N67" s="41"/>
      <c r="O67" s="41"/>
      <c r="P67" s="60">
        <v>45862</v>
      </c>
      <c r="Q67" s="60">
        <v>45862</v>
      </c>
      <c r="R67" s="43">
        <f t="shared" si="56"/>
        <v>3</v>
      </c>
      <c r="S67" s="38">
        <f t="shared" si="57"/>
        <v>45965</v>
      </c>
      <c r="T67" s="41"/>
      <c r="U67" s="60">
        <v>45965</v>
      </c>
      <c r="V67" s="60">
        <f t="shared" si="49"/>
        <v>46147</v>
      </c>
      <c r="W67" s="60">
        <v>45971</v>
      </c>
      <c r="X67" s="60">
        <v>45971</v>
      </c>
      <c r="Y67" s="60">
        <v>45972</v>
      </c>
      <c r="Z67" s="60">
        <v>46030</v>
      </c>
      <c r="AA67" s="60">
        <v>45972</v>
      </c>
      <c r="AB67" s="60">
        <v>45985</v>
      </c>
      <c r="AC67" s="60">
        <v>46035</v>
      </c>
      <c r="AD67" s="60">
        <v>45985</v>
      </c>
      <c r="AE67" s="60">
        <v>45985</v>
      </c>
      <c r="AF67" s="41"/>
      <c r="AG67" s="24"/>
      <c r="AH67" s="78"/>
      <c r="AI67" s="25"/>
    </row>
    <row r="68" spans="1:35" x14ac:dyDescent="0.25">
      <c r="A68" s="39" t="s">
        <v>313</v>
      </c>
      <c r="B68" s="20" t="str">
        <f t="shared" ref="B68:B142" si="74">IF(H68&gt;0,"Y","N")</f>
        <v>Y</v>
      </c>
      <c r="C68" s="20" t="str">
        <f t="shared" ref="C68:C142" si="75">IF(I68&gt;0,IF(J68&gt;0,"Y","N"),"Y")</f>
        <v>Y</v>
      </c>
      <c r="D68" s="20" t="str">
        <f t="shared" ref="D68:D142" si="76">IF(K68&gt;0,IF(L68&gt;0,"Y","N"),"Y")</f>
        <v>Y</v>
      </c>
      <c r="E68" s="20" t="str">
        <f t="shared" ref="E68:E142" si="77">IF(M68&gt;0,IF(N68&gt;0,"Y","N"),"Y")</f>
        <v>Y</v>
      </c>
      <c r="F68" s="20">
        <f t="shared" ref="F68:F142" si="78">IF(N68&gt;0,3,IF(L68&gt;0,2,IF(J68&gt;0,1,IF(H68&gt;0,0,"  "))))</f>
        <v>3</v>
      </c>
      <c r="G68" s="56" t="str">
        <f t="shared" ref="G68:G142" si="79">IF(U68=0,"  ","y")</f>
        <v>y</v>
      </c>
      <c r="H68" s="61">
        <v>45877</v>
      </c>
      <c r="I68" s="60">
        <v>45880</v>
      </c>
      <c r="J68" s="60">
        <v>45887</v>
      </c>
      <c r="K68" s="60">
        <v>45945</v>
      </c>
      <c r="L68" s="60">
        <v>45951</v>
      </c>
      <c r="M68" s="60">
        <v>45954</v>
      </c>
      <c r="N68" s="60">
        <v>45961</v>
      </c>
      <c r="O68" s="60">
        <v>45965</v>
      </c>
      <c r="P68" s="60">
        <v>45862</v>
      </c>
      <c r="Q68" s="60">
        <v>45862</v>
      </c>
      <c r="R68" s="43">
        <f t="shared" ref="R68:R142" si="80">IF(N68&gt;0,4,IF(L68&gt;0,3,IF(J68&gt;0,2,IF(H68&gt;0,1,0))))</f>
        <v>4</v>
      </c>
      <c r="S68" s="38">
        <f t="shared" ref="S68:S142" si="81">U68</f>
        <v>45965</v>
      </c>
      <c r="T68" s="41"/>
      <c r="U68" s="60">
        <v>45965</v>
      </c>
      <c r="V68" s="60">
        <f t="shared" ref="V68:V99" si="82">_xlfn.IFNA(IF(U68="",VLOOKUP(A68,Jobs,23,0),U68+(VLOOKUP(A68,Jobs,7,FALSE)*7)+(VLOOKUP(A68,Jobs,22,FALSE)*7)),"")</f>
        <v>46091</v>
      </c>
      <c r="W68" s="60">
        <v>45954</v>
      </c>
      <c r="X68" s="60">
        <v>45954</v>
      </c>
      <c r="Y68" s="60">
        <v>45966</v>
      </c>
      <c r="Z68" s="60">
        <v>45978</v>
      </c>
      <c r="AA68" s="60">
        <v>45966</v>
      </c>
      <c r="AB68" s="60">
        <v>45985</v>
      </c>
      <c r="AC68" s="60">
        <v>46021</v>
      </c>
      <c r="AD68" s="60">
        <v>45985</v>
      </c>
      <c r="AE68" s="60">
        <v>45985</v>
      </c>
      <c r="AF68" s="41"/>
      <c r="AG68" s="24"/>
      <c r="AH68" s="78"/>
      <c r="AI68" s="25"/>
    </row>
    <row r="69" spans="1:35" hidden="1" x14ac:dyDescent="0.25">
      <c r="A69" s="39" t="s">
        <v>315</v>
      </c>
      <c r="B69" s="20" t="str">
        <f t="shared" si="74"/>
        <v>Y</v>
      </c>
      <c r="C69" s="20" t="str">
        <f t="shared" si="75"/>
        <v>Y</v>
      </c>
      <c r="D69" s="20" t="str">
        <f t="shared" si="76"/>
        <v>Y</v>
      </c>
      <c r="E69" s="20" t="str">
        <f t="shared" si="77"/>
        <v>Y</v>
      </c>
      <c r="F69" s="20">
        <f t="shared" si="78"/>
        <v>1</v>
      </c>
      <c r="G69" s="56" t="str">
        <f t="shared" si="79"/>
        <v>y</v>
      </c>
      <c r="H69" s="61">
        <v>45881</v>
      </c>
      <c r="I69" s="60">
        <v>45883</v>
      </c>
      <c r="J69" s="60">
        <v>45888</v>
      </c>
      <c r="K69" s="41"/>
      <c r="L69" s="41"/>
      <c r="M69" s="41"/>
      <c r="N69" s="41"/>
      <c r="O69" s="41"/>
      <c r="P69" s="60">
        <v>45863</v>
      </c>
      <c r="Q69" s="60">
        <v>45862</v>
      </c>
      <c r="R69" s="43">
        <f t="shared" si="80"/>
        <v>2</v>
      </c>
      <c r="S69" s="38">
        <f t="shared" si="81"/>
        <v>45888</v>
      </c>
      <c r="T69" s="41"/>
      <c r="U69" s="60">
        <v>45888</v>
      </c>
      <c r="V69" s="60">
        <f t="shared" si="82"/>
        <v>46000</v>
      </c>
      <c r="W69" s="60">
        <v>45890</v>
      </c>
      <c r="X69" s="60">
        <v>45890</v>
      </c>
      <c r="Y69" s="60">
        <v>45896</v>
      </c>
      <c r="Z69" s="60"/>
      <c r="AA69" s="60">
        <v>45896</v>
      </c>
      <c r="AB69" s="60">
        <v>45922</v>
      </c>
      <c r="AC69" s="60"/>
      <c r="AD69" s="60"/>
      <c r="AE69" s="60">
        <v>45930</v>
      </c>
      <c r="AF69" s="41"/>
      <c r="AG69" s="24"/>
      <c r="AH69" s="78"/>
      <c r="AI69" s="25"/>
    </row>
    <row r="70" spans="1:35" hidden="1" x14ac:dyDescent="0.25">
      <c r="A70" s="39" t="s">
        <v>316</v>
      </c>
      <c r="B70" s="20" t="str">
        <f t="shared" si="74"/>
        <v>N</v>
      </c>
      <c r="C70" s="20" t="str">
        <f t="shared" si="75"/>
        <v>Y</v>
      </c>
      <c r="D70" s="20" t="str">
        <f t="shared" si="76"/>
        <v>Y</v>
      </c>
      <c r="E70" s="20" t="str">
        <f t="shared" si="77"/>
        <v>Y</v>
      </c>
      <c r="F70" s="20" t="str">
        <f t="shared" si="78"/>
        <v xml:space="preserve">  </v>
      </c>
      <c r="G70" s="56" t="str">
        <f t="shared" si="79"/>
        <v xml:space="preserve">  </v>
      </c>
      <c r="H70" s="54"/>
      <c r="I70" s="41"/>
      <c r="J70" s="41"/>
      <c r="K70" s="41"/>
      <c r="L70" s="41"/>
      <c r="M70" s="41"/>
      <c r="N70" s="41"/>
      <c r="O70" s="41"/>
      <c r="P70" s="60">
        <v>45882</v>
      </c>
      <c r="Q70" s="60">
        <v>45882</v>
      </c>
      <c r="R70" s="43">
        <f t="shared" si="80"/>
        <v>0</v>
      </c>
      <c r="S70" s="38">
        <f t="shared" si="81"/>
        <v>0</v>
      </c>
      <c r="T70" s="41"/>
      <c r="U70" s="41"/>
      <c r="V70" s="60">
        <f t="shared" si="82"/>
        <v>46071</v>
      </c>
      <c r="W70" s="60">
        <v>45891</v>
      </c>
      <c r="X70" s="60">
        <v>45891</v>
      </c>
      <c r="Y70" s="60">
        <v>45896</v>
      </c>
      <c r="Z70" s="60"/>
      <c r="AA70" s="60">
        <v>45896</v>
      </c>
      <c r="AB70" s="60">
        <v>45894</v>
      </c>
      <c r="AC70" s="60"/>
      <c r="AD70" s="60"/>
      <c r="AE70" s="60">
        <v>45895</v>
      </c>
      <c r="AF70" s="41"/>
      <c r="AG70" s="24"/>
      <c r="AH70" s="78"/>
      <c r="AI70" s="25"/>
    </row>
    <row r="71" spans="1:35" hidden="1" x14ac:dyDescent="0.25">
      <c r="A71" s="39" t="s">
        <v>317</v>
      </c>
      <c r="B71" s="20" t="str">
        <f t="shared" si="74"/>
        <v>Y</v>
      </c>
      <c r="C71" s="20" t="str">
        <f t="shared" si="75"/>
        <v>Y</v>
      </c>
      <c r="D71" s="20" t="str">
        <f t="shared" si="76"/>
        <v>Y</v>
      </c>
      <c r="E71" s="20" t="str">
        <f t="shared" si="77"/>
        <v>Y</v>
      </c>
      <c r="F71" s="20">
        <f t="shared" si="78"/>
        <v>1</v>
      </c>
      <c r="G71" s="56" t="str">
        <f t="shared" si="79"/>
        <v>y</v>
      </c>
      <c r="H71" s="61">
        <v>45897</v>
      </c>
      <c r="I71" s="60">
        <v>45908</v>
      </c>
      <c r="J71" s="60">
        <v>45915</v>
      </c>
      <c r="K71" s="41"/>
      <c r="L71" s="41"/>
      <c r="M71" s="41"/>
      <c r="N71" s="41"/>
      <c r="O71" s="41"/>
      <c r="P71" s="60">
        <v>45887</v>
      </c>
      <c r="Q71" s="60">
        <v>45883</v>
      </c>
      <c r="R71" s="43">
        <f t="shared" si="80"/>
        <v>2</v>
      </c>
      <c r="S71" s="38">
        <f t="shared" si="81"/>
        <v>45915</v>
      </c>
      <c r="T71" s="41"/>
      <c r="U71" s="60">
        <v>45915</v>
      </c>
      <c r="V71" s="60">
        <f t="shared" si="82"/>
        <v>45999</v>
      </c>
      <c r="W71" s="60">
        <v>38614</v>
      </c>
      <c r="X71" s="60">
        <v>45919</v>
      </c>
      <c r="Y71" s="60">
        <v>45922</v>
      </c>
      <c r="Z71" s="60"/>
      <c r="AA71" s="60">
        <v>45922</v>
      </c>
      <c r="AB71" s="60">
        <v>45922</v>
      </c>
      <c r="AC71" s="60"/>
      <c r="AD71" s="60"/>
      <c r="AE71" s="60">
        <v>45924</v>
      </c>
      <c r="AF71" s="41"/>
      <c r="AG71" s="24"/>
      <c r="AH71" s="78"/>
      <c r="AI71" s="25"/>
    </row>
    <row r="72" spans="1:35" hidden="1" x14ac:dyDescent="0.25">
      <c r="A72" s="39" t="s">
        <v>318</v>
      </c>
      <c r="B72" s="20" t="str">
        <f t="shared" si="74"/>
        <v>Y</v>
      </c>
      <c r="C72" s="20" t="str">
        <f t="shared" si="75"/>
        <v>Y</v>
      </c>
      <c r="D72" s="20" t="str">
        <f t="shared" si="76"/>
        <v>Y</v>
      </c>
      <c r="E72" s="20" t="str">
        <f t="shared" si="77"/>
        <v>Y</v>
      </c>
      <c r="F72" s="20">
        <f t="shared" si="78"/>
        <v>1</v>
      </c>
      <c r="G72" s="56" t="str">
        <f t="shared" si="79"/>
        <v>y</v>
      </c>
      <c r="H72" s="61">
        <v>45903</v>
      </c>
      <c r="I72" s="60">
        <v>45909</v>
      </c>
      <c r="J72" s="60">
        <v>45915</v>
      </c>
      <c r="K72" s="41"/>
      <c r="L72" s="41"/>
      <c r="M72" s="41"/>
      <c r="N72" s="41"/>
      <c r="O72" s="41"/>
      <c r="P72" s="41"/>
      <c r="Q72" s="41"/>
      <c r="R72" s="43">
        <f t="shared" si="80"/>
        <v>2</v>
      </c>
      <c r="S72" s="38">
        <f t="shared" si="81"/>
        <v>45915</v>
      </c>
      <c r="T72" s="41"/>
      <c r="U72" s="60">
        <v>45915</v>
      </c>
      <c r="V72" s="60">
        <f t="shared" si="82"/>
        <v>45964</v>
      </c>
      <c r="W72" s="60">
        <v>45918</v>
      </c>
      <c r="X72" s="60">
        <v>45918</v>
      </c>
      <c r="Y72" s="60">
        <v>45922</v>
      </c>
      <c r="Z72" s="60"/>
      <c r="AA72" s="60">
        <v>45922</v>
      </c>
      <c r="AB72" s="60">
        <v>45922</v>
      </c>
      <c r="AC72" s="60"/>
      <c r="AD72" s="60"/>
      <c r="AE72" s="60">
        <v>45953</v>
      </c>
      <c r="AF72" s="41"/>
      <c r="AG72" s="24"/>
      <c r="AH72" s="78"/>
      <c r="AI72" s="25"/>
    </row>
    <row r="73" spans="1:35" x14ac:dyDescent="0.25">
      <c r="A73" s="39" t="s">
        <v>319</v>
      </c>
      <c r="B73" s="20" t="str">
        <f t="shared" si="74"/>
        <v>Y</v>
      </c>
      <c r="C73" s="20" t="str">
        <f t="shared" si="75"/>
        <v>Y</v>
      </c>
      <c r="D73" s="20" t="str">
        <f t="shared" si="76"/>
        <v>Y</v>
      </c>
      <c r="E73" s="20" t="str">
        <f t="shared" si="77"/>
        <v>Y</v>
      </c>
      <c r="F73" s="20">
        <f t="shared" si="78"/>
        <v>1</v>
      </c>
      <c r="G73" s="56" t="str">
        <f t="shared" si="79"/>
        <v>y</v>
      </c>
      <c r="H73" s="61">
        <v>45922</v>
      </c>
      <c r="I73" s="60">
        <v>45982</v>
      </c>
      <c r="J73" s="60">
        <v>45995</v>
      </c>
      <c r="K73" s="41"/>
      <c r="L73" s="41"/>
      <c r="M73" s="41"/>
      <c r="N73" s="41"/>
      <c r="O73" s="41"/>
      <c r="P73" s="60">
        <v>45917</v>
      </c>
      <c r="Q73" s="60">
        <v>45912</v>
      </c>
      <c r="R73" s="43">
        <f t="shared" si="80"/>
        <v>2</v>
      </c>
      <c r="S73" s="38">
        <f t="shared" si="81"/>
        <v>45995</v>
      </c>
      <c r="T73" s="41"/>
      <c r="U73" s="60">
        <v>45995</v>
      </c>
      <c r="V73" s="60">
        <f t="shared" si="82"/>
        <v>46163</v>
      </c>
      <c r="W73" s="60">
        <v>45999</v>
      </c>
      <c r="X73" s="60">
        <v>45999</v>
      </c>
      <c r="Y73" s="60">
        <v>46000</v>
      </c>
      <c r="Z73" s="60">
        <v>46043</v>
      </c>
      <c r="AA73" s="60">
        <v>46000</v>
      </c>
      <c r="AB73" s="60">
        <v>46002</v>
      </c>
      <c r="AC73" s="60">
        <v>46072</v>
      </c>
      <c r="AD73" s="60">
        <v>46002</v>
      </c>
      <c r="AE73" s="60">
        <v>46007</v>
      </c>
      <c r="AF73" s="41"/>
      <c r="AG73" s="24"/>
      <c r="AH73" s="78"/>
      <c r="AI73" s="25"/>
    </row>
    <row r="74" spans="1:35" hidden="1" x14ac:dyDescent="0.25">
      <c r="A74" s="39" t="s">
        <v>320</v>
      </c>
      <c r="B74" s="20" t="str">
        <f t="shared" si="74"/>
        <v>Y</v>
      </c>
      <c r="C74" s="20" t="str">
        <f t="shared" si="75"/>
        <v>Y</v>
      </c>
      <c r="D74" s="20" t="str">
        <f t="shared" si="76"/>
        <v>Y</v>
      </c>
      <c r="E74" s="20" t="str">
        <f t="shared" si="77"/>
        <v>Y</v>
      </c>
      <c r="F74" s="20">
        <f t="shared" si="78"/>
        <v>0</v>
      </c>
      <c r="G74" s="56" t="str">
        <f t="shared" si="79"/>
        <v>y</v>
      </c>
      <c r="H74" s="61">
        <v>45891</v>
      </c>
      <c r="I74" s="41"/>
      <c r="J74" s="41"/>
      <c r="K74" s="41"/>
      <c r="L74" s="41"/>
      <c r="M74" s="41"/>
      <c r="N74" s="41"/>
      <c r="O74" s="41"/>
      <c r="P74" s="60" t="s">
        <v>80</v>
      </c>
      <c r="Q74" s="60" t="s">
        <v>80</v>
      </c>
      <c r="R74" s="43">
        <f t="shared" si="80"/>
        <v>1</v>
      </c>
      <c r="S74" s="38">
        <f t="shared" si="81"/>
        <v>45891</v>
      </c>
      <c r="T74" s="41"/>
      <c r="U74" s="60">
        <v>45891</v>
      </c>
      <c r="V74" s="60">
        <f t="shared" si="82"/>
        <v>45912</v>
      </c>
      <c r="W74" s="60" t="s">
        <v>80</v>
      </c>
      <c r="X74" s="60" t="s">
        <v>80</v>
      </c>
      <c r="Y74" s="60" t="s">
        <v>80</v>
      </c>
      <c r="Z74" s="60"/>
      <c r="AA74" s="60" t="s">
        <v>80</v>
      </c>
      <c r="AB74" s="41"/>
      <c r="AC74" s="41"/>
      <c r="AD74" s="41"/>
      <c r="AE74" s="41"/>
      <c r="AF74" s="41"/>
      <c r="AG74" s="24"/>
      <c r="AH74" s="78"/>
      <c r="AI74" s="25"/>
    </row>
    <row r="75" spans="1:35" hidden="1" x14ac:dyDescent="0.25">
      <c r="A75" s="39" t="s">
        <v>324</v>
      </c>
      <c r="B75" s="20" t="str">
        <f t="shared" si="74"/>
        <v>N</v>
      </c>
      <c r="C75" s="20" t="str">
        <f t="shared" si="75"/>
        <v>Y</v>
      </c>
      <c r="D75" s="20" t="str">
        <f t="shared" si="76"/>
        <v>Y</v>
      </c>
      <c r="E75" s="20" t="str">
        <f t="shared" si="77"/>
        <v>Y</v>
      </c>
      <c r="F75" s="20" t="str">
        <f t="shared" si="78"/>
        <v xml:space="preserve">  </v>
      </c>
      <c r="G75" s="56" t="str">
        <f t="shared" si="79"/>
        <v xml:space="preserve">  </v>
      </c>
      <c r="H75" s="54"/>
      <c r="I75" s="41"/>
      <c r="J75" s="41"/>
      <c r="K75" s="41"/>
      <c r="L75" s="41"/>
      <c r="M75" s="41"/>
      <c r="N75" s="41"/>
      <c r="O75" s="41"/>
      <c r="P75" s="60" t="s">
        <v>80</v>
      </c>
      <c r="Q75" s="60" t="s">
        <v>80</v>
      </c>
      <c r="R75" s="43">
        <f t="shared" si="80"/>
        <v>0</v>
      </c>
      <c r="S75" s="38">
        <f t="shared" si="81"/>
        <v>0</v>
      </c>
      <c r="T75" s="41"/>
      <c r="U75" s="41"/>
      <c r="V75" s="60">
        <f t="shared" si="82"/>
        <v>45939</v>
      </c>
      <c r="W75" s="60">
        <v>45923</v>
      </c>
      <c r="X75" s="60">
        <v>45923</v>
      </c>
      <c r="Y75" s="60">
        <v>45923</v>
      </c>
      <c r="Z75" s="60"/>
      <c r="AA75" s="60">
        <v>45923</v>
      </c>
      <c r="AB75" s="60">
        <v>45922</v>
      </c>
      <c r="AC75" s="60"/>
      <c r="AD75" s="60"/>
      <c r="AE75" s="60">
        <v>45923</v>
      </c>
      <c r="AF75" s="41"/>
      <c r="AG75" s="24"/>
      <c r="AH75" s="78"/>
      <c r="AI75" s="25"/>
    </row>
    <row r="76" spans="1:35" x14ac:dyDescent="0.25">
      <c r="A76" s="39" t="s">
        <v>325</v>
      </c>
      <c r="B76" s="20" t="str">
        <f t="shared" si="74"/>
        <v>Y</v>
      </c>
      <c r="C76" s="20" t="str">
        <f t="shared" si="75"/>
        <v>Y</v>
      </c>
      <c r="D76" s="20" t="str">
        <f t="shared" si="76"/>
        <v>Y</v>
      </c>
      <c r="E76" s="20" t="str">
        <f t="shared" si="77"/>
        <v>Y</v>
      </c>
      <c r="F76" s="20">
        <f t="shared" si="78"/>
        <v>2</v>
      </c>
      <c r="G76" s="56" t="str">
        <f t="shared" si="79"/>
        <v>y</v>
      </c>
      <c r="H76" s="61">
        <v>45931</v>
      </c>
      <c r="I76" s="60">
        <v>45937</v>
      </c>
      <c r="J76" s="60">
        <v>45944</v>
      </c>
      <c r="K76" s="60">
        <v>45953</v>
      </c>
      <c r="L76" s="60">
        <v>45957</v>
      </c>
      <c r="M76" s="41"/>
      <c r="N76" s="41"/>
      <c r="O76" s="41"/>
      <c r="P76" s="60">
        <v>45918</v>
      </c>
      <c r="Q76" s="60">
        <v>45917</v>
      </c>
      <c r="R76" s="43">
        <f t="shared" si="80"/>
        <v>3</v>
      </c>
      <c r="S76" s="38">
        <f t="shared" si="81"/>
        <v>45957</v>
      </c>
      <c r="T76" s="41"/>
      <c r="U76" s="60">
        <v>45957</v>
      </c>
      <c r="V76" s="60">
        <f t="shared" si="82"/>
        <v>46083</v>
      </c>
      <c r="W76" s="60">
        <v>45978</v>
      </c>
      <c r="X76" s="60">
        <v>45979</v>
      </c>
      <c r="Y76" s="60">
        <v>45979</v>
      </c>
      <c r="Z76" s="60">
        <v>45992</v>
      </c>
      <c r="AA76" s="60">
        <v>45979</v>
      </c>
      <c r="AB76" s="60">
        <v>46031</v>
      </c>
      <c r="AC76" s="60">
        <v>46034</v>
      </c>
      <c r="AD76" s="60">
        <v>46031</v>
      </c>
      <c r="AE76" s="60">
        <v>46035</v>
      </c>
      <c r="AF76" s="41"/>
      <c r="AG76" s="24"/>
      <c r="AH76" s="78"/>
      <c r="AI76" s="25"/>
    </row>
    <row r="77" spans="1:35" x14ac:dyDescent="0.25">
      <c r="A77" s="39" t="s">
        <v>326</v>
      </c>
      <c r="B77" s="20" t="str">
        <f t="shared" si="74"/>
        <v>Y</v>
      </c>
      <c r="C77" s="20" t="str">
        <f t="shared" si="75"/>
        <v>Y</v>
      </c>
      <c r="D77" s="20" t="str">
        <f t="shared" si="76"/>
        <v>Y</v>
      </c>
      <c r="E77" s="20" t="str">
        <f t="shared" si="77"/>
        <v>Y</v>
      </c>
      <c r="F77" s="20">
        <f t="shared" si="78"/>
        <v>2</v>
      </c>
      <c r="G77" s="56" t="str">
        <f t="shared" si="79"/>
        <v>y</v>
      </c>
      <c r="H77" s="61">
        <v>45931</v>
      </c>
      <c r="I77" s="60">
        <v>45937</v>
      </c>
      <c r="J77" s="60">
        <v>45944</v>
      </c>
      <c r="K77" s="60">
        <v>45953</v>
      </c>
      <c r="L77" s="60">
        <v>45957</v>
      </c>
      <c r="M77" s="41"/>
      <c r="N77" s="41"/>
      <c r="O77" s="41"/>
      <c r="P77" s="60">
        <v>45918</v>
      </c>
      <c r="Q77" s="60">
        <v>45917</v>
      </c>
      <c r="R77" s="43">
        <f t="shared" si="80"/>
        <v>3</v>
      </c>
      <c r="S77" s="38">
        <f t="shared" si="81"/>
        <v>45957</v>
      </c>
      <c r="T77" s="41"/>
      <c r="U77" s="60">
        <v>45957</v>
      </c>
      <c r="V77" s="60">
        <f t="shared" si="82"/>
        <v>46083</v>
      </c>
      <c r="W77" s="60">
        <v>45978</v>
      </c>
      <c r="X77" s="60">
        <v>45979</v>
      </c>
      <c r="Y77" s="60">
        <v>45979</v>
      </c>
      <c r="Z77" s="60">
        <v>45992</v>
      </c>
      <c r="AA77" s="60">
        <v>45979</v>
      </c>
      <c r="AB77" s="60">
        <v>46031</v>
      </c>
      <c r="AC77" s="60">
        <v>46037</v>
      </c>
      <c r="AD77" s="60">
        <v>46031</v>
      </c>
      <c r="AE77" s="60">
        <v>46035</v>
      </c>
      <c r="AF77" s="41"/>
      <c r="AG77" s="24"/>
      <c r="AH77" s="78"/>
      <c r="AI77" s="25"/>
    </row>
    <row r="78" spans="1:35" hidden="1" x14ac:dyDescent="0.25">
      <c r="A78" s="39" t="s">
        <v>327</v>
      </c>
      <c r="B78" s="20" t="str">
        <f t="shared" si="74"/>
        <v>Y</v>
      </c>
      <c r="C78" s="20" t="str">
        <f t="shared" si="75"/>
        <v>Y</v>
      </c>
      <c r="D78" s="20" t="str">
        <f t="shared" si="76"/>
        <v>Y</v>
      </c>
      <c r="E78" s="20" t="str">
        <f t="shared" si="77"/>
        <v>Y</v>
      </c>
      <c r="F78" s="20">
        <f t="shared" si="78"/>
        <v>1</v>
      </c>
      <c r="G78" s="56" t="str">
        <f t="shared" si="79"/>
        <v>y</v>
      </c>
      <c r="H78" s="61">
        <v>45936</v>
      </c>
      <c r="I78" s="94"/>
      <c r="J78" s="60">
        <v>45979</v>
      </c>
      <c r="K78" s="41"/>
      <c r="L78" s="41"/>
      <c r="M78" s="41"/>
      <c r="N78" s="41"/>
      <c r="O78" s="41"/>
      <c r="P78" s="60" t="s">
        <v>80</v>
      </c>
      <c r="Q78" s="60" t="s">
        <v>80</v>
      </c>
      <c r="R78" s="43">
        <f t="shared" si="80"/>
        <v>2</v>
      </c>
      <c r="S78" s="38">
        <f t="shared" si="81"/>
        <v>45979</v>
      </c>
      <c r="T78" s="41"/>
      <c r="U78" s="60">
        <v>45979</v>
      </c>
      <c r="V78" s="60">
        <f t="shared" si="82"/>
        <v>46077</v>
      </c>
      <c r="W78" s="60">
        <v>45982</v>
      </c>
      <c r="X78" s="60">
        <v>45982</v>
      </c>
      <c r="Y78" s="60">
        <v>45982</v>
      </c>
      <c r="Z78" s="60"/>
      <c r="AA78" s="60">
        <v>45982</v>
      </c>
      <c r="AB78" s="60">
        <v>45992</v>
      </c>
      <c r="AC78" s="60"/>
      <c r="AD78" s="60"/>
      <c r="AE78" s="60">
        <v>46000</v>
      </c>
      <c r="AF78" s="41"/>
      <c r="AG78" s="24"/>
      <c r="AH78" s="78"/>
      <c r="AI78" s="25"/>
    </row>
    <row r="79" spans="1:35" hidden="1" x14ac:dyDescent="0.25">
      <c r="A79" s="39" t="s">
        <v>328</v>
      </c>
      <c r="B79" s="20" t="str">
        <f t="shared" ref="B79:B141" si="83">IF(H79&gt;0,"Y","N")</f>
        <v>Y</v>
      </c>
      <c r="C79" s="20" t="str">
        <f t="shared" ref="C79:C141" si="84">IF(I79&gt;0,IF(J79&gt;0,"Y","N"),"Y")</f>
        <v>Y</v>
      </c>
      <c r="D79" s="20" t="str">
        <f t="shared" ref="D79:D141" si="85">IF(K79&gt;0,IF(L79&gt;0,"Y","N"),"Y")</f>
        <v>Y</v>
      </c>
      <c r="E79" s="20" t="str">
        <f t="shared" ref="E79:E141" si="86">IF(M79&gt;0,IF(N79&gt;0,"Y","N"),"Y")</f>
        <v>Y</v>
      </c>
      <c r="F79" s="20">
        <f t="shared" ref="F79:F141" si="87">IF(N79&gt;0,3,IF(L79&gt;0,2,IF(J79&gt;0,1,IF(H79&gt;0,0,"  "))))</f>
        <v>2</v>
      </c>
      <c r="G79" s="56" t="str">
        <f t="shared" ref="G79:G141" si="88">IF(U79=0,"  ","y")</f>
        <v xml:space="preserve">  </v>
      </c>
      <c r="H79" s="61">
        <v>45946</v>
      </c>
      <c r="I79" s="60">
        <v>45973</v>
      </c>
      <c r="J79" s="60">
        <v>45980</v>
      </c>
      <c r="K79" s="60">
        <v>46055</v>
      </c>
      <c r="L79" s="60">
        <v>46066</v>
      </c>
      <c r="M79" s="41"/>
      <c r="N79" s="41"/>
      <c r="O79" s="41"/>
      <c r="P79" s="60" t="s">
        <v>80</v>
      </c>
      <c r="Q79" s="60" t="s">
        <v>80</v>
      </c>
      <c r="R79" s="43">
        <f t="shared" ref="R79:R141" si="89">IF(N79&gt;0,4,IF(L79&gt;0,3,IF(J79&gt;0,2,IF(H79&gt;0,1,0))))</f>
        <v>3</v>
      </c>
      <c r="S79" s="38">
        <f t="shared" ref="S79:S141" si="90">U79</f>
        <v>0</v>
      </c>
      <c r="T79" s="41"/>
      <c r="U79" s="41"/>
      <c r="V79" s="60">
        <f t="shared" si="82"/>
        <v>46069</v>
      </c>
      <c r="W79" s="60" t="s">
        <v>80</v>
      </c>
      <c r="X79" s="60" t="s">
        <v>80</v>
      </c>
      <c r="Y79" s="60" t="s">
        <v>80</v>
      </c>
      <c r="Z79" s="60"/>
      <c r="AA79" s="60" t="s">
        <v>80</v>
      </c>
      <c r="AB79" s="41"/>
      <c r="AC79" s="41"/>
      <c r="AD79" s="41"/>
      <c r="AE79" s="41"/>
      <c r="AF79" s="41"/>
      <c r="AG79" s="24"/>
      <c r="AH79" s="78"/>
      <c r="AI79" s="25"/>
    </row>
    <row r="80" spans="1:35" hidden="1" x14ac:dyDescent="0.25">
      <c r="A80" s="39" t="s">
        <v>329</v>
      </c>
      <c r="B80" s="20" t="str">
        <f t="shared" si="83"/>
        <v>Y</v>
      </c>
      <c r="C80" s="20" t="str">
        <f t="shared" si="84"/>
        <v>Y</v>
      </c>
      <c r="D80" s="20" t="str">
        <f t="shared" si="85"/>
        <v>Y</v>
      </c>
      <c r="E80" s="20" t="str">
        <f t="shared" si="86"/>
        <v>Y</v>
      </c>
      <c r="F80" s="20">
        <f t="shared" si="87"/>
        <v>1</v>
      </c>
      <c r="G80" s="56" t="str">
        <f t="shared" si="88"/>
        <v>y</v>
      </c>
      <c r="H80" s="61">
        <v>45945</v>
      </c>
      <c r="I80" s="60">
        <v>45946</v>
      </c>
      <c r="J80" s="60">
        <v>45953</v>
      </c>
      <c r="K80" s="41"/>
      <c r="L80" s="41"/>
      <c r="M80" s="41"/>
      <c r="N80" s="41"/>
      <c r="O80" s="41"/>
      <c r="P80" s="60">
        <v>45925</v>
      </c>
      <c r="Q80" s="60">
        <v>45925</v>
      </c>
      <c r="R80" s="43">
        <f t="shared" si="89"/>
        <v>2</v>
      </c>
      <c r="S80" s="38">
        <f t="shared" si="90"/>
        <v>45953</v>
      </c>
      <c r="T80" s="41"/>
      <c r="U80" s="60">
        <v>45953</v>
      </c>
      <c r="V80" s="60">
        <f t="shared" si="82"/>
        <v>46030</v>
      </c>
      <c r="W80" s="60">
        <v>45964</v>
      </c>
      <c r="X80" s="60">
        <v>228585</v>
      </c>
      <c r="Y80" s="60">
        <v>45965</v>
      </c>
      <c r="Z80" s="60"/>
      <c r="AA80" s="60">
        <v>45965</v>
      </c>
      <c r="AB80" s="60">
        <v>45992</v>
      </c>
      <c r="AC80" s="60"/>
      <c r="AD80" s="60"/>
      <c r="AE80" s="60">
        <v>45999</v>
      </c>
      <c r="AF80" s="41"/>
      <c r="AG80" s="24"/>
      <c r="AH80" s="78"/>
      <c r="AI80" s="25"/>
    </row>
    <row r="81" spans="1:35" hidden="1" x14ac:dyDescent="0.25">
      <c r="A81" s="39" t="s">
        <v>330</v>
      </c>
      <c r="B81" s="20" t="str">
        <f t="shared" si="83"/>
        <v>Y</v>
      </c>
      <c r="C81" s="20" t="str">
        <f t="shared" si="84"/>
        <v>Y</v>
      </c>
      <c r="D81" s="20" t="str">
        <f t="shared" si="85"/>
        <v>Y</v>
      </c>
      <c r="E81" s="20" t="str">
        <f t="shared" si="86"/>
        <v>Y</v>
      </c>
      <c r="F81" s="20">
        <f t="shared" si="87"/>
        <v>1</v>
      </c>
      <c r="G81" s="56" t="str">
        <f t="shared" si="88"/>
        <v>y</v>
      </c>
      <c r="H81" s="61">
        <v>45945</v>
      </c>
      <c r="I81" s="60">
        <v>45946</v>
      </c>
      <c r="J81" s="60">
        <v>45953</v>
      </c>
      <c r="K81" s="41"/>
      <c r="L81" s="41"/>
      <c r="M81" s="41"/>
      <c r="N81" s="41"/>
      <c r="O81" s="41"/>
      <c r="P81" s="60">
        <v>45925</v>
      </c>
      <c r="Q81" s="60">
        <v>45925</v>
      </c>
      <c r="R81" s="43">
        <f t="shared" si="89"/>
        <v>2</v>
      </c>
      <c r="S81" s="38">
        <f t="shared" si="90"/>
        <v>45953</v>
      </c>
      <c r="T81" s="41"/>
      <c r="U81" s="60">
        <v>45953</v>
      </c>
      <c r="V81" s="60">
        <f t="shared" si="82"/>
        <v>46030</v>
      </c>
      <c r="W81" s="60">
        <v>45964</v>
      </c>
      <c r="X81" s="60">
        <v>228585</v>
      </c>
      <c r="Y81" s="60">
        <v>45965</v>
      </c>
      <c r="Z81" s="60"/>
      <c r="AA81" s="60">
        <v>45965</v>
      </c>
      <c r="AB81" s="60">
        <v>45992</v>
      </c>
      <c r="AC81" s="60"/>
      <c r="AD81" s="60"/>
      <c r="AE81" s="60">
        <v>45999</v>
      </c>
      <c r="AF81" s="41"/>
      <c r="AG81" s="24"/>
      <c r="AH81" s="78"/>
      <c r="AI81" s="25"/>
    </row>
    <row r="82" spans="1:35" x14ac:dyDescent="0.25">
      <c r="A82" s="39" t="s">
        <v>331</v>
      </c>
      <c r="B82" s="20" t="str">
        <f t="shared" si="83"/>
        <v>Y</v>
      </c>
      <c r="C82" s="20" t="str">
        <f t="shared" si="84"/>
        <v>Y</v>
      </c>
      <c r="D82" s="20" t="str">
        <f t="shared" si="85"/>
        <v>Y</v>
      </c>
      <c r="E82" s="20" t="str">
        <f t="shared" si="86"/>
        <v>Y</v>
      </c>
      <c r="F82" s="20">
        <f t="shared" si="87"/>
        <v>1</v>
      </c>
      <c r="G82" s="56" t="str">
        <f t="shared" si="88"/>
        <v>y</v>
      </c>
      <c r="H82" s="61">
        <v>45952</v>
      </c>
      <c r="I82" s="60">
        <v>45954</v>
      </c>
      <c r="J82" s="60">
        <v>45960</v>
      </c>
      <c r="K82" s="41"/>
      <c r="L82" s="41"/>
      <c r="M82" s="41"/>
      <c r="N82" s="41"/>
      <c r="O82" s="41"/>
      <c r="P82" s="60">
        <v>45940</v>
      </c>
      <c r="Q82" s="60">
        <v>45937</v>
      </c>
      <c r="R82" s="43">
        <f t="shared" si="89"/>
        <v>2</v>
      </c>
      <c r="S82" s="38">
        <f t="shared" si="90"/>
        <v>45960</v>
      </c>
      <c r="T82" s="41"/>
      <c r="U82" s="60">
        <v>45960</v>
      </c>
      <c r="V82" s="60">
        <f t="shared" si="82"/>
        <v>46100</v>
      </c>
      <c r="W82" s="60">
        <v>45972</v>
      </c>
      <c r="X82" s="60">
        <v>45972</v>
      </c>
      <c r="Y82" s="60">
        <v>45974</v>
      </c>
      <c r="Z82" s="60"/>
      <c r="AA82" s="60">
        <v>45974</v>
      </c>
      <c r="AB82" s="60">
        <v>46037</v>
      </c>
      <c r="AC82" s="60">
        <v>46035</v>
      </c>
      <c r="AD82" s="60">
        <v>46037</v>
      </c>
      <c r="AE82" s="60">
        <v>46043</v>
      </c>
      <c r="AF82" s="41"/>
      <c r="AG82" s="24"/>
      <c r="AH82" s="78"/>
      <c r="AI82" s="25"/>
    </row>
    <row r="83" spans="1:35" x14ac:dyDescent="0.25">
      <c r="A83" s="39" t="s">
        <v>333</v>
      </c>
      <c r="B83" s="20" t="str">
        <f t="shared" si="83"/>
        <v>Y</v>
      </c>
      <c r="C83" s="20" t="str">
        <f t="shared" si="84"/>
        <v>Y</v>
      </c>
      <c r="D83" s="20" t="str">
        <f t="shared" si="85"/>
        <v>Y</v>
      </c>
      <c r="E83" s="20" t="str">
        <f t="shared" si="86"/>
        <v>Y</v>
      </c>
      <c r="F83" s="20">
        <f t="shared" si="87"/>
        <v>1</v>
      </c>
      <c r="G83" s="56" t="str">
        <f t="shared" si="88"/>
        <v>y</v>
      </c>
      <c r="H83" s="61">
        <v>45959</v>
      </c>
      <c r="I83" s="60">
        <v>45959</v>
      </c>
      <c r="J83" s="60">
        <v>45966</v>
      </c>
      <c r="K83" s="41"/>
      <c r="L83" s="41"/>
      <c r="M83" s="41"/>
      <c r="N83" s="41"/>
      <c r="O83" s="41"/>
      <c r="P83" s="60">
        <v>45943</v>
      </c>
      <c r="Q83" s="60">
        <v>45940</v>
      </c>
      <c r="R83" s="43">
        <f t="shared" si="89"/>
        <v>2</v>
      </c>
      <c r="S83" s="38">
        <f t="shared" si="90"/>
        <v>45966</v>
      </c>
      <c r="T83" s="41"/>
      <c r="U83" s="60">
        <v>45966</v>
      </c>
      <c r="V83" s="60">
        <f t="shared" si="82"/>
        <v>46078</v>
      </c>
      <c r="W83" s="60">
        <v>45974</v>
      </c>
      <c r="X83" s="60">
        <v>45974</v>
      </c>
      <c r="Y83" s="60">
        <v>45974</v>
      </c>
      <c r="Z83" s="60">
        <v>45980</v>
      </c>
      <c r="AA83" s="60">
        <v>45974</v>
      </c>
      <c r="AB83" s="60">
        <v>46038</v>
      </c>
      <c r="AC83" s="60">
        <v>46044</v>
      </c>
      <c r="AD83" s="60">
        <v>46044</v>
      </c>
      <c r="AE83" s="60">
        <v>46045</v>
      </c>
      <c r="AF83" s="41"/>
      <c r="AG83" s="24"/>
      <c r="AH83" s="78"/>
      <c r="AI83" s="25"/>
    </row>
    <row r="84" spans="1:35" x14ac:dyDescent="0.25">
      <c r="A84" s="39" t="s">
        <v>334</v>
      </c>
      <c r="B84" s="20" t="str">
        <f t="shared" si="83"/>
        <v>Y</v>
      </c>
      <c r="C84" s="20" t="str">
        <f>IF(I84&gt;0,IF(J84&gt;0,"Y","N"),"Y")</f>
        <v>Y</v>
      </c>
      <c r="D84" s="20" t="str">
        <f t="shared" si="85"/>
        <v>Y</v>
      </c>
      <c r="E84" s="20" t="str">
        <f t="shared" si="86"/>
        <v>Y</v>
      </c>
      <c r="F84" s="20">
        <f t="shared" si="87"/>
        <v>1</v>
      </c>
      <c r="G84" s="56" t="str">
        <f t="shared" si="88"/>
        <v>y</v>
      </c>
      <c r="H84" s="61">
        <v>45981</v>
      </c>
      <c r="I84" s="60">
        <v>45992</v>
      </c>
      <c r="J84" s="60">
        <v>45999</v>
      </c>
      <c r="K84" s="41"/>
      <c r="L84" s="41"/>
      <c r="M84" s="41"/>
      <c r="N84" s="41"/>
      <c r="O84" s="41"/>
      <c r="P84" s="60">
        <v>45961</v>
      </c>
      <c r="Q84" s="60">
        <v>45960</v>
      </c>
      <c r="R84" s="43">
        <f t="shared" si="89"/>
        <v>2</v>
      </c>
      <c r="S84" s="38">
        <f t="shared" si="90"/>
        <v>45999</v>
      </c>
      <c r="T84" s="41"/>
      <c r="U84" s="60">
        <v>45999</v>
      </c>
      <c r="V84" s="60">
        <f t="shared" si="82"/>
        <v>46125</v>
      </c>
      <c r="W84" s="60">
        <v>46001</v>
      </c>
      <c r="X84" s="60">
        <v>46001</v>
      </c>
      <c r="Y84" s="60">
        <v>46007</v>
      </c>
      <c r="Z84" s="60">
        <v>46063</v>
      </c>
      <c r="AA84" s="60">
        <v>46007</v>
      </c>
      <c r="AB84" s="60">
        <v>46041</v>
      </c>
      <c r="AC84" s="60">
        <v>46038</v>
      </c>
      <c r="AD84" s="60">
        <v>46041</v>
      </c>
      <c r="AE84" s="60">
        <v>46043</v>
      </c>
      <c r="AF84" s="41"/>
      <c r="AG84" s="24"/>
      <c r="AH84" s="78"/>
      <c r="AI84" s="25"/>
    </row>
    <row r="85" spans="1:35" x14ac:dyDescent="0.25">
      <c r="A85" s="39" t="s">
        <v>335</v>
      </c>
      <c r="B85" s="20" t="str">
        <f t="shared" ref="B85:B104" si="91">IF(H85&gt;0,"Y","N")</f>
        <v>Y</v>
      </c>
      <c r="C85" s="20" t="str">
        <f t="shared" ref="C85:C104" si="92">IF(I85&gt;0,IF(J85&gt;0,"Y","N"),"Y")</f>
        <v>Y</v>
      </c>
      <c r="D85" s="20" t="str">
        <f t="shared" ref="D85:D104" si="93">IF(K85&gt;0,IF(L85&gt;0,"Y","N"),"Y")</f>
        <v>Y</v>
      </c>
      <c r="E85" s="20" t="str">
        <f t="shared" ref="E85:E104" si="94">IF(M85&gt;0,IF(N85&gt;0,"Y","N"),"Y")</f>
        <v>N</v>
      </c>
      <c r="F85" s="20">
        <f t="shared" ref="F85:F104" si="95">IF(N85&gt;0,3,IF(L85&gt;0,2,IF(J85&gt;0,1,IF(H85&gt;0,0,"  "))))</f>
        <v>2</v>
      </c>
      <c r="G85" s="56" t="str">
        <f t="shared" si="88"/>
        <v xml:space="preserve">  </v>
      </c>
      <c r="H85" s="61">
        <v>46003</v>
      </c>
      <c r="I85" s="60">
        <v>46034</v>
      </c>
      <c r="J85" s="60">
        <v>46041</v>
      </c>
      <c r="K85" s="60">
        <v>46055</v>
      </c>
      <c r="L85" s="60">
        <v>46057</v>
      </c>
      <c r="M85" s="60">
        <v>46072</v>
      </c>
      <c r="N85" s="41"/>
      <c r="O85" s="41"/>
      <c r="P85" s="60">
        <v>45986</v>
      </c>
      <c r="Q85" s="60">
        <v>45985</v>
      </c>
      <c r="R85" s="43">
        <f t="shared" ref="R85:R104" si="96">IF(N85&gt;0,4,IF(L85&gt;0,3,IF(J85&gt;0,2,IF(H85&gt;0,1,0))))</f>
        <v>3</v>
      </c>
      <c r="S85" s="38">
        <f t="shared" ref="S85:S104" si="97">U85</f>
        <v>0</v>
      </c>
      <c r="T85" s="41"/>
      <c r="U85" s="41"/>
      <c r="V85" s="60">
        <f t="shared" si="82"/>
        <v>46205</v>
      </c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24"/>
      <c r="AH85" s="78"/>
      <c r="AI85" s="25"/>
    </row>
    <row r="86" spans="1:35" x14ac:dyDescent="0.25">
      <c r="A86" s="39" t="s">
        <v>336</v>
      </c>
      <c r="B86" s="20" t="str">
        <f t="shared" si="91"/>
        <v>Y</v>
      </c>
      <c r="C86" s="20" t="str">
        <f t="shared" si="92"/>
        <v>Y</v>
      </c>
      <c r="D86" s="20" t="str">
        <f t="shared" si="93"/>
        <v>Y</v>
      </c>
      <c r="E86" s="20" t="str">
        <f t="shared" si="94"/>
        <v>N</v>
      </c>
      <c r="F86" s="20">
        <f t="shared" si="95"/>
        <v>2</v>
      </c>
      <c r="G86" s="56" t="str">
        <f t="shared" si="88"/>
        <v>y</v>
      </c>
      <c r="H86" s="61">
        <v>46003</v>
      </c>
      <c r="I86" s="60">
        <v>46034</v>
      </c>
      <c r="J86" s="60">
        <v>46044</v>
      </c>
      <c r="K86" s="60">
        <v>46055</v>
      </c>
      <c r="L86" s="60">
        <v>46057</v>
      </c>
      <c r="M86" s="60">
        <v>46072</v>
      </c>
      <c r="N86" s="41"/>
      <c r="O86" s="41"/>
      <c r="P86" s="60">
        <v>45986</v>
      </c>
      <c r="Q86" s="60">
        <v>45985</v>
      </c>
      <c r="R86" s="43">
        <f t="shared" si="96"/>
        <v>3</v>
      </c>
      <c r="S86" s="38">
        <f t="shared" si="97"/>
        <v>46072</v>
      </c>
      <c r="T86" s="41"/>
      <c r="U86" s="60">
        <v>46072</v>
      </c>
      <c r="V86" s="60">
        <f t="shared" si="82"/>
        <v>46198</v>
      </c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24"/>
      <c r="AH86" s="78"/>
      <c r="AI86" s="25"/>
    </row>
    <row r="87" spans="1:35" x14ac:dyDescent="0.25">
      <c r="A87" s="39" t="s">
        <v>337</v>
      </c>
      <c r="B87" s="20" t="str">
        <f t="shared" si="91"/>
        <v>Y</v>
      </c>
      <c r="C87" s="20" t="str">
        <f t="shared" si="92"/>
        <v>Y</v>
      </c>
      <c r="D87" s="20" t="str">
        <f t="shared" si="93"/>
        <v>Y</v>
      </c>
      <c r="E87" s="20" t="str">
        <f t="shared" si="94"/>
        <v>N</v>
      </c>
      <c r="F87" s="20">
        <f t="shared" si="95"/>
        <v>2</v>
      </c>
      <c r="G87" s="56" t="str">
        <f t="shared" ref="G87:G104" si="98">IF(U87=0,"  ","y")</f>
        <v>y</v>
      </c>
      <c r="H87" s="61">
        <v>46003</v>
      </c>
      <c r="I87" s="60">
        <v>46034</v>
      </c>
      <c r="J87" s="60">
        <v>46044</v>
      </c>
      <c r="K87" s="60">
        <v>46055</v>
      </c>
      <c r="L87" s="60">
        <v>46057</v>
      </c>
      <c r="M87" s="60">
        <v>46072</v>
      </c>
      <c r="N87" s="41"/>
      <c r="O87" s="41"/>
      <c r="P87" s="60">
        <v>45986</v>
      </c>
      <c r="Q87" s="60">
        <v>45985</v>
      </c>
      <c r="R87" s="43">
        <f t="shared" si="96"/>
        <v>3</v>
      </c>
      <c r="S87" s="38">
        <f t="shared" si="97"/>
        <v>46072</v>
      </c>
      <c r="T87" s="41"/>
      <c r="U87" s="60">
        <v>46072</v>
      </c>
      <c r="V87" s="60">
        <f t="shared" si="82"/>
        <v>46198</v>
      </c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24"/>
      <c r="AH87" s="78"/>
      <c r="AI87" s="25"/>
    </row>
    <row r="88" spans="1:35" x14ac:dyDescent="0.25">
      <c r="A88" s="39" t="s">
        <v>338</v>
      </c>
      <c r="B88" s="20" t="str">
        <f t="shared" si="91"/>
        <v>Y</v>
      </c>
      <c r="C88" s="20" t="str">
        <f t="shared" si="92"/>
        <v>Y</v>
      </c>
      <c r="D88" s="20" t="str">
        <f t="shared" si="93"/>
        <v>Y</v>
      </c>
      <c r="E88" s="20" t="str">
        <f t="shared" si="94"/>
        <v>N</v>
      </c>
      <c r="F88" s="20">
        <f t="shared" si="95"/>
        <v>2</v>
      </c>
      <c r="G88" s="56" t="str">
        <f t="shared" si="98"/>
        <v>y</v>
      </c>
      <c r="H88" s="61">
        <v>46003</v>
      </c>
      <c r="I88" s="60">
        <v>46034</v>
      </c>
      <c r="J88" s="60">
        <v>46050</v>
      </c>
      <c r="K88" s="60">
        <v>46055</v>
      </c>
      <c r="L88" s="60">
        <v>46057</v>
      </c>
      <c r="M88" s="60">
        <v>46072</v>
      </c>
      <c r="N88" s="41"/>
      <c r="O88" s="41"/>
      <c r="P88" s="60">
        <v>45986</v>
      </c>
      <c r="Q88" s="60">
        <v>45985</v>
      </c>
      <c r="R88" s="43">
        <f t="shared" si="96"/>
        <v>3</v>
      </c>
      <c r="S88" s="38">
        <f t="shared" si="97"/>
        <v>46072</v>
      </c>
      <c r="T88" s="41"/>
      <c r="U88" s="60">
        <v>46072</v>
      </c>
      <c r="V88" s="60">
        <f t="shared" si="82"/>
        <v>46198</v>
      </c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24"/>
      <c r="AH88" s="78"/>
      <c r="AI88" s="25"/>
    </row>
    <row r="89" spans="1:35" x14ac:dyDescent="0.25">
      <c r="A89" s="39" t="s">
        <v>339</v>
      </c>
      <c r="B89" s="20" t="str">
        <f t="shared" si="91"/>
        <v>Y</v>
      </c>
      <c r="C89" s="20" t="str">
        <f t="shared" si="92"/>
        <v>Y</v>
      </c>
      <c r="D89" s="20" t="str">
        <f t="shared" si="93"/>
        <v>Y</v>
      </c>
      <c r="E89" s="20" t="str">
        <f t="shared" si="94"/>
        <v>N</v>
      </c>
      <c r="F89" s="20">
        <f t="shared" si="95"/>
        <v>2</v>
      </c>
      <c r="G89" s="56" t="str">
        <f t="shared" si="98"/>
        <v xml:space="preserve">  </v>
      </c>
      <c r="H89" s="61">
        <v>46003</v>
      </c>
      <c r="I89" s="60">
        <v>46034</v>
      </c>
      <c r="J89" s="60">
        <v>46050</v>
      </c>
      <c r="K89" s="60">
        <v>46055</v>
      </c>
      <c r="L89" s="60">
        <v>46058</v>
      </c>
      <c r="M89" s="60">
        <v>46072</v>
      </c>
      <c r="N89" s="41"/>
      <c r="O89" s="41"/>
      <c r="P89" s="60">
        <v>45986</v>
      </c>
      <c r="Q89" s="60">
        <v>45985</v>
      </c>
      <c r="R89" s="43">
        <f t="shared" si="96"/>
        <v>3</v>
      </c>
      <c r="S89" s="38">
        <f t="shared" si="97"/>
        <v>0</v>
      </c>
      <c r="T89" s="41"/>
      <c r="U89" s="41"/>
      <c r="V89" s="60">
        <f t="shared" si="82"/>
        <v>46205</v>
      </c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24"/>
      <c r="AH89" s="78"/>
      <c r="AI89" s="25"/>
    </row>
    <row r="90" spans="1:35" x14ac:dyDescent="0.25">
      <c r="A90" s="39" t="s">
        <v>340</v>
      </c>
      <c r="B90" s="20" t="str">
        <f t="shared" si="91"/>
        <v>Y</v>
      </c>
      <c r="C90" s="20" t="str">
        <f t="shared" si="92"/>
        <v>N</v>
      </c>
      <c r="D90" s="20" t="str">
        <f t="shared" si="93"/>
        <v>Y</v>
      </c>
      <c r="E90" s="20" t="str">
        <f t="shared" si="94"/>
        <v>Y</v>
      </c>
      <c r="F90" s="20">
        <f t="shared" si="95"/>
        <v>0</v>
      </c>
      <c r="G90" s="56" t="str">
        <f t="shared" si="98"/>
        <v xml:space="preserve">  </v>
      </c>
      <c r="H90" s="61">
        <v>45987</v>
      </c>
      <c r="I90" s="60">
        <v>46055</v>
      </c>
      <c r="J90" s="41"/>
      <c r="K90" s="41"/>
      <c r="L90" s="41"/>
      <c r="M90" s="41"/>
      <c r="N90" s="41"/>
      <c r="O90" s="41"/>
      <c r="P90" s="60">
        <v>46065</v>
      </c>
      <c r="Q90" s="60">
        <v>46033</v>
      </c>
      <c r="R90" s="43">
        <f t="shared" si="96"/>
        <v>1</v>
      </c>
      <c r="S90" s="38">
        <f t="shared" si="97"/>
        <v>0</v>
      </c>
      <c r="T90" s="41"/>
      <c r="U90" s="41"/>
      <c r="V90" s="60">
        <f t="shared" si="82"/>
        <v>46188</v>
      </c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24"/>
      <c r="AH90" s="78"/>
      <c r="AI90" s="25"/>
    </row>
    <row r="91" spans="1:35" x14ac:dyDescent="0.25">
      <c r="A91" s="39" t="s">
        <v>341</v>
      </c>
      <c r="B91" s="20" t="str">
        <f t="shared" si="91"/>
        <v>Y</v>
      </c>
      <c r="C91" s="20" t="str">
        <f t="shared" si="92"/>
        <v>Y</v>
      </c>
      <c r="D91" s="20" t="str">
        <f t="shared" si="93"/>
        <v>Y</v>
      </c>
      <c r="E91" s="20" t="str">
        <f t="shared" si="94"/>
        <v>Y</v>
      </c>
      <c r="F91" s="20">
        <f t="shared" si="95"/>
        <v>1</v>
      </c>
      <c r="G91" s="56" t="str">
        <f t="shared" si="98"/>
        <v xml:space="preserve">  </v>
      </c>
      <c r="H91" s="61">
        <v>45987</v>
      </c>
      <c r="I91" s="60">
        <v>46055</v>
      </c>
      <c r="J91" s="60">
        <v>46064</v>
      </c>
      <c r="K91" s="41"/>
      <c r="L91" s="41"/>
      <c r="M91" s="41"/>
      <c r="N91" s="41"/>
      <c r="O91" s="41"/>
      <c r="P91" s="60">
        <v>46065</v>
      </c>
      <c r="Q91" s="60">
        <v>46033</v>
      </c>
      <c r="R91" s="43">
        <f t="shared" si="96"/>
        <v>2</v>
      </c>
      <c r="S91" s="38">
        <f t="shared" si="97"/>
        <v>0</v>
      </c>
      <c r="T91" s="41"/>
      <c r="U91" s="41"/>
      <c r="V91" s="60">
        <f t="shared" si="82"/>
        <v>46188</v>
      </c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24"/>
      <c r="AH91" s="78"/>
      <c r="AI91" s="25"/>
    </row>
    <row r="92" spans="1:35" x14ac:dyDescent="0.25">
      <c r="A92" s="39" t="s">
        <v>342</v>
      </c>
      <c r="B92" s="20" t="str">
        <f t="shared" si="91"/>
        <v>Y</v>
      </c>
      <c r="C92" s="20" t="str">
        <f t="shared" si="92"/>
        <v>Y</v>
      </c>
      <c r="D92" s="20" t="str">
        <f t="shared" si="93"/>
        <v>Y</v>
      </c>
      <c r="E92" s="20" t="str">
        <f t="shared" si="94"/>
        <v>Y</v>
      </c>
      <c r="F92" s="20">
        <f t="shared" si="95"/>
        <v>3</v>
      </c>
      <c r="G92" s="56" t="str">
        <f t="shared" si="98"/>
        <v>y</v>
      </c>
      <c r="H92" s="61">
        <v>45987</v>
      </c>
      <c r="I92" s="60">
        <v>46003</v>
      </c>
      <c r="J92" s="60">
        <v>46010</v>
      </c>
      <c r="K92" s="60">
        <v>46034</v>
      </c>
      <c r="L92" s="60">
        <v>46041</v>
      </c>
      <c r="M92" s="60">
        <v>46045</v>
      </c>
      <c r="N92" s="60">
        <v>46052</v>
      </c>
      <c r="O92" s="60">
        <v>46072</v>
      </c>
      <c r="P92" s="60">
        <v>45972</v>
      </c>
      <c r="Q92" s="60">
        <v>45967</v>
      </c>
      <c r="R92" s="43">
        <f t="shared" si="96"/>
        <v>4</v>
      </c>
      <c r="S92" s="38">
        <f t="shared" si="97"/>
        <v>46072</v>
      </c>
      <c r="T92" s="41"/>
      <c r="U92" s="60">
        <v>46072</v>
      </c>
      <c r="V92" s="60">
        <f t="shared" si="82"/>
        <v>46198</v>
      </c>
      <c r="W92" s="60">
        <v>46042</v>
      </c>
      <c r="X92" s="60">
        <v>46042</v>
      </c>
      <c r="Y92" s="60">
        <v>46043</v>
      </c>
      <c r="Z92" s="60">
        <v>46069</v>
      </c>
      <c r="AA92" s="60">
        <v>46043</v>
      </c>
      <c r="AB92" s="41"/>
      <c r="AC92" s="41"/>
      <c r="AD92" s="41"/>
      <c r="AE92" s="41"/>
      <c r="AF92" s="41"/>
      <c r="AG92" s="24"/>
      <c r="AH92" s="78"/>
      <c r="AI92" s="25"/>
    </row>
    <row r="93" spans="1:35" x14ac:dyDescent="0.25">
      <c r="A93" s="39" t="s">
        <v>343</v>
      </c>
      <c r="B93" s="20" t="str">
        <f t="shared" si="91"/>
        <v>Y</v>
      </c>
      <c r="C93" s="20" t="str">
        <f>IF(I93&gt;0,IF(J93&gt;0,"Y","N"),"Y")</f>
        <v>Y</v>
      </c>
      <c r="D93" s="20" t="str">
        <f t="shared" si="93"/>
        <v>Y</v>
      </c>
      <c r="E93" s="20" t="str">
        <f t="shared" si="94"/>
        <v>Y</v>
      </c>
      <c r="F93" s="20">
        <f t="shared" si="95"/>
        <v>3</v>
      </c>
      <c r="G93" s="56" t="str">
        <f t="shared" si="98"/>
        <v xml:space="preserve">  </v>
      </c>
      <c r="H93" s="61">
        <v>45987</v>
      </c>
      <c r="I93" s="60">
        <v>46003</v>
      </c>
      <c r="J93" s="60">
        <v>46013</v>
      </c>
      <c r="K93" s="60">
        <v>46034</v>
      </c>
      <c r="L93" s="60">
        <v>46041</v>
      </c>
      <c r="M93" s="60">
        <v>46045</v>
      </c>
      <c r="N93" s="60">
        <v>46052</v>
      </c>
      <c r="O93" s="41"/>
      <c r="P93" s="60">
        <v>45968</v>
      </c>
      <c r="Q93" s="60">
        <v>45967</v>
      </c>
      <c r="R93" s="43">
        <f t="shared" si="96"/>
        <v>4</v>
      </c>
      <c r="S93" s="38">
        <f t="shared" si="97"/>
        <v>0</v>
      </c>
      <c r="T93" s="41"/>
      <c r="U93" s="60"/>
      <c r="V93" s="60">
        <f t="shared" si="82"/>
        <v>46178</v>
      </c>
      <c r="W93" s="60">
        <v>46043</v>
      </c>
      <c r="X93" s="60">
        <v>46043</v>
      </c>
      <c r="Y93" s="60">
        <v>46055</v>
      </c>
      <c r="Z93" s="60">
        <v>46069</v>
      </c>
      <c r="AA93" s="60">
        <v>46055</v>
      </c>
      <c r="AB93" s="41"/>
      <c r="AC93" s="41"/>
      <c r="AD93" s="41"/>
      <c r="AE93" s="41"/>
      <c r="AF93" s="41"/>
      <c r="AG93" s="24"/>
      <c r="AH93" s="78"/>
      <c r="AI93" s="25"/>
    </row>
    <row r="94" spans="1:35" x14ac:dyDescent="0.25">
      <c r="A94" s="39" t="s">
        <v>344</v>
      </c>
      <c r="B94" s="20" t="str">
        <f t="shared" si="91"/>
        <v>Y</v>
      </c>
      <c r="C94" s="20" t="str">
        <f t="shared" si="92"/>
        <v>Y</v>
      </c>
      <c r="D94" s="20" t="str">
        <f t="shared" si="93"/>
        <v>Y</v>
      </c>
      <c r="E94" s="20" t="str">
        <f t="shared" si="94"/>
        <v>Y</v>
      </c>
      <c r="F94" s="20">
        <f t="shared" si="95"/>
        <v>3</v>
      </c>
      <c r="G94" s="56" t="str">
        <f t="shared" si="98"/>
        <v xml:space="preserve">  </v>
      </c>
      <c r="H94" s="61">
        <v>45987</v>
      </c>
      <c r="I94" s="60">
        <v>46003</v>
      </c>
      <c r="J94" s="60">
        <v>46010</v>
      </c>
      <c r="K94" s="60">
        <v>46034</v>
      </c>
      <c r="L94" s="60">
        <v>46043</v>
      </c>
      <c r="M94" s="60">
        <v>46045</v>
      </c>
      <c r="N94" s="60">
        <v>46052</v>
      </c>
      <c r="O94" s="41"/>
      <c r="P94" s="60">
        <v>45992</v>
      </c>
      <c r="Q94" s="60">
        <v>45971</v>
      </c>
      <c r="R94" s="43">
        <f t="shared" si="96"/>
        <v>4</v>
      </c>
      <c r="S94" s="38">
        <f t="shared" si="97"/>
        <v>0</v>
      </c>
      <c r="T94" s="41"/>
      <c r="U94" s="60"/>
      <c r="V94" s="60">
        <f t="shared" si="82"/>
        <v>46178</v>
      </c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24"/>
      <c r="AH94" s="78"/>
      <c r="AI94" s="25"/>
    </row>
    <row r="95" spans="1:35" x14ac:dyDescent="0.25">
      <c r="A95" s="39" t="s">
        <v>345</v>
      </c>
      <c r="B95" s="20" t="str">
        <f t="shared" si="91"/>
        <v>Y</v>
      </c>
      <c r="C95" s="20" t="str">
        <f t="shared" si="92"/>
        <v>Y</v>
      </c>
      <c r="D95" s="20" t="str">
        <f t="shared" si="93"/>
        <v>Y</v>
      </c>
      <c r="E95" s="20" t="str">
        <f t="shared" si="94"/>
        <v>Y</v>
      </c>
      <c r="F95" s="20">
        <f t="shared" si="95"/>
        <v>3</v>
      </c>
      <c r="G95" s="56" t="str">
        <f t="shared" si="98"/>
        <v xml:space="preserve">  </v>
      </c>
      <c r="H95" s="61">
        <v>45987</v>
      </c>
      <c r="I95" s="60">
        <v>46003</v>
      </c>
      <c r="J95" s="60">
        <v>46010</v>
      </c>
      <c r="K95" s="60">
        <v>46034</v>
      </c>
      <c r="L95" s="60">
        <v>46043</v>
      </c>
      <c r="M95" s="60">
        <v>46045</v>
      </c>
      <c r="N95" s="60">
        <v>46052</v>
      </c>
      <c r="O95" s="41"/>
      <c r="P95" s="60">
        <v>45992</v>
      </c>
      <c r="Q95" s="60">
        <v>45971</v>
      </c>
      <c r="R95" s="43">
        <f t="shared" si="96"/>
        <v>4</v>
      </c>
      <c r="S95" s="38">
        <f t="shared" si="97"/>
        <v>0</v>
      </c>
      <c r="T95" s="41"/>
      <c r="U95" s="60"/>
      <c r="V95" s="60">
        <f t="shared" si="82"/>
        <v>46178</v>
      </c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24"/>
      <c r="AH95" s="78"/>
      <c r="AI95" s="25"/>
    </row>
    <row r="96" spans="1:35" x14ac:dyDescent="0.25">
      <c r="A96" s="39" t="s">
        <v>346</v>
      </c>
      <c r="B96" s="20" t="str">
        <f t="shared" si="91"/>
        <v>Y</v>
      </c>
      <c r="C96" s="20" t="str">
        <f t="shared" si="92"/>
        <v>Y</v>
      </c>
      <c r="D96" s="20" t="str">
        <f t="shared" si="93"/>
        <v>Y</v>
      </c>
      <c r="E96" s="20" t="str">
        <f t="shared" si="94"/>
        <v>Y</v>
      </c>
      <c r="F96" s="20">
        <f t="shared" si="95"/>
        <v>2</v>
      </c>
      <c r="G96" s="56" t="str">
        <f t="shared" si="98"/>
        <v xml:space="preserve">  </v>
      </c>
      <c r="H96" s="61">
        <v>46003</v>
      </c>
      <c r="I96" s="60">
        <v>46034</v>
      </c>
      <c r="J96" s="60">
        <v>46041</v>
      </c>
      <c r="K96" s="60">
        <v>46055</v>
      </c>
      <c r="L96" s="60">
        <v>46058</v>
      </c>
      <c r="M96" s="41"/>
      <c r="N96" s="41"/>
      <c r="O96" s="41"/>
      <c r="P96" s="60">
        <v>45992</v>
      </c>
      <c r="Q96" s="60">
        <v>45971</v>
      </c>
      <c r="R96" s="43">
        <f t="shared" si="96"/>
        <v>3</v>
      </c>
      <c r="S96" s="38">
        <f t="shared" si="97"/>
        <v>0</v>
      </c>
      <c r="T96" s="41"/>
      <c r="U96" s="41"/>
      <c r="V96" s="60">
        <f t="shared" si="82"/>
        <v>46188</v>
      </c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24"/>
      <c r="AH96" s="78"/>
      <c r="AI96" s="25"/>
    </row>
    <row r="97" spans="1:35" x14ac:dyDescent="0.25">
      <c r="A97" s="39" t="s">
        <v>348</v>
      </c>
      <c r="B97" s="20" t="str">
        <f t="shared" si="91"/>
        <v>Y</v>
      </c>
      <c r="C97" s="20" t="str">
        <f t="shared" si="92"/>
        <v>Y</v>
      </c>
      <c r="D97" s="20" t="str">
        <f t="shared" si="93"/>
        <v>Y</v>
      </c>
      <c r="E97" s="20" t="str">
        <f t="shared" si="94"/>
        <v>N</v>
      </c>
      <c r="F97" s="20">
        <f t="shared" si="95"/>
        <v>2</v>
      </c>
      <c r="G97" s="56" t="str">
        <f t="shared" si="98"/>
        <v>y</v>
      </c>
      <c r="H97" s="61">
        <v>45987</v>
      </c>
      <c r="I97" s="60">
        <v>46034</v>
      </c>
      <c r="J97" s="60">
        <v>46043</v>
      </c>
      <c r="K97" s="60">
        <v>46045</v>
      </c>
      <c r="L97" s="60">
        <v>46052</v>
      </c>
      <c r="M97" s="60">
        <v>46072</v>
      </c>
      <c r="N97" s="41"/>
      <c r="O97" s="41"/>
      <c r="P97" s="60">
        <v>45972</v>
      </c>
      <c r="Q97" s="60">
        <v>45971</v>
      </c>
      <c r="R97" s="43">
        <f t="shared" si="96"/>
        <v>3</v>
      </c>
      <c r="S97" s="38">
        <f t="shared" si="97"/>
        <v>46072</v>
      </c>
      <c r="T97" s="41"/>
      <c r="U97" s="60">
        <v>46072</v>
      </c>
      <c r="V97" s="60">
        <f t="shared" si="82"/>
        <v>46198</v>
      </c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24"/>
      <c r="AH97" s="78"/>
      <c r="AI97" s="25"/>
    </row>
    <row r="98" spans="1:35" x14ac:dyDescent="0.25">
      <c r="A98" s="39" t="s">
        <v>349</v>
      </c>
      <c r="B98" s="20" t="str">
        <f t="shared" si="91"/>
        <v>Y</v>
      </c>
      <c r="C98" s="20" t="str">
        <f t="shared" si="92"/>
        <v>Y</v>
      </c>
      <c r="D98" s="20" t="str">
        <f t="shared" si="93"/>
        <v>N</v>
      </c>
      <c r="E98" s="20" t="str">
        <f t="shared" si="94"/>
        <v>Y</v>
      </c>
      <c r="F98" s="20">
        <f t="shared" si="95"/>
        <v>1</v>
      </c>
      <c r="G98" s="56" t="str">
        <f t="shared" si="98"/>
        <v xml:space="preserve">  </v>
      </c>
      <c r="H98" s="61">
        <v>46010</v>
      </c>
      <c r="I98" s="60">
        <v>46024</v>
      </c>
      <c r="J98" s="60">
        <v>46031</v>
      </c>
      <c r="K98" s="60">
        <v>46065</v>
      </c>
      <c r="L98" s="41"/>
      <c r="M98" s="41"/>
      <c r="N98" s="41"/>
      <c r="O98" s="41"/>
      <c r="P98" s="60">
        <v>45971</v>
      </c>
      <c r="Q98" s="60">
        <v>45971</v>
      </c>
      <c r="R98" s="43">
        <f t="shared" si="96"/>
        <v>2</v>
      </c>
      <c r="S98" s="38">
        <f t="shared" si="97"/>
        <v>0</v>
      </c>
      <c r="T98" s="41"/>
      <c r="U98" s="60"/>
      <c r="V98" s="60">
        <f t="shared" si="82"/>
        <v>46198</v>
      </c>
      <c r="W98" s="60">
        <v>46036</v>
      </c>
      <c r="X98" s="60">
        <v>46036</v>
      </c>
      <c r="Y98" s="60">
        <v>46038</v>
      </c>
      <c r="Z98" s="60">
        <v>46079</v>
      </c>
      <c r="AA98" s="60">
        <v>46038</v>
      </c>
      <c r="AB98" s="41"/>
      <c r="AC98" s="41"/>
      <c r="AD98" s="41"/>
      <c r="AE98" s="41"/>
      <c r="AF98" s="41"/>
      <c r="AG98" s="24"/>
      <c r="AH98" s="78"/>
      <c r="AI98" s="25"/>
    </row>
    <row r="99" spans="1:35" x14ac:dyDescent="0.25">
      <c r="A99" s="39" t="s">
        <v>350</v>
      </c>
      <c r="B99" s="20" t="str">
        <f t="shared" si="91"/>
        <v>Y</v>
      </c>
      <c r="C99" s="20" t="str">
        <f t="shared" si="92"/>
        <v>Y</v>
      </c>
      <c r="D99" s="20" t="str">
        <f t="shared" si="93"/>
        <v>Y</v>
      </c>
      <c r="E99" s="20" t="str">
        <f t="shared" si="94"/>
        <v>Y</v>
      </c>
      <c r="F99" s="20">
        <f t="shared" si="95"/>
        <v>2</v>
      </c>
      <c r="G99" s="56" t="str">
        <f t="shared" si="98"/>
        <v>y</v>
      </c>
      <c r="H99" s="61">
        <v>46036</v>
      </c>
      <c r="I99" s="60">
        <v>46043</v>
      </c>
      <c r="J99" s="60">
        <v>46050</v>
      </c>
      <c r="K99" s="60">
        <v>46055</v>
      </c>
      <c r="L99" s="60">
        <v>46063</v>
      </c>
      <c r="M99" s="41"/>
      <c r="N99" s="41"/>
      <c r="O99" s="41"/>
      <c r="P99" s="60">
        <v>46037</v>
      </c>
      <c r="Q99" s="60">
        <v>46037</v>
      </c>
      <c r="R99" s="43">
        <f t="shared" si="96"/>
        <v>3</v>
      </c>
      <c r="S99" s="38">
        <f t="shared" si="97"/>
        <v>46063</v>
      </c>
      <c r="T99" s="41"/>
      <c r="U99" s="60">
        <v>46063</v>
      </c>
      <c r="V99" s="60">
        <f t="shared" si="82"/>
        <v>46203</v>
      </c>
      <c r="W99" s="60">
        <v>46065</v>
      </c>
      <c r="X99" s="60">
        <v>46065</v>
      </c>
      <c r="Y99" s="60">
        <v>46069</v>
      </c>
      <c r="Z99" s="60">
        <v>46092</v>
      </c>
      <c r="AA99" s="60">
        <v>46069</v>
      </c>
      <c r="AB99" s="60">
        <v>46065</v>
      </c>
      <c r="AC99" s="60">
        <v>46071</v>
      </c>
      <c r="AD99" s="60">
        <v>46071</v>
      </c>
      <c r="AE99" s="60">
        <v>46072</v>
      </c>
      <c r="AF99" s="41"/>
      <c r="AG99" s="24"/>
      <c r="AH99" s="78"/>
      <c r="AI99" s="25"/>
    </row>
    <row r="100" spans="1:35" x14ac:dyDescent="0.25">
      <c r="A100" s="39" t="s">
        <v>352</v>
      </c>
      <c r="B100" s="20" t="str">
        <f t="shared" si="91"/>
        <v>Y</v>
      </c>
      <c r="C100" s="20" t="str">
        <f t="shared" si="92"/>
        <v>Y</v>
      </c>
      <c r="D100" s="20" t="str">
        <f t="shared" si="93"/>
        <v>Y</v>
      </c>
      <c r="E100" s="20" t="str">
        <f t="shared" si="94"/>
        <v>Y</v>
      </c>
      <c r="F100" s="20">
        <f t="shared" si="95"/>
        <v>2</v>
      </c>
      <c r="G100" s="56" t="str">
        <f t="shared" si="98"/>
        <v>y</v>
      </c>
      <c r="H100" s="61">
        <v>46036</v>
      </c>
      <c r="I100" s="60">
        <v>46043</v>
      </c>
      <c r="J100" s="60">
        <v>46055</v>
      </c>
      <c r="K100" s="60">
        <v>46062</v>
      </c>
      <c r="L100" s="60">
        <v>46069</v>
      </c>
      <c r="M100" s="41"/>
      <c r="N100" s="41"/>
      <c r="O100" s="41"/>
      <c r="P100" s="60">
        <v>46037</v>
      </c>
      <c r="Q100" s="60">
        <v>46037</v>
      </c>
      <c r="R100" s="43">
        <f t="shared" si="96"/>
        <v>3</v>
      </c>
      <c r="S100" s="38">
        <f t="shared" si="97"/>
        <v>46069</v>
      </c>
      <c r="T100" s="41"/>
      <c r="U100" s="60">
        <v>46069</v>
      </c>
      <c r="V100" s="60">
        <f t="shared" ref="V100:V131" si="99">_xlfn.IFNA(IF(U100="",VLOOKUP(A100,Jobs,23,0),U100+(VLOOKUP(A100,Jobs,7,FALSE)*7)+(VLOOKUP(A100,Jobs,22,FALSE)*7)),"")</f>
        <v>46209</v>
      </c>
      <c r="W100" s="60"/>
      <c r="X100" s="60"/>
      <c r="Y100" s="60"/>
      <c r="Z100" s="60">
        <v>46092</v>
      </c>
      <c r="AA100" s="60">
        <v>46073</v>
      </c>
      <c r="AB100" s="60">
        <v>46070</v>
      </c>
      <c r="AC100" s="60"/>
      <c r="AD100" s="60"/>
      <c r="AE100" s="60"/>
      <c r="AF100" s="41"/>
      <c r="AG100" s="24"/>
      <c r="AH100" s="78"/>
      <c r="AI100" s="25"/>
    </row>
    <row r="101" spans="1:35" x14ac:dyDescent="0.25">
      <c r="A101" s="39" t="s">
        <v>353</v>
      </c>
      <c r="B101" s="20" t="str">
        <f t="shared" si="91"/>
        <v>Y</v>
      </c>
      <c r="C101" s="20" t="str">
        <f t="shared" si="92"/>
        <v>Y</v>
      </c>
      <c r="D101" s="20" t="str">
        <f t="shared" si="93"/>
        <v>Y</v>
      </c>
      <c r="E101" s="20" t="str">
        <f t="shared" si="94"/>
        <v>Y</v>
      </c>
      <c r="F101" s="20">
        <f t="shared" si="95"/>
        <v>1</v>
      </c>
      <c r="G101" s="56" t="str">
        <f t="shared" si="98"/>
        <v>y</v>
      </c>
      <c r="H101" s="61">
        <v>45985</v>
      </c>
      <c r="I101" s="60">
        <v>45994</v>
      </c>
      <c r="J101" s="60">
        <v>45994</v>
      </c>
      <c r="K101" s="41"/>
      <c r="L101" s="41"/>
      <c r="M101" s="41"/>
      <c r="N101" s="41"/>
      <c r="O101" s="41"/>
      <c r="P101" s="60" t="s">
        <v>80</v>
      </c>
      <c r="Q101" s="60" t="s">
        <v>80</v>
      </c>
      <c r="R101" s="43">
        <f t="shared" si="96"/>
        <v>2</v>
      </c>
      <c r="S101" s="38">
        <f t="shared" si="97"/>
        <v>45994</v>
      </c>
      <c r="T101" s="41"/>
      <c r="U101" s="60">
        <v>45994</v>
      </c>
      <c r="V101" s="60">
        <f t="shared" si="99"/>
        <v>45994</v>
      </c>
      <c r="W101" s="60"/>
      <c r="X101" s="60"/>
      <c r="Y101" s="60"/>
      <c r="Z101" s="60"/>
      <c r="AA101" s="60"/>
      <c r="AB101" s="60"/>
      <c r="AC101" s="60"/>
      <c r="AD101" s="60"/>
      <c r="AE101" s="60"/>
      <c r="AF101" s="41"/>
      <c r="AG101" s="24"/>
      <c r="AH101" s="78"/>
      <c r="AI101" s="25"/>
    </row>
    <row r="102" spans="1:35" x14ac:dyDescent="0.25">
      <c r="A102" s="39" t="s">
        <v>356</v>
      </c>
      <c r="B102" s="20" t="str">
        <f t="shared" si="91"/>
        <v>N</v>
      </c>
      <c r="C102" s="20" t="str">
        <f t="shared" si="92"/>
        <v>Y</v>
      </c>
      <c r="D102" s="20" t="str">
        <f t="shared" si="93"/>
        <v>Y</v>
      </c>
      <c r="E102" s="20" t="str">
        <f t="shared" si="94"/>
        <v>Y</v>
      </c>
      <c r="F102" s="20" t="str">
        <f t="shared" si="95"/>
        <v xml:space="preserve">  </v>
      </c>
      <c r="G102" s="56" t="str">
        <f t="shared" si="98"/>
        <v xml:space="preserve">  </v>
      </c>
      <c r="H102" s="54"/>
      <c r="I102" s="41"/>
      <c r="J102" s="41"/>
      <c r="K102" s="41"/>
      <c r="L102" s="41"/>
      <c r="M102" s="41"/>
      <c r="N102" s="41"/>
      <c r="O102" s="41"/>
      <c r="P102" s="60">
        <v>46051</v>
      </c>
      <c r="Q102" s="60">
        <v>45992</v>
      </c>
      <c r="R102" s="43">
        <f t="shared" si="96"/>
        <v>0</v>
      </c>
      <c r="S102" s="38">
        <f t="shared" si="97"/>
        <v>0</v>
      </c>
      <c r="T102" s="41"/>
      <c r="U102" s="41"/>
      <c r="V102" s="60">
        <f t="shared" si="99"/>
        <v>46185</v>
      </c>
      <c r="W102" s="60"/>
      <c r="X102" s="60"/>
      <c r="Y102" s="60"/>
      <c r="Z102" s="60"/>
      <c r="AA102" s="60"/>
      <c r="AB102" s="60"/>
      <c r="AC102" s="60"/>
      <c r="AD102" s="60"/>
      <c r="AE102" s="60"/>
      <c r="AF102" s="41"/>
      <c r="AG102" s="24"/>
      <c r="AH102" s="78"/>
      <c r="AI102" s="25"/>
    </row>
    <row r="103" spans="1:35" x14ac:dyDescent="0.25">
      <c r="A103" s="39" t="s">
        <v>357</v>
      </c>
      <c r="B103" s="20" t="str">
        <f t="shared" si="91"/>
        <v>Y</v>
      </c>
      <c r="C103" s="20" t="str">
        <f t="shared" si="92"/>
        <v>N</v>
      </c>
      <c r="D103" s="20" t="str">
        <f t="shared" si="93"/>
        <v>Y</v>
      </c>
      <c r="E103" s="20" t="str">
        <f t="shared" si="94"/>
        <v>Y</v>
      </c>
      <c r="F103" s="20">
        <f t="shared" si="95"/>
        <v>0</v>
      </c>
      <c r="G103" s="56" t="str">
        <f t="shared" si="98"/>
        <v xml:space="preserve">  </v>
      </c>
      <c r="H103" s="61">
        <v>46030</v>
      </c>
      <c r="I103" s="60">
        <v>46070</v>
      </c>
      <c r="J103" s="41"/>
      <c r="K103" s="41"/>
      <c r="L103" s="41"/>
      <c r="M103" s="41"/>
      <c r="N103" s="41"/>
      <c r="O103" s="41"/>
      <c r="P103" s="60">
        <v>46008</v>
      </c>
      <c r="Q103" s="60">
        <v>46007</v>
      </c>
      <c r="R103" s="43">
        <f t="shared" si="96"/>
        <v>1</v>
      </c>
      <c r="S103" s="38">
        <f t="shared" si="97"/>
        <v>0</v>
      </c>
      <c r="T103" s="41"/>
      <c r="U103" s="41"/>
      <c r="V103" s="60">
        <f t="shared" si="99"/>
        <v>46203</v>
      </c>
      <c r="W103" s="60"/>
      <c r="X103" s="60"/>
      <c r="Y103" s="60"/>
      <c r="Z103" s="60"/>
      <c r="AA103" s="60"/>
      <c r="AB103" s="60"/>
      <c r="AC103" s="60"/>
      <c r="AD103" s="60"/>
      <c r="AE103" s="60"/>
      <c r="AF103" s="41"/>
      <c r="AG103" s="24"/>
      <c r="AH103" s="78"/>
      <c r="AI103" s="25"/>
    </row>
    <row r="104" spans="1:35" x14ac:dyDescent="0.25">
      <c r="A104" s="39" t="s">
        <v>358</v>
      </c>
      <c r="B104" s="20" t="str">
        <f t="shared" si="91"/>
        <v>Y</v>
      </c>
      <c r="C104" s="20" t="str">
        <f t="shared" si="92"/>
        <v>N</v>
      </c>
      <c r="D104" s="20" t="str">
        <f t="shared" si="93"/>
        <v>Y</v>
      </c>
      <c r="E104" s="20" t="str">
        <f t="shared" si="94"/>
        <v>Y</v>
      </c>
      <c r="F104" s="20">
        <f t="shared" si="95"/>
        <v>0</v>
      </c>
      <c r="G104" s="56" t="str">
        <f t="shared" si="98"/>
        <v xml:space="preserve">  </v>
      </c>
      <c r="H104" s="61">
        <v>46030</v>
      </c>
      <c r="I104" s="60">
        <v>46070</v>
      </c>
      <c r="J104" s="41"/>
      <c r="K104" s="41"/>
      <c r="L104" s="41"/>
      <c r="M104" s="41"/>
      <c r="N104" s="41"/>
      <c r="O104" s="41"/>
      <c r="P104" s="60">
        <v>46008</v>
      </c>
      <c r="Q104" s="60">
        <v>46007</v>
      </c>
      <c r="R104" s="43">
        <f t="shared" si="96"/>
        <v>1</v>
      </c>
      <c r="S104" s="38">
        <f t="shared" si="97"/>
        <v>0</v>
      </c>
      <c r="T104" s="41"/>
      <c r="U104" s="41"/>
      <c r="V104" s="60">
        <f t="shared" si="99"/>
        <v>46203</v>
      </c>
      <c r="W104" s="60"/>
      <c r="X104" s="60"/>
      <c r="Y104" s="60"/>
      <c r="Z104" s="60"/>
      <c r="AA104" s="60"/>
      <c r="AB104" s="60"/>
      <c r="AC104" s="60"/>
      <c r="AD104" s="60"/>
      <c r="AE104" s="60"/>
      <c r="AF104" s="41"/>
      <c r="AG104" s="24"/>
      <c r="AH104" s="78"/>
      <c r="AI104" s="25"/>
    </row>
    <row r="105" spans="1:35" x14ac:dyDescent="0.25">
      <c r="A105" s="39" t="s">
        <v>359</v>
      </c>
      <c r="B105" s="20" t="str">
        <f t="shared" si="83"/>
        <v>Y</v>
      </c>
      <c r="C105" s="20" t="str">
        <f t="shared" si="84"/>
        <v>Y</v>
      </c>
      <c r="D105" s="20" t="str">
        <f t="shared" si="85"/>
        <v>Y</v>
      </c>
      <c r="E105" s="20" t="str">
        <f t="shared" si="86"/>
        <v>Y</v>
      </c>
      <c r="F105" s="20">
        <f t="shared" si="87"/>
        <v>0</v>
      </c>
      <c r="G105" s="56" t="str">
        <f t="shared" si="88"/>
        <v xml:space="preserve">  </v>
      </c>
      <c r="H105" s="61">
        <v>46030</v>
      </c>
      <c r="I105" s="41"/>
      <c r="J105" s="41"/>
      <c r="K105" s="41"/>
      <c r="L105" s="41"/>
      <c r="M105" s="41"/>
      <c r="N105" s="41"/>
      <c r="O105" s="41"/>
      <c r="P105" s="60">
        <v>46008</v>
      </c>
      <c r="Q105" s="60">
        <v>46007</v>
      </c>
      <c r="R105" s="43">
        <f t="shared" si="89"/>
        <v>1</v>
      </c>
      <c r="S105" s="38">
        <f t="shared" si="90"/>
        <v>0</v>
      </c>
      <c r="T105" s="41"/>
      <c r="U105" s="41"/>
      <c r="V105" s="60">
        <f t="shared" si="99"/>
        <v>46177</v>
      </c>
      <c r="W105" s="60"/>
      <c r="X105" s="60"/>
      <c r="Y105" s="60"/>
      <c r="Z105" s="60"/>
      <c r="AA105" s="60"/>
      <c r="AB105" s="60"/>
      <c r="AC105" s="60"/>
      <c r="AD105" s="60"/>
      <c r="AE105" s="60"/>
      <c r="AF105" s="41"/>
      <c r="AG105" s="24"/>
      <c r="AH105" s="78"/>
      <c r="AI105" s="25"/>
    </row>
    <row r="106" spans="1:35" x14ac:dyDescent="0.25">
      <c r="A106" s="39" t="s">
        <v>360</v>
      </c>
      <c r="B106" s="20" t="str">
        <f t="shared" si="83"/>
        <v>N</v>
      </c>
      <c r="C106" s="20" t="str">
        <f t="shared" si="84"/>
        <v>Y</v>
      </c>
      <c r="D106" s="20" t="str">
        <f t="shared" si="85"/>
        <v>Y</v>
      </c>
      <c r="E106" s="20" t="str">
        <f t="shared" si="86"/>
        <v>Y</v>
      </c>
      <c r="F106" s="20" t="str">
        <f t="shared" si="87"/>
        <v xml:space="preserve">  </v>
      </c>
      <c r="G106" s="56" t="str">
        <f t="shared" si="88"/>
        <v xml:space="preserve">  </v>
      </c>
      <c r="H106" s="54"/>
      <c r="I106" s="41"/>
      <c r="J106" s="41"/>
      <c r="K106" s="41"/>
      <c r="L106" s="41"/>
      <c r="M106" s="41"/>
      <c r="N106" s="41"/>
      <c r="O106" s="41"/>
      <c r="P106" s="60">
        <v>46006</v>
      </c>
      <c r="Q106" s="60">
        <v>46002</v>
      </c>
      <c r="R106" s="43">
        <f t="shared" si="89"/>
        <v>0</v>
      </c>
      <c r="S106" s="38">
        <f t="shared" si="90"/>
        <v>0</v>
      </c>
      <c r="T106" s="41"/>
      <c r="U106" s="41"/>
      <c r="V106" s="60">
        <f t="shared" si="99"/>
        <v>46251</v>
      </c>
      <c r="W106" s="60">
        <v>46028</v>
      </c>
      <c r="X106" s="60">
        <v>46028</v>
      </c>
      <c r="Y106" s="60">
        <v>46029</v>
      </c>
      <c r="Z106" s="60"/>
      <c r="AA106" s="60">
        <v>46029</v>
      </c>
      <c r="AB106" s="60">
        <v>46031</v>
      </c>
      <c r="AC106" s="60">
        <v>46032</v>
      </c>
      <c r="AD106" s="60"/>
      <c r="AE106" s="60">
        <v>46056</v>
      </c>
      <c r="AF106" s="41"/>
      <c r="AG106" s="24"/>
      <c r="AH106" s="78"/>
      <c r="AI106" s="25"/>
    </row>
    <row r="107" spans="1:35" x14ac:dyDescent="0.25">
      <c r="A107" s="39" t="s">
        <v>361</v>
      </c>
      <c r="B107" s="20" t="str">
        <f t="shared" si="83"/>
        <v>Y</v>
      </c>
      <c r="C107" s="20" t="str">
        <f t="shared" si="84"/>
        <v>Y</v>
      </c>
      <c r="D107" s="20" t="str">
        <f t="shared" si="85"/>
        <v>Y</v>
      </c>
      <c r="E107" s="20" t="str">
        <f t="shared" si="86"/>
        <v>Y</v>
      </c>
      <c r="F107" s="20">
        <f t="shared" si="87"/>
        <v>1</v>
      </c>
      <c r="G107" s="56" t="str">
        <f t="shared" si="88"/>
        <v xml:space="preserve">  </v>
      </c>
      <c r="H107" s="61">
        <v>46050</v>
      </c>
      <c r="I107" s="60">
        <v>46055</v>
      </c>
      <c r="J107" s="60">
        <v>46069</v>
      </c>
      <c r="K107" s="41"/>
      <c r="L107" s="41"/>
      <c r="M107" s="41"/>
      <c r="N107" s="41"/>
      <c r="O107" s="41"/>
      <c r="P107" s="41"/>
      <c r="Q107" s="60">
        <v>46041</v>
      </c>
      <c r="R107" s="43">
        <f t="shared" si="89"/>
        <v>2</v>
      </c>
      <c r="S107" s="38">
        <f t="shared" si="90"/>
        <v>0</v>
      </c>
      <c r="T107" s="41"/>
      <c r="U107" s="41"/>
      <c r="V107" s="60">
        <f t="shared" si="99"/>
        <v>46188</v>
      </c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24"/>
      <c r="AH107" s="78"/>
      <c r="AI107" s="25"/>
    </row>
    <row r="108" spans="1:35" x14ac:dyDescent="0.25">
      <c r="A108" s="39" t="s">
        <v>362</v>
      </c>
      <c r="B108" s="20" t="str">
        <f t="shared" ref="B108:B136" si="100">IF(H108&gt;0,"Y","N")</f>
        <v>Y</v>
      </c>
      <c r="C108" s="20" t="str">
        <f t="shared" ref="C108:C136" si="101">IF(I108&gt;0,IF(J108&gt;0,"Y","N"),"Y")</f>
        <v>N</v>
      </c>
      <c r="D108" s="20" t="str">
        <f t="shared" ref="D108:D136" si="102">IF(K108&gt;0,IF(L108&gt;0,"Y","N"),"Y")</f>
        <v>Y</v>
      </c>
      <c r="E108" s="20" t="str">
        <f t="shared" ref="E108:E136" si="103">IF(M108&gt;0,IF(N108&gt;0,"Y","N"),"Y")</f>
        <v>Y</v>
      </c>
      <c r="F108" s="20">
        <f t="shared" ref="F108:F136" si="104">IF(N108&gt;0,3,IF(L108&gt;0,2,IF(J108&gt;0,1,IF(H108&gt;0,0,"  "))))</f>
        <v>0</v>
      </c>
      <c r="G108" s="56" t="str">
        <f t="shared" ref="G108:G136" si="105">IF(U108=0,"  ","y")</f>
        <v xml:space="preserve">  </v>
      </c>
      <c r="H108" s="61">
        <v>46051</v>
      </c>
      <c r="I108" s="60">
        <v>46064</v>
      </c>
      <c r="J108" s="41"/>
      <c r="K108" s="41"/>
      <c r="L108" s="41"/>
      <c r="M108" s="41"/>
      <c r="N108" s="41"/>
      <c r="O108" s="41"/>
      <c r="P108" s="60">
        <v>46041</v>
      </c>
      <c r="Q108" s="60">
        <v>46041</v>
      </c>
      <c r="R108" s="43">
        <f t="shared" ref="R108:R136" si="106">IF(N108&gt;0,4,IF(L108&gt;0,3,IF(J108&gt;0,2,IF(H108&gt;0,1,0))))</f>
        <v>1</v>
      </c>
      <c r="S108" s="38">
        <f t="shared" ref="S108:S136" si="107">U108</f>
        <v>0</v>
      </c>
      <c r="T108" s="41"/>
      <c r="U108" s="41"/>
      <c r="V108" s="60">
        <f t="shared" si="99"/>
        <v>46183</v>
      </c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24"/>
      <c r="AH108" s="78"/>
      <c r="AI108" s="25"/>
    </row>
    <row r="109" spans="1:35" x14ac:dyDescent="0.25">
      <c r="A109" s="39" t="s">
        <v>363</v>
      </c>
      <c r="B109" s="20" t="str">
        <f t="shared" si="100"/>
        <v>Y</v>
      </c>
      <c r="C109" s="20" t="str">
        <f t="shared" si="101"/>
        <v>N</v>
      </c>
      <c r="D109" s="20" t="str">
        <f t="shared" si="102"/>
        <v>Y</v>
      </c>
      <c r="E109" s="20" t="str">
        <f t="shared" si="103"/>
        <v>Y</v>
      </c>
      <c r="F109" s="20">
        <f t="shared" si="104"/>
        <v>0</v>
      </c>
      <c r="G109" s="56" t="str">
        <f t="shared" si="105"/>
        <v xml:space="preserve">  </v>
      </c>
      <c r="H109" s="61">
        <v>46052</v>
      </c>
      <c r="I109" s="60">
        <v>46064</v>
      </c>
      <c r="J109" s="41"/>
      <c r="K109" s="41"/>
      <c r="L109" s="41"/>
      <c r="M109" s="41"/>
      <c r="N109" s="41"/>
      <c r="O109" s="41"/>
      <c r="P109" s="60">
        <v>46041</v>
      </c>
      <c r="Q109" s="60">
        <v>46041</v>
      </c>
      <c r="R109" s="43">
        <f t="shared" si="106"/>
        <v>1</v>
      </c>
      <c r="S109" s="38">
        <f t="shared" si="107"/>
        <v>0</v>
      </c>
      <c r="T109" s="41"/>
      <c r="U109" s="41"/>
      <c r="V109" s="60">
        <f t="shared" si="99"/>
        <v>46183</v>
      </c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24"/>
      <c r="AH109" s="78"/>
      <c r="AI109" s="25"/>
    </row>
    <row r="110" spans="1:35" x14ac:dyDescent="0.25">
      <c r="A110" s="39" t="s">
        <v>365</v>
      </c>
      <c r="B110" s="20" t="str">
        <f t="shared" ref="B110:B127" si="108">IF(H110&gt;0,"Y","N")</f>
        <v>Y</v>
      </c>
      <c r="C110" s="20" t="str">
        <f t="shared" ref="C110:C127" si="109">IF(I110&gt;0,IF(J110&gt;0,"Y","N"),"Y")</f>
        <v>Y</v>
      </c>
      <c r="D110" s="20" t="str">
        <f t="shared" ref="D110:D127" si="110">IF(K110&gt;0,IF(L110&gt;0,"Y","N"),"Y")</f>
        <v>Y</v>
      </c>
      <c r="E110" s="20" t="str">
        <f t="shared" ref="E110:E127" si="111">IF(M110&gt;0,IF(N110&gt;0,"Y","N"),"Y")</f>
        <v>Y</v>
      </c>
      <c r="F110" s="20">
        <f t="shared" ref="F110:F127" si="112">IF(N110&gt;0,3,IF(L110&gt;0,2,IF(J110&gt;0,1,IF(H110&gt;0,0,"  "))))</f>
        <v>0</v>
      </c>
      <c r="G110" s="56" t="str">
        <f t="shared" ref="G110:G127" si="113">IF(U110=0,"  ","y")</f>
        <v xml:space="preserve">  </v>
      </c>
      <c r="H110" s="61">
        <v>46059</v>
      </c>
      <c r="I110" s="41"/>
      <c r="J110" s="41"/>
      <c r="K110" s="41"/>
      <c r="L110" s="41"/>
      <c r="M110" s="41"/>
      <c r="N110" s="41"/>
      <c r="O110" s="41"/>
      <c r="P110" s="60">
        <v>46048</v>
      </c>
      <c r="Q110" s="60">
        <v>46044</v>
      </c>
      <c r="R110" s="43">
        <f t="shared" ref="R110:R127" si="114">IF(N110&gt;0,4,IF(L110&gt;0,3,IF(J110&gt;0,2,IF(H110&gt;0,1,0))))</f>
        <v>1</v>
      </c>
      <c r="S110" s="38">
        <f t="shared" ref="S110:S127" si="115">U110</f>
        <v>0</v>
      </c>
      <c r="T110" s="41"/>
      <c r="U110" s="41"/>
      <c r="V110" s="60">
        <f t="shared" si="99"/>
        <v>46206</v>
      </c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24"/>
      <c r="AH110" s="78"/>
      <c r="AI110" s="25"/>
    </row>
    <row r="111" spans="1:35" x14ac:dyDescent="0.25">
      <c r="A111" s="39" t="s">
        <v>366</v>
      </c>
      <c r="B111" s="20" t="str">
        <f t="shared" si="108"/>
        <v>Y</v>
      </c>
      <c r="C111" s="20" t="str">
        <f t="shared" si="109"/>
        <v>Y</v>
      </c>
      <c r="D111" s="20" t="str">
        <f t="shared" si="110"/>
        <v>Y</v>
      </c>
      <c r="E111" s="20" t="str">
        <f t="shared" si="111"/>
        <v>Y</v>
      </c>
      <c r="F111" s="20">
        <f t="shared" si="112"/>
        <v>0</v>
      </c>
      <c r="G111" s="56" t="str">
        <f t="shared" si="113"/>
        <v xml:space="preserve">  </v>
      </c>
      <c r="H111" s="61">
        <v>46059</v>
      </c>
      <c r="I111" s="41"/>
      <c r="J111" s="41"/>
      <c r="K111" s="41"/>
      <c r="L111" s="41"/>
      <c r="M111" s="41"/>
      <c r="N111" s="41"/>
      <c r="O111" s="41"/>
      <c r="P111" s="60">
        <v>46048</v>
      </c>
      <c r="Q111" s="60">
        <v>46044</v>
      </c>
      <c r="R111" s="43">
        <f t="shared" si="114"/>
        <v>1</v>
      </c>
      <c r="S111" s="38">
        <f t="shared" si="115"/>
        <v>0</v>
      </c>
      <c r="T111" s="41"/>
      <c r="U111" s="41"/>
      <c r="V111" s="60">
        <f t="shared" si="99"/>
        <v>46206</v>
      </c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24"/>
      <c r="AH111" s="78"/>
      <c r="AI111" s="25"/>
    </row>
    <row r="112" spans="1:35" x14ac:dyDescent="0.25">
      <c r="A112" s="39" t="s">
        <v>367</v>
      </c>
      <c r="B112" s="20" t="str">
        <f t="shared" si="108"/>
        <v>Y</v>
      </c>
      <c r="C112" s="20" t="str">
        <f t="shared" si="109"/>
        <v>Y</v>
      </c>
      <c r="D112" s="20" t="str">
        <f t="shared" si="110"/>
        <v>Y</v>
      </c>
      <c r="E112" s="20" t="str">
        <f t="shared" si="111"/>
        <v>Y</v>
      </c>
      <c r="F112" s="20">
        <f t="shared" si="112"/>
        <v>0</v>
      </c>
      <c r="G112" s="56" t="str">
        <f t="shared" si="113"/>
        <v xml:space="preserve">  </v>
      </c>
      <c r="H112" s="61">
        <v>46059</v>
      </c>
      <c r="I112" s="41"/>
      <c r="J112" s="41"/>
      <c r="K112" s="41"/>
      <c r="L112" s="41"/>
      <c r="M112" s="41"/>
      <c r="N112" s="41"/>
      <c r="O112" s="41"/>
      <c r="P112" s="60">
        <v>46048</v>
      </c>
      <c r="Q112" s="60">
        <v>46044</v>
      </c>
      <c r="R112" s="43">
        <f t="shared" si="114"/>
        <v>1</v>
      </c>
      <c r="S112" s="38">
        <f t="shared" si="115"/>
        <v>0</v>
      </c>
      <c r="T112" s="41"/>
      <c r="U112" s="41"/>
      <c r="V112" s="60">
        <f t="shared" si="99"/>
        <v>46206</v>
      </c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24"/>
      <c r="AH112" s="78"/>
      <c r="AI112" s="25"/>
    </row>
    <row r="113" spans="1:35" x14ac:dyDescent="0.25">
      <c r="A113" s="39" t="s">
        <v>368</v>
      </c>
      <c r="B113" s="20" t="str">
        <f t="shared" si="108"/>
        <v>Y</v>
      </c>
      <c r="C113" s="20" t="str">
        <f t="shared" si="109"/>
        <v>N</v>
      </c>
      <c r="D113" s="20" t="str">
        <f t="shared" si="110"/>
        <v>Y</v>
      </c>
      <c r="E113" s="20" t="str">
        <f t="shared" si="111"/>
        <v>Y</v>
      </c>
      <c r="F113" s="20">
        <f t="shared" si="112"/>
        <v>0</v>
      </c>
      <c r="G113" s="56" t="str">
        <f t="shared" si="113"/>
        <v xml:space="preserve">  </v>
      </c>
      <c r="H113" s="61">
        <v>46058</v>
      </c>
      <c r="I113" s="60">
        <v>46064</v>
      </c>
      <c r="J113" s="41"/>
      <c r="K113" s="41"/>
      <c r="L113" s="41"/>
      <c r="M113" s="41"/>
      <c r="N113" s="41"/>
      <c r="O113" s="41"/>
      <c r="P113" s="60">
        <v>46044</v>
      </c>
      <c r="Q113" s="60">
        <v>46044</v>
      </c>
      <c r="R113" s="43">
        <f t="shared" si="114"/>
        <v>1</v>
      </c>
      <c r="S113" s="38">
        <f t="shared" si="115"/>
        <v>0</v>
      </c>
      <c r="T113" s="41"/>
      <c r="U113" s="41"/>
      <c r="V113" s="60">
        <f t="shared" si="99"/>
        <v>46211</v>
      </c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24"/>
      <c r="AH113" s="78"/>
      <c r="AI113" s="25"/>
    </row>
    <row r="114" spans="1:35" x14ac:dyDescent="0.25">
      <c r="A114" s="39" t="s">
        <v>369</v>
      </c>
      <c r="B114" s="20" t="str">
        <f t="shared" si="108"/>
        <v>Y</v>
      </c>
      <c r="C114" s="20" t="str">
        <f t="shared" si="109"/>
        <v>Y</v>
      </c>
      <c r="D114" s="20" t="str">
        <f t="shared" si="110"/>
        <v>Y</v>
      </c>
      <c r="E114" s="20" t="str">
        <f t="shared" si="111"/>
        <v>Y</v>
      </c>
      <c r="F114" s="20">
        <f t="shared" si="112"/>
        <v>0</v>
      </c>
      <c r="G114" s="56" t="str">
        <f t="shared" si="113"/>
        <v xml:space="preserve">  </v>
      </c>
      <c r="H114" s="61">
        <v>46064</v>
      </c>
      <c r="I114" s="41"/>
      <c r="J114" s="41"/>
      <c r="K114" s="41"/>
      <c r="L114" s="41"/>
      <c r="M114" s="41"/>
      <c r="N114" s="41"/>
      <c r="O114" s="41"/>
      <c r="P114" s="60">
        <v>46049</v>
      </c>
      <c r="Q114" s="60">
        <v>46049</v>
      </c>
      <c r="R114" s="43">
        <f t="shared" si="114"/>
        <v>1</v>
      </c>
      <c r="S114" s="38">
        <f t="shared" si="115"/>
        <v>0</v>
      </c>
      <c r="T114" s="41"/>
      <c r="U114" s="41"/>
      <c r="V114" s="60">
        <f t="shared" si="99"/>
        <v>46197</v>
      </c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24"/>
      <c r="AH114" s="78"/>
      <c r="AI114" s="25"/>
    </row>
    <row r="115" spans="1:35" x14ac:dyDescent="0.25">
      <c r="A115" s="39" t="s">
        <v>370</v>
      </c>
      <c r="B115" s="20" t="str">
        <f t="shared" si="108"/>
        <v>N</v>
      </c>
      <c r="C115" s="20" t="str">
        <f t="shared" si="109"/>
        <v>Y</v>
      </c>
      <c r="D115" s="20" t="str">
        <f t="shared" si="110"/>
        <v>Y</v>
      </c>
      <c r="E115" s="20" t="str">
        <f t="shared" si="111"/>
        <v>Y</v>
      </c>
      <c r="F115" s="20" t="str">
        <f t="shared" si="112"/>
        <v xml:space="preserve">  </v>
      </c>
      <c r="G115" s="56" t="str">
        <f t="shared" si="113"/>
        <v xml:space="preserve">  </v>
      </c>
      <c r="H115" s="54"/>
      <c r="I115" s="41"/>
      <c r="J115" s="41"/>
      <c r="K115" s="41"/>
      <c r="L115" s="41"/>
      <c r="M115" s="41"/>
      <c r="N115" s="41"/>
      <c r="O115" s="41"/>
      <c r="P115" s="41"/>
      <c r="Q115" s="60"/>
      <c r="R115" s="43">
        <f t="shared" si="114"/>
        <v>0</v>
      </c>
      <c r="S115" s="38">
        <f t="shared" si="115"/>
        <v>0</v>
      </c>
      <c r="T115" s="41"/>
      <c r="U115" s="41"/>
      <c r="V115" s="60">
        <f t="shared" si="99"/>
        <v>46232</v>
      </c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24"/>
      <c r="AH115" s="78"/>
      <c r="AI115" s="25"/>
    </row>
    <row r="116" spans="1:35" x14ac:dyDescent="0.25">
      <c r="A116" s="39" t="s">
        <v>371</v>
      </c>
      <c r="B116" s="20" t="str">
        <f t="shared" si="108"/>
        <v>N</v>
      </c>
      <c r="C116" s="20" t="str">
        <f t="shared" si="109"/>
        <v>Y</v>
      </c>
      <c r="D116" s="20" t="str">
        <f t="shared" si="110"/>
        <v>Y</v>
      </c>
      <c r="E116" s="20" t="str">
        <f t="shared" si="111"/>
        <v>Y</v>
      </c>
      <c r="F116" s="20" t="str">
        <f t="shared" si="112"/>
        <v xml:space="preserve">  </v>
      </c>
      <c r="G116" s="56" t="str">
        <f t="shared" si="113"/>
        <v xml:space="preserve">  </v>
      </c>
      <c r="H116" s="54"/>
      <c r="I116" s="41"/>
      <c r="J116" s="41"/>
      <c r="K116" s="41"/>
      <c r="L116" s="41"/>
      <c r="M116" s="41"/>
      <c r="N116" s="41"/>
      <c r="O116" s="41"/>
      <c r="P116" s="60">
        <v>46065</v>
      </c>
      <c r="Q116" s="60">
        <v>46049</v>
      </c>
      <c r="R116" s="43">
        <f t="shared" si="114"/>
        <v>0</v>
      </c>
      <c r="S116" s="38">
        <f t="shared" si="115"/>
        <v>0</v>
      </c>
      <c r="T116" s="41"/>
      <c r="U116" s="41"/>
      <c r="V116" s="60">
        <f t="shared" si="99"/>
        <v>46225</v>
      </c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24"/>
      <c r="AH116" s="78"/>
      <c r="AI116" s="25"/>
    </row>
    <row r="117" spans="1:35" x14ac:dyDescent="0.25">
      <c r="A117" s="39" t="s">
        <v>372</v>
      </c>
      <c r="B117" s="20" t="str">
        <f t="shared" si="108"/>
        <v>Y</v>
      </c>
      <c r="C117" s="20" t="str">
        <f t="shared" si="109"/>
        <v>Y</v>
      </c>
      <c r="D117" s="20" t="str">
        <f t="shared" si="110"/>
        <v>Y</v>
      </c>
      <c r="E117" s="20" t="str">
        <f t="shared" si="111"/>
        <v>Y</v>
      </c>
      <c r="F117" s="20">
        <f t="shared" si="112"/>
        <v>0</v>
      </c>
      <c r="G117" s="56" t="str">
        <f t="shared" si="113"/>
        <v xml:space="preserve">  </v>
      </c>
      <c r="H117" s="61">
        <v>46064</v>
      </c>
      <c r="I117" s="41"/>
      <c r="J117" s="41"/>
      <c r="K117" s="41"/>
      <c r="L117" s="41"/>
      <c r="M117" s="41"/>
      <c r="N117" s="41"/>
      <c r="O117" s="41"/>
      <c r="P117" s="60">
        <v>46049</v>
      </c>
      <c r="Q117" s="60">
        <v>46049</v>
      </c>
      <c r="R117" s="43">
        <f t="shared" si="114"/>
        <v>1</v>
      </c>
      <c r="S117" s="38">
        <f t="shared" si="115"/>
        <v>0</v>
      </c>
      <c r="T117" s="41"/>
      <c r="U117" s="41"/>
      <c r="V117" s="60">
        <f t="shared" si="99"/>
        <v>46225</v>
      </c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24"/>
      <c r="AH117" s="78"/>
      <c r="AI117" s="25"/>
    </row>
    <row r="118" spans="1:35" x14ac:dyDescent="0.25">
      <c r="A118" s="39" t="s">
        <v>373</v>
      </c>
      <c r="B118" s="20" t="str">
        <f t="shared" si="108"/>
        <v>Y</v>
      </c>
      <c r="C118" s="20" t="str">
        <f t="shared" si="109"/>
        <v>Y</v>
      </c>
      <c r="D118" s="20" t="str">
        <f t="shared" si="110"/>
        <v>Y</v>
      </c>
      <c r="E118" s="20" t="str">
        <f t="shared" si="111"/>
        <v>Y</v>
      </c>
      <c r="F118" s="20">
        <f t="shared" si="112"/>
        <v>0</v>
      </c>
      <c r="G118" s="56" t="str">
        <f t="shared" si="113"/>
        <v xml:space="preserve">  </v>
      </c>
      <c r="H118" s="61">
        <v>46064</v>
      </c>
      <c r="I118" s="41"/>
      <c r="J118" s="41"/>
      <c r="K118" s="41"/>
      <c r="L118" s="41"/>
      <c r="M118" s="41"/>
      <c r="N118" s="41"/>
      <c r="O118" s="41"/>
      <c r="P118" s="60">
        <v>46049</v>
      </c>
      <c r="Q118" s="60">
        <v>46049</v>
      </c>
      <c r="R118" s="43">
        <f t="shared" si="114"/>
        <v>1</v>
      </c>
      <c r="S118" s="38">
        <f t="shared" si="115"/>
        <v>0</v>
      </c>
      <c r="T118" s="41"/>
      <c r="U118" s="41"/>
      <c r="V118" s="60">
        <f t="shared" si="99"/>
        <v>46225</v>
      </c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24"/>
      <c r="AH118" s="78"/>
      <c r="AI118" s="25"/>
    </row>
    <row r="119" spans="1:35" x14ac:dyDescent="0.25">
      <c r="A119" s="39" t="s">
        <v>377</v>
      </c>
      <c r="B119" s="20" t="str">
        <f t="shared" si="108"/>
        <v>N</v>
      </c>
      <c r="C119" s="20" t="str">
        <f t="shared" si="109"/>
        <v>Y</v>
      </c>
      <c r="D119" s="20" t="str">
        <f t="shared" si="110"/>
        <v>Y</v>
      </c>
      <c r="E119" s="20" t="str">
        <f t="shared" si="111"/>
        <v>Y</v>
      </c>
      <c r="F119" s="20" t="str">
        <f t="shared" si="112"/>
        <v xml:space="preserve">  </v>
      </c>
      <c r="G119" s="56" t="str">
        <f t="shared" si="113"/>
        <v xml:space="preserve">  </v>
      </c>
      <c r="H119" s="54"/>
      <c r="I119" s="41"/>
      <c r="J119" s="41"/>
      <c r="K119" s="41"/>
      <c r="L119" s="41"/>
      <c r="M119" s="41"/>
      <c r="N119" s="41"/>
      <c r="O119" s="41"/>
      <c r="P119" s="60">
        <v>46070</v>
      </c>
      <c r="Q119" s="60">
        <v>46070</v>
      </c>
      <c r="R119" s="43">
        <f t="shared" si="114"/>
        <v>0</v>
      </c>
      <c r="S119" s="38">
        <f t="shared" si="115"/>
        <v>0</v>
      </c>
      <c r="T119" s="41"/>
      <c r="U119" s="41"/>
      <c r="V119" s="60">
        <f t="shared" si="99"/>
        <v>46234</v>
      </c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24"/>
      <c r="AH119" s="78"/>
      <c r="AI119" s="25"/>
    </row>
    <row r="120" spans="1:35" x14ac:dyDescent="0.25">
      <c r="A120" s="39" t="s">
        <v>378</v>
      </c>
      <c r="B120" s="20" t="str">
        <f t="shared" si="108"/>
        <v>N</v>
      </c>
      <c r="C120" s="20" t="str">
        <f t="shared" si="109"/>
        <v>Y</v>
      </c>
      <c r="D120" s="20" t="str">
        <f t="shared" si="110"/>
        <v>Y</v>
      </c>
      <c r="E120" s="20" t="str">
        <f t="shared" si="111"/>
        <v>Y</v>
      </c>
      <c r="F120" s="20" t="str">
        <f t="shared" si="112"/>
        <v xml:space="preserve">  </v>
      </c>
      <c r="G120" s="56" t="str">
        <f t="shared" si="113"/>
        <v xml:space="preserve">  </v>
      </c>
      <c r="H120" s="54"/>
      <c r="I120" s="41"/>
      <c r="J120" s="41"/>
      <c r="K120" s="41"/>
      <c r="L120" s="41"/>
      <c r="M120" s="41"/>
      <c r="N120" s="41"/>
      <c r="O120" s="41"/>
      <c r="P120" s="60">
        <v>46070</v>
      </c>
      <c r="Q120" s="60">
        <v>46070</v>
      </c>
      <c r="R120" s="43">
        <f t="shared" si="114"/>
        <v>0</v>
      </c>
      <c r="S120" s="38">
        <f t="shared" si="115"/>
        <v>0</v>
      </c>
      <c r="T120" s="41"/>
      <c r="U120" s="41"/>
      <c r="V120" s="60">
        <f t="shared" si="99"/>
        <v>46234</v>
      </c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24"/>
      <c r="AH120" s="78"/>
      <c r="AI120" s="25"/>
    </row>
    <row r="121" spans="1:35" x14ac:dyDescent="0.25">
      <c r="A121" s="39" t="s">
        <v>379</v>
      </c>
      <c r="B121" s="20" t="str">
        <f t="shared" si="108"/>
        <v>N</v>
      </c>
      <c r="C121" s="20" t="str">
        <f t="shared" si="109"/>
        <v>Y</v>
      </c>
      <c r="D121" s="20" t="str">
        <f t="shared" si="110"/>
        <v>Y</v>
      </c>
      <c r="E121" s="20" t="str">
        <f t="shared" si="111"/>
        <v>Y</v>
      </c>
      <c r="F121" s="20" t="str">
        <f t="shared" si="112"/>
        <v xml:space="preserve">  </v>
      </c>
      <c r="G121" s="56" t="str">
        <f t="shared" si="113"/>
        <v xml:space="preserve">  </v>
      </c>
      <c r="H121" s="54"/>
      <c r="I121" s="41"/>
      <c r="J121" s="41"/>
      <c r="K121" s="41"/>
      <c r="L121" s="41"/>
      <c r="M121" s="41"/>
      <c r="N121" s="41"/>
      <c r="O121" s="41"/>
      <c r="P121" s="41"/>
      <c r="Q121" s="41"/>
      <c r="R121" s="43">
        <f t="shared" si="114"/>
        <v>0</v>
      </c>
      <c r="S121" s="38">
        <f t="shared" si="115"/>
        <v>0</v>
      </c>
      <c r="T121" s="41"/>
      <c r="U121" s="41"/>
      <c r="V121" s="60">
        <f t="shared" si="99"/>
        <v>46217</v>
      </c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24"/>
      <c r="AH121" s="78"/>
      <c r="AI121" s="25"/>
    </row>
    <row r="122" spans="1:35" x14ac:dyDescent="0.25">
      <c r="A122" s="39"/>
      <c r="B122" s="20" t="str">
        <f t="shared" si="108"/>
        <v>N</v>
      </c>
      <c r="C122" s="20" t="str">
        <f t="shared" si="109"/>
        <v>Y</v>
      </c>
      <c r="D122" s="20" t="str">
        <f t="shared" si="110"/>
        <v>Y</v>
      </c>
      <c r="E122" s="20" t="str">
        <f t="shared" si="111"/>
        <v>Y</v>
      </c>
      <c r="F122" s="20" t="str">
        <f t="shared" si="112"/>
        <v xml:space="preserve">  </v>
      </c>
      <c r="G122" s="56" t="str">
        <f t="shared" si="113"/>
        <v xml:space="preserve">  </v>
      </c>
      <c r="H122" s="54"/>
      <c r="I122" s="41"/>
      <c r="J122" s="41"/>
      <c r="K122" s="41"/>
      <c r="L122" s="41"/>
      <c r="M122" s="41"/>
      <c r="N122" s="41"/>
      <c r="O122" s="41"/>
      <c r="P122" s="41"/>
      <c r="Q122" s="41"/>
      <c r="R122" s="43">
        <f t="shared" si="114"/>
        <v>0</v>
      </c>
      <c r="S122" s="38">
        <f t="shared" si="115"/>
        <v>0</v>
      </c>
      <c r="T122" s="41"/>
      <c r="U122" s="41"/>
      <c r="V122" s="60" t="str">
        <f t="shared" si="99"/>
        <v/>
      </c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24"/>
      <c r="AH122" s="78"/>
      <c r="AI122" s="25"/>
    </row>
    <row r="123" spans="1:35" x14ac:dyDescent="0.25">
      <c r="A123" s="39"/>
      <c r="B123" s="20" t="str">
        <f t="shared" si="108"/>
        <v>N</v>
      </c>
      <c r="C123" s="20" t="str">
        <f t="shared" si="109"/>
        <v>Y</v>
      </c>
      <c r="D123" s="20" t="str">
        <f t="shared" si="110"/>
        <v>Y</v>
      </c>
      <c r="E123" s="20" t="str">
        <f t="shared" si="111"/>
        <v>Y</v>
      </c>
      <c r="F123" s="20" t="str">
        <f t="shared" si="112"/>
        <v xml:space="preserve">  </v>
      </c>
      <c r="G123" s="56" t="str">
        <f t="shared" si="113"/>
        <v xml:space="preserve">  </v>
      </c>
      <c r="H123" s="54"/>
      <c r="I123" s="41"/>
      <c r="J123" s="41"/>
      <c r="K123" s="41"/>
      <c r="L123" s="41"/>
      <c r="M123" s="41"/>
      <c r="N123" s="41"/>
      <c r="O123" s="41"/>
      <c r="P123" s="41"/>
      <c r="Q123" s="41"/>
      <c r="R123" s="43">
        <f t="shared" si="114"/>
        <v>0</v>
      </c>
      <c r="S123" s="38">
        <f t="shared" si="115"/>
        <v>0</v>
      </c>
      <c r="T123" s="41"/>
      <c r="U123" s="41"/>
      <c r="V123" s="60" t="str">
        <f t="shared" si="99"/>
        <v/>
      </c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24"/>
      <c r="AH123" s="78"/>
      <c r="AI123" s="25"/>
    </row>
    <row r="124" spans="1:35" x14ac:dyDescent="0.25">
      <c r="A124" s="39"/>
      <c r="B124" s="20" t="str">
        <f t="shared" si="108"/>
        <v>N</v>
      </c>
      <c r="C124" s="20" t="str">
        <f t="shared" si="109"/>
        <v>Y</v>
      </c>
      <c r="D124" s="20" t="str">
        <f t="shared" si="110"/>
        <v>Y</v>
      </c>
      <c r="E124" s="20" t="str">
        <f t="shared" si="111"/>
        <v>Y</v>
      </c>
      <c r="F124" s="20" t="str">
        <f t="shared" si="112"/>
        <v xml:space="preserve">  </v>
      </c>
      <c r="G124" s="56" t="str">
        <f t="shared" si="113"/>
        <v xml:space="preserve">  </v>
      </c>
      <c r="H124" s="54"/>
      <c r="I124" s="41"/>
      <c r="J124" s="41"/>
      <c r="K124" s="41"/>
      <c r="L124" s="41"/>
      <c r="M124" s="41"/>
      <c r="N124" s="41"/>
      <c r="O124" s="41"/>
      <c r="P124" s="41"/>
      <c r="Q124" s="41"/>
      <c r="R124" s="43">
        <f t="shared" si="114"/>
        <v>0</v>
      </c>
      <c r="S124" s="38">
        <f t="shared" si="115"/>
        <v>0</v>
      </c>
      <c r="T124" s="41"/>
      <c r="U124" s="41"/>
      <c r="V124" s="60" t="str">
        <f t="shared" si="99"/>
        <v/>
      </c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24"/>
      <c r="AH124" s="78"/>
      <c r="AI124" s="25"/>
    </row>
    <row r="125" spans="1:35" x14ac:dyDescent="0.25">
      <c r="A125" s="39"/>
      <c r="B125" s="20" t="str">
        <f t="shared" si="108"/>
        <v>N</v>
      </c>
      <c r="C125" s="20" t="str">
        <f t="shared" si="109"/>
        <v>Y</v>
      </c>
      <c r="D125" s="20" t="str">
        <f t="shared" si="110"/>
        <v>Y</v>
      </c>
      <c r="E125" s="20" t="str">
        <f t="shared" si="111"/>
        <v>Y</v>
      </c>
      <c r="F125" s="20" t="str">
        <f t="shared" si="112"/>
        <v xml:space="preserve">  </v>
      </c>
      <c r="G125" s="56" t="str">
        <f t="shared" si="113"/>
        <v xml:space="preserve">  </v>
      </c>
      <c r="H125" s="54"/>
      <c r="I125" s="41"/>
      <c r="J125" s="41"/>
      <c r="K125" s="41"/>
      <c r="L125" s="41"/>
      <c r="M125" s="41"/>
      <c r="N125" s="41"/>
      <c r="O125" s="41"/>
      <c r="P125" s="41"/>
      <c r="Q125" s="41"/>
      <c r="R125" s="43">
        <f t="shared" si="114"/>
        <v>0</v>
      </c>
      <c r="S125" s="38">
        <f t="shared" si="115"/>
        <v>0</v>
      </c>
      <c r="T125" s="41"/>
      <c r="U125" s="41"/>
      <c r="V125" s="60" t="str">
        <f t="shared" si="99"/>
        <v/>
      </c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24"/>
      <c r="AH125" s="78"/>
      <c r="AI125" s="25"/>
    </row>
    <row r="126" spans="1:35" x14ac:dyDescent="0.25">
      <c r="A126" s="39"/>
      <c r="B126" s="20" t="str">
        <f t="shared" si="108"/>
        <v>N</v>
      </c>
      <c r="C126" s="20" t="str">
        <f t="shared" si="109"/>
        <v>Y</v>
      </c>
      <c r="D126" s="20" t="str">
        <f t="shared" si="110"/>
        <v>Y</v>
      </c>
      <c r="E126" s="20" t="str">
        <f t="shared" si="111"/>
        <v>Y</v>
      </c>
      <c r="F126" s="20" t="str">
        <f t="shared" si="112"/>
        <v xml:space="preserve">  </v>
      </c>
      <c r="G126" s="56" t="str">
        <f t="shared" si="113"/>
        <v xml:space="preserve">  </v>
      </c>
      <c r="H126" s="54"/>
      <c r="I126" s="41"/>
      <c r="J126" s="41"/>
      <c r="K126" s="41"/>
      <c r="L126" s="41"/>
      <c r="M126" s="41"/>
      <c r="N126" s="41"/>
      <c r="O126" s="41"/>
      <c r="P126" s="41"/>
      <c r="Q126" s="41"/>
      <c r="R126" s="43">
        <f t="shared" si="114"/>
        <v>0</v>
      </c>
      <c r="S126" s="38">
        <f t="shared" si="115"/>
        <v>0</v>
      </c>
      <c r="T126" s="41"/>
      <c r="U126" s="41"/>
      <c r="V126" s="60" t="str">
        <f t="shared" si="99"/>
        <v/>
      </c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24"/>
      <c r="AH126" s="78"/>
      <c r="AI126" s="25"/>
    </row>
    <row r="127" spans="1:35" x14ac:dyDescent="0.25">
      <c r="A127" s="39"/>
      <c r="B127" s="20" t="str">
        <f t="shared" si="108"/>
        <v>N</v>
      </c>
      <c r="C127" s="20" t="str">
        <f t="shared" si="109"/>
        <v>Y</v>
      </c>
      <c r="D127" s="20" t="str">
        <f t="shared" si="110"/>
        <v>Y</v>
      </c>
      <c r="E127" s="20" t="str">
        <f t="shared" si="111"/>
        <v>Y</v>
      </c>
      <c r="F127" s="20" t="str">
        <f t="shared" si="112"/>
        <v xml:space="preserve">  </v>
      </c>
      <c r="G127" s="56" t="str">
        <f t="shared" si="113"/>
        <v xml:space="preserve">  </v>
      </c>
      <c r="H127" s="54"/>
      <c r="I127" s="41"/>
      <c r="J127" s="41"/>
      <c r="K127" s="41"/>
      <c r="L127" s="41"/>
      <c r="M127" s="41"/>
      <c r="N127" s="41"/>
      <c r="O127" s="41"/>
      <c r="P127" s="41"/>
      <c r="Q127" s="41"/>
      <c r="R127" s="43">
        <f t="shared" si="114"/>
        <v>0</v>
      </c>
      <c r="S127" s="38">
        <f t="shared" si="115"/>
        <v>0</v>
      </c>
      <c r="T127" s="41"/>
      <c r="U127" s="41"/>
      <c r="V127" s="60" t="str">
        <f t="shared" si="99"/>
        <v/>
      </c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24"/>
      <c r="AH127" s="78"/>
      <c r="AI127" s="25"/>
    </row>
    <row r="128" spans="1:35" x14ac:dyDescent="0.25">
      <c r="A128" s="39"/>
      <c r="B128" s="20" t="str">
        <f t="shared" si="100"/>
        <v>N</v>
      </c>
      <c r="C128" s="20" t="str">
        <f t="shared" si="101"/>
        <v>Y</v>
      </c>
      <c r="D128" s="20" t="str">
        <f t="shared" si="102"/>
        <v>Y</v>
      </c>
      <c r="E128" s="20" t="str">
        <f t="shared" si="103"/>
        <v>Y</v>
      </c>
      <c r="F128" s="20" t="str">
        <f t="shared" si="104"/>
        <v xml:space="preserve">  </v>
      </c>
      <c r="G128" s="56" t="str">
        <f t="shared" si="105"/>
        <v xml:space="preserve">  </v>
      </c>
      <c r="H128" s="54"/>
      <c r="I128" s="41"/>
      <c r="J128" s="41"/>
      <c r="K128" s="41"/>
      <c r="L128" s="41"/>
      <c r="M128" s="41"/>
      <c r="N128" s="41"/>
      <c r="O128" s="41"/>
      <c r="P128" s="41"/>
      <c r="Q128" s="41"/>
      <c r="R128" s="43">
        <f t="shared" si="106"/>
        <v>0</v>
      </c>
      <c r="S128" s="38">
        <f t="shared" si="107"/>
        <v>0</v>
      </c>
      <c r="T128" s="41"/>
      <c r="U128" s="41"/>
      <c r="V128" s="60" t="str">
        <f t="shared" si="99"/>
        <v/>
      </c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24"/>
      <c r="AH128" s="78"/>
      <c r="AI128" s="25"/>
    </row>
    <row r="129" spans="1:35" x14ac:dyDescent="0.25">
      <c r="A129" s="39"/>
      <c r="B129" s="20" t="str">
        <f t="shared" si="100"/>
        <v>N</v>
      </c>
      <c r="C129" s="20" t="str">
        <f t="shared" si="101"/>
        <v>Y</v>
      </c>
      <c r="D129" s="20" t="str">
        <f t="shared" si="102"/>
        <v>Y</v>
      </c>
      <c r="E129" s="20" t="str">
        <f t="shared" si="103"/>
        <v>Y</v>
      </c>
      <c r="F129" s="20" t="str">
        <f t="shared" si="104"/>
        <v xml:space="preserve">  </v>
      </c>
      <c r="G129" s="56" t="str">
        <f t="shared" si="105"/>
        <v xml:space="preserve">  </v>
      </c>
      <c r="H129" s="54"/>
      <c r="I129" s="41"/>
      <c r="J129" s="41"/>
      <c r="K129" s="41"/>
      <c r="L129" s="41"/>
      <c r="M129" s="41"/>
      <c r="N129" s="41"/>
      <c r="O129" s="41"/>
      <c r="P129" s="41"/>
      <c r="Q129" s="41"/>
      <c r="R129" s="43">
        <f t="shared" si="106"/>
        <v>0</v>
      </c>
      <c r="S129" s="38">
        <f t="shared" si="107"/>
        <v>0</v>
      </c>
      <c r="T129" s="41"/>
      <c r="U129" s="41"/>
      <c r="V129" s="60" t="str">
        <f t="shared" si="99"/>
        <v/>
      </c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24"/>
      <c r="AH129" s="78"/>
      <c r="AI129" s="25"/>
    </row>
    <row r="130" spans="1:35" x14ac:dyDescent="0.25">
      <c r="A130" s="39"/>
      <c r="B130" s="20" t="str">
        <f t="shared" si="100"/>
        <v>N</v>
      </c>
      <c r="C130" s="20" t="str">
        <f t="shared" si="101"/>
        <v>Y</v>
      </c>
      <c r="D130" s="20" t="str">
        <f t="shared" si="102"/>
        <v>Y</v>
      </c>
      <c r="E130" s="20" t="str">
        <f t="shared" si="103"/>
        <v>Y</v>
      </c>
      <c r="F130" s="20" t="str">
        <f t="shared" si="104"/>
        <v xml:space="preserve">  </v>
      </c>
      <c r="G130" s="56" t="str">
        <f t="shared" si="105"/>
        <v xml:space="preserve">  </v>
      </c>
      <c r="H130" s="54"/>
      <c r="I130" s="41"/>
      <c r="J130" s="41"/>
      <c r="K130" s="41"/>
      <c r="L130" s="41"/>
      <c r="M130" s="41"/>
      <c r="N130" s="41"/>
      <c r="O130" s="41"/>
      <c r="P130" s="41"/>
      <c r="Q130" s="41"/>
      <c r="R130" s="43">
        <f t="shared" si="106"/>
        <v>0</v>
      </c>
      <c r="S130" s="38">
        <f t="shared" si="107"/>
        <v>0</v>
      </c>
      <c r="T130" s="41"/>
      <c r="U130" s="41"/>
      <c r="V130" s="60" t="str">
        <f t="shared" si="99"/>
        <v/>
      </c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24"/>
      <c r="AH130" s="78"/>
      <c r="AI130" s="25"/>
    </row>
    <row r="131" spans="1:35" x14ac:dyDescent="0.25">
      <c r="A131" s="39"/>
      <c r="B131" s="20" t="str">
        <f t="shared" si="100"/>
        <v>N</v>
      </c>
      <c r="C131" s="20" t="str">
        <f t="shared" si="101"/>
        <v>Y</v>
      </c>
      <c r="D131" s="20" t="str">
        <f t="shared" si="102"/>
        <v>Y</v>
      </c>
      <c r="E131" s="20" t="str">
        <f t="shared" si="103"/>
        <v>Y</v>
      </c>
      <c r="F131" s="20" t="str">
        <f t="shared" si="104"/>
        <v xml:space="preserve">  </v>
      </c>
      <c r="G131" s="56" t="str">
        <f t="shared" si="105"/>
        <v xml:space="preserve">  </v>
      </c>
      <c r="H131" s="54"/>
      <c r="I131" s="41"/>
      <c r="J131" s="41"/>
      <c r="K131" s="41"/>
      <c r="L131" s="41"/>
      <c r="M131" s="41"/>
      <c r="N131" s="41"/>
      <c r="O131" s="41"/>
      <c r="P131" s="41"/>
      <c r="Q131" s="41"/>
      <c r="R131" s="43">
        <f t="shared" si="106"/>
        <v>0</v>
      </c>
      <c r="S131" s="38">
        <f t="shared" si="107"/>
        <v>0</v>
      </c>
      <c r="T131" s="41"/>
      <c r="U131" s="41"/>
      <c r="V131" s="60" t="str">
        <f t="shared" si="99"/>
        <v/>
      </c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24"/>
      <c r="AH131" s="78"/>
      <c r="AI131" s="25"/>
    </row>
    <row r="132" spans="1:35" x14ac:dyDescent="0.25">
      <c r="A132" s="39"/>
      <c r="B132" s="20" t="str">
        <f t="shared" si="100"/>
        <v>N</v>
      </c>
      <c r="C132" s="20" t="str">
        <f t="shared" si="101"/>
        <v>Y</v>
      </c>
      <c r="D132" s="20" t="str">
        <f t="shared" si="102"/>
        <v>Y</v>
      </c>
      <c r="E132" s="20" t="str">
        <f t="shared" si="103"/>
        <v>Y</v>
      </c>
      <c r="F132" s="20" t="str">
        <f t="shared" si="104"/>
        <v xml:space="preserve">  </v>
      </c>
      <c r="G132" s="56" t="str">
        <f t="shared" si="105"/>
        <v xml:space="preserve">  </v>
      </c>
      <c r="H132" s="54"/>
      <c r="I132" s="41"/>
      <c r="J132" s="41"/>
      <c r="K132" s="41"/>
      <c r="L132" s="41"/>
      <c r="M132" s="41"/>
      <c r="N132" s="41"/>
      <c r="O132" s="41"/>
      <c r="P132" s="41"/>
      <c r="Q132" s="41"/>
      <c r="R132" s="43">
        <f t="shared" si="106"/>
        <v>0</v>
      </c>
      <c r="S132" s="38">
        <f t="shared" si="107"/>
        <v>0</v>
      </c>
      <c r="T132" s="41"/>
      <c r="U132" s="41"/>
      <c r="V132" s="60" t="str">
        <f t="shared" ref="V132:V157" si="116">_xlfn.IFNA(IF(U132="",VLOOKUP(A132,Jobs,23,0),U132+(VLOOKUP(A132,Jobs,7,FALSE)*7)+(VLOOKUP(A132,Jobs,22,FALSE)*7)),"")</f>
        <v/>
      </c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24"/>
      <c r="AH132" s="78"/>
      <c r="AI132" s="25"/>
    </row>
    <row r="133" spans="1:35" x14ac:dyDescent="0.25">
      <c r="A133" s="39"/>
      <c r="B133" s="20" t="str">
        <f t="shared" si="100"/>
        <v>N</v>
      </c>
      <c r="C133" s="20" t="str">
        <f t="shared" si="101"/>
        <v>Y</v>
      </c>
      <c r="D133" s="20" t="str">
        <f t="shared" si="102"/>
        <v>Y</v>
      </c>
      <c r="E133" s="20" t="str">
        <f t="shared" si="103"/>
        <v>Y</v>
      </c>
      <c r="F133" s="20" t="str">
        <f t="shared" si="104"/>
        <v xml:space="preserve">  </v>
      </c>
      <c r="G133" s="56" t="str">
        <f t="shared" si="105"/>
        <v xml:space="preserve">  </v>
      </c>
      <c r="H133" s="54"/>
      <c r="I133" s="41"/>
      <c r="J133" s="41"/>
      <c r="K133" s="41"/>
      <c r="L133" s="41"/>
      <c r="M133" s="41"/>
      <c r="N133" s="41"/>
      <c r="O133" s="41"/>
      <c r="P133" s="41"/>
      <c r="Q133" s="41"/>
      <c r="R133" s="43">
        <f t="shared" si="106"/>
        <v>0</v>
      </c>
      <c r="S133" s="38">
        <f t="shared" si="107"/>
        <v>0</v>
      </c>
      <c r="T133" s="41"/>
      <c r="U133" s="41"/>
      <c r="V133" s="60" t="str">
        <f t="shared" si="116"/>
        <v/>
      </c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24"/>
      <c r="AH133" s="78"/>
      <c r="AI133" s="25"/>
    </row>
    <row r="134" spans="1:35" x14ac:dyDescent="0.25">
      <c r="A134" s="39"/>
      <c r="B134" s="20" t="str">
        <f t="shared" si="100"/>
        <v>N</v>
      </c>
      <c r="C134" s="20" t="str">
        <f t="shared" si="101"/>
        <v>Y</v>
      </c>
      <c r="D134" s="20" t="str">
        <f t="shared" si="102"/>
        <v>Y</v>
      </c>
      <c r="E134" s="20" t="str">
        <f t="shared" si="103"/>
        <v>Y</v>
      </c>
      <c r="F134" s="20" t="str">
        <f t="shared" si="104"/>
        <v xml:space="preserve">  </v>
      </c>
      <c r="G134" s="56" t="str">
        <f t="shared" si="105"/>
        <v xml:space="preserve">  </v>
      </c>
      <c r="H134" s="54"/>
      <c r="I134" s="41"/>
      <c r="J134" s="41"/>
      <c r="K134" s="41"/>
      <c r="L134" s="41"/>
      <c r="M134" s="41"/>
      <c r="N134" s="41"/>
      <c r="O134" s="41"/>
      <c r="P134" s="41"/>
      <c r="Q134" s="41"/>
      <c r="R134" s="43">
        <f t="shared" si="106"/>
        <v>0</v>
      </c>
      <c r="S134" s="38">
        <f t="shared" si="107"/>
        <v>0</v>
      </c>
      <c r="T134" s="41"/>
      <c r="U134" s="41"/>
      <c r="V134" s="60" t="str">
        <f t="shared" si="116"/>
        <v/>
      </c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24"/>
      <c r="AH134" s="78"/>
      <c r="AI134" s="25"/>
    </row>
    <row r="135" spans="1:35" x14ac:dyDescent="0.25">
      <c r="A135" s="39"/>
      <c r="B135" s="20" t="str">
        <f t="shared" si="100"/>
        <v>N</v>
      </c>
      <c r="C135" s="20" t="str">
        <f t="shared" si="101"/>
        <v>Y</v>
      </c>
      <c r="D135" s="20" t="str">
        <f t="shared" si="102"/>
        <v>Y</v>
      </c>
      <c r="E135" s="20" t="str">
        <f t="shared" si="103"/>
        <v>Y</v>
      </c>
      <c r="F135" s="20" t="str">
        <f t="shared" si="104"/>
        <v xml:space="preserve">  </v>
      </c>
      <c r="G135" s="56" t="str">
        <f t="shared" si="105"/>
        <v xml:space="preserve">  </v>
      </c>
      <c r="H135" s="54"/>
      <c r="I135" s="41"/>
      <c r="J135" s="41"/>
      <c r="K135" s="41"/>
      <c r="L135" s="41"/>
      <c r="M135" s="41"/>
      <c r="N135" s="41"/>
      <c r="O135" s="41"/>
      <c r="P135" s="41"/>
      <c r="Q135" s="41"/>
      <c r="R135" s="43">
        <f t="shared" si="106"/>
        <v>0</v>
      </c>
      <c r="S135" s="38">
        <f t="shared" si="107"/>
        <v>0</v>
      </c>
      <c r="T135" s="41"/>
      <c r="U135" s="41"/>
      <c r="V135" s="60" t="str">
        <f t="shared" si="116"/>
        <v/>
      </c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24"/>
      <c r="AH135" s="78"/>
      <c r="AI135" s="25"/>
    </row>
    <row r="136" spans="1:35" x14ac:dyDescent="0.25">
      <c r="A136" s="39"/>
      <c r="B136" s="20" t="str">
        <f t="shared" si="100"/>
        <v>N</v>
      </c>
      <c r="C136" s="20" t="str">
        <f t="shared" si="101"/>
        <v>Y</v>
      </c>
      <c r="D136" s="20" t="str">
        <f t="shared" si="102"/>
        <v>Y</v>
      </c>
      <c r="E136" s="20" t="str">
        <f t="shared" si="103"/>
        <v>Y</v>
      </c>
      <c r="F136" s="20" t="str">
        <f t="shared" si="104"/>
        <v xml:space="preserve">  </v>
      </c>
      <c r="G136" s="56" t="str">
        <f t="shared" si="105"/>
        <v xml:space="preserve">  </v>
      </c>
      <c r="H136" s="54"/>
      <c r="I136" s="41"/>
      <c r="J136" s="41"/>
      <c r="K136" s="41"/>
      <c r="L136" s="41"/>
      <c r="M136" s="41"/>
      <c r="N136" s="41"/>
      <c r="O136" s="41"/>
      <c r="P136" s="41"/>
      <c r="Q136" s="41"/>
      <c r="R136" s="43">
        <f t="shared" si="106"/>
        <v>0</v>
      </c>
      <c r="S136" s="38">
        <f t="shared" si="107"/>
        <v>0</v>
      </c>
      <c r="T136" s="41"/>
      <c r="U136" s="41"/>
      <c r="V136" s="60" t="str">
        <f t="shared" si="116"/>
        <v/>
      </c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24"/>
      <c r="AH136" s="78"/>
      <c r="AI136" s="25"/>
    </row>
    <row r="137" spans="1:35" x14ac:dyDescent="0.25">
      <c r="A137" s="39"/>
      <c r="B137" s="20" t="str">
        <f t="shared" si="83"/>
        <v>N</v>
      </c>
      <c r="C137" s="20" t="str">
        <f t="shared" si="84"/>
        <v>Y</v>
      </c>
      <c r="D137" s="20" t="str">
        <f t="shared" si="85"/>
        <v>Y</v>
      </c>
      <c r="E137" s="20" t="str">
        <f t="shared" si="86"/>
        <v>Y</v>
      </c>
      <c r="F137" s="20" t="str">
        <f t="shared" si="87"/>
        <v xml:space="preserve">  </v>
      </c>
      <c r="G137" s="56" t="str">
        <f t="shared" si="88"/>
        <v xml:space="preserve">  </v>
      </c>
      <c r="H137" s="54"/>
      <c r="I137" s="41"/>
      <c r="J137" s="41"/>
      <c r="K137" s="41"/>
      <c r="L137" s="41"/>
      <c r="M137" s="41"/>
      <c r="N137" s="41"/>
      <c r="O137" s="41"/>
      <c r="P137" s="41"/>
      <c r="Q137" s="41"/>
      <c r="R137" s="43">
        <f t="shared" si="89"/>
        <v>0</v>
      </c>
      <c r="S137" s="38">
        <f t="shared" si="90"/>
        <v>0</v>
      </c>
      <c r="T137" s="41"/>
      <c r="U137" s="41"/>
      <c r="V137" s="60" t="str">
        <f t="shared" si="116"/>
        <v/>
      </c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24"/>
      <c r="AH137" s="78"/>
      <c r="AI137" s="25"/>
    </row>
    <row r="138" spans="1:35" x14ac:dyDescent="0.25">
      <c r="A138" s="39"/>
      <c r="B138" s="20" t="str">
        <f t="shared" si="83"/>
        <v>N</v>
      </c>
      <c r="C138" s="20" t="str">
        <f t="shared" si="84"/>
        <v>Y</v>
      </c>
      <c r="D138" s="20" t="str">
        <f t="shared" si="85"/>
        <v>Y</v>
      </c>
      <c r="E138" s="20" t="str">
        <f t="shared" si="86"/>
        <v>Y</v>
      </c>
      <c r="F138" s="20" t="str">
        <f t="shared" si="87"/>
        <v xml:space="preserve">  </v>
      </c>
      <c r="G138" s="56" t="str">
        <f t="shared" si="88"/>
        <v xml:space="preserve">  </v>
      </c>
      <c r="H138" s="54"/>
      <c r="I138" s="41"/>
      <c r="J138" s="41"/>
      <c r="K138" s="41"/>
      <c r="L138" s="41"/>
      <c r="M138" s="41"/>
      <c r="N138" s="41"/>
      <c r="O138" s="41"/>
      <c r="P138" s="41"/>
      <c r="Q138" s="41"/>
      <c r="R138" s="43">
        <f t="shared" si="89"/>
        <v>0</v>
      </c>
      <c r="S138" s="38">
        <f t="shared" si="90"/>
        <v>0</v>
      </c>
      <c r="T138" s="41"/>
      <c r="U138" s="41"/>
      <c r="V138" s="60" t="str">
        <f t="shared" si="116"/>
        <v/>
      </c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24"/>
      <c r="AH138" s="78"/>
      <c r="AI138" s="25"/>
    </row>
    <row r="139" spans="1:35" x14ac:dyDescent="0.25">
      <c r="A139" s="39"/>
      <c r="B139" s="20" t="str">
        <f t="shared" si="83"/>
        <v>N</v>
      </c>
      <c r="C139" s="20" t="str">
        <f t="shared" si="84"/>
        <v>Y</v>
      </c>
      <c r="D139" s="20" t="str">
        <f t="shared" si="85"/>
        <v>Y</v>
      </c>
      <c r="E139" s="20" t="str">
        <f t="shared" si="86"/>
        <v>Y</v>
      </c>
      <c r="F139" s="20" t="str">
        <f t="shared" si="87"/>
        <v xml:space="preserve">  </v>
      </c>
      <c r="G139" s="56" t="str">
        <f t="shared" si="88"/>
        <v xml:space="preserve">  </v>
      </c>
      <c r="H139" s="54"/>
      <c r="I139" s="41"/>
      <c r="J139" s="41"/>
      <c r="K139" s="41"/>
      <c r="L139" s="41"/>
      <c r="M139" s="41"/>
      <c r="N139" s="41"/>
      <c r="O139" s="41"/>
      <c r="P139" s="41"/>
      <c r="Q139" s="41"/>
      <c r="R139" s="43">
        <f t="shared" si="89"/>
        <v>0</v>
      </c>
      <c r="S139" s="38">
        <f t="shared" si="90"/>
        <v>0</v>
      </c>
      <c r="T139" s="41"/>
      <c r="U139" s="41"/>
      <c r="V139" s="60" t="str">
        <f t="shared" si="116"/>
        <v/>
      </c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24"/>
      <c r="AH139" s="78"/>
      <c r="AI139" s="25"/>
    </row>
    <row r="140" spans="1:35" x14ac:dyDescent="0.25">
      <c r="A140" s="39"/>
      <c r="B140" s="20" t="str">
        <f t="shared" si="83"/>
        <v>N</v>
      </c>
      <c r="C140" s="20" t="str">
        <f t="shared" si="84"/>
        <v>Y</v>
      </c>
      <c r="D140" s="20" t="str">
        <f t="shared" si="85"/>
        <v>Y</v>
      </c>
      <c r="E140" s="20" t="str">
        <f t="shared" si="86"/>
        <v>Y</v>
      </c>
      <c r="F140" s="20" t="str">
        <f t="shared" si="87"/>
        <v xml:space="preserve">  </v>
      </c>
      <c r="G140" s="56" t="str">
        <f t="shared" si="88"/>
        <v xml:space="preserve">  </v>
      </c>
      <c r="H140" s="54"/>
      <c r="I140" s="41"/>
      <c r="J140" s="41"/>
      <c r="K140" s="41"/>
      <c r="L140" s="41"/>
      <c r="M140" s="41"/>
      <c r="N140" s="41"/>
      <c r="O140" s="41"/>
      <c r="P140" s="41"/>
      <c r="Q140" s="41"/>
      <c r="R140" s="43">
        <f t="shared" si="89"/>
        <v>0</v>
      </c>
      <c r="S140" s="38">
        <f t="shared" si="90"/>
        <v>0</v>
      </c>
      <c r="T140" s="41"/>
      <c r="U140" s="41"/>
      <c r="V140" s="60" t="str">
        <f t="shared" si="116"/>
        <v/>
      </c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24"/>
      <c r="AH140" s="78"/>
      <c r="AI140" s="25"/>
    </row>
    <row r="141" spans="1:35" x14ac:dyDescent="0.25">
      <c r="A141" s="39"/>
      <c r="B141" s="20" t="str">
        <f t="shared" si="83"/>
        <v>N</v>
      </c>
      <c r="C141" s="20" t="str">
        <f t="shared" si="84"/>
        <v>Y</v>
      </c>
      <c r="D141" s="20" t="str">
        <f t="shared" si="85"/>
        <v>Y</v>
      </c>
      <c r="E141" s="20" t="str">
        <f t="shared" si="86"/>
        <v>Y</v>
      </c>
      <c r="F141" s="20" t="str">
        <f t="shared" si="87"/>
        <v xml:space="preserve">  </v>
      </c>
      <c r="G141" s="56" t="str">
        <f t="shared" si="88"/>
        <v xml:space="preserve">  </v>
      </c>
      <c r="H141" s="54"/>
      <c r="I141" s="41"/>
      <c r="J141" s="41"/>
      <c r="K141" s="41"/>
      <c r="L141" s="41"/>
      <c r="M141" s="41"/>
      <c r="N141" s="41"/>
      <c r="O141" s="41"/>
      <c r="P141" s="41"/>
      <c r="Q141" s="41"/>
      <c r="R141" s="43">
        <f t="shared" si="89"/>
        <v>0</v>
      </c>
      <c r="S141" s="38">
        <f t="shared" si="90"/>
        <v>0</v>
      </c>
      <c r="T141" s="41"/>
      <c r="U141" s="41"/>
      <c r="V141" s="60" t="str">
        <f t="shared" si="116"/>
        <v/>
      </c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24"/>
      <c r="AH141" s="78"/>
      <c r="AI141" s="25"/>
    </row>
    <row r="142" spans="1:35" x14ac:dyDescent="0.25">
      <c r="A142" s="39"/>
      <c r="B142" s="20" t="str">
        <f t="shared" si="74"/>
        <v>N</v>
      </c>
      <c r="C142" s="20" t="str">
        <f t="shared" si="75"/>
        <v>Y</v>
      </c>
      <c r="D142" s="20" t="str">
        <f t="shared" si="76"/>
        <v>Y</v>
      </c>
      <c r="E142" s="20" t="str">
        <f t="shared" si="77"/>
        <v>Y</v>
      </c>
      <c r="F142" s="20" t="str">
        <f t="shared" si="78"/>
        <v xml:space="preserve">  </v>
      </c>
      <c r="G142" s="56" t="str">
        <f t="shared" si="79"/>
        <v xml:space="preserve">  </v>
      </c>
      <c r="H142" s="54"/>
      <c r="I142" s="41"/>
      <c r="J142" s="41"/>
      <c r="K142" s="41"/>
      <c r="L142" s="41"/>
      <c r="M142" s="41"/>
      <c r="N142" s="41"/>
      <c r="O142" s="41"/>
      <c r="P142" s="41"/>
      <c r="Q142" s="41"/>
      <c r="R142" s="43">
        <f t="shared" si="80"/>
        <v>0</v>
      </c>
      <c r="S142" s="38">
        <f t="shared" si="81"/>
        <v>0</v>
      </c>
      <c r="T142" s="41"/>
      <c r="U142" s="41"/>
      <c r="V142" s="60" t="str">
        <f t="shared" si="116"/>
        <v/>
      </c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24"/>
      <c r="AH142" s="78"/>
      <c r="AI142" s="25"/>
    </row>
    <row r="143" spans="1:35" x14ac:dyDescent="0.25">
      <c r="A143" s="39"/>
      <c r="B143" s="20" t="str">
        <f t="shared" si="50"/>
        <v>N</v>
      </c>
      <c r="C143" s="20" t="str">
        <f t="shared" si="51"/>
        <v>Y</v>
      </c>
      <c r="D143" s="20" t="str">
        <f t="shared" si="52"/>
        <v>Y</v>
      </c>
      <c r="E143" s="20" t="str">
        <f t="shared" si="53"/>
        <v>Y</v>
      </c>
      <c r="F143" s="20" t="str">
        <f t="shared" si="54"/>
        <v xml:space="preserve">  </v>
      </c>
      <c r="G143" s="56" t="str">
        <f t="shared" si="55"/>
        <v xml:space="preserve">  </v>
      </c>
      <c r="H143" s="54"/>
      <c r="I143" s="41"/>
      <c r="J143" s="41"/>
      <c r="K143" s="41"/>
      <c r="L143" s="41"/>
      <c r="M143" s="41"/>
      <c r="N143" s="41"/>
      <c r="O143" s="41"/>
      <c r="P143" s="41"/>
      <c r="Q143" s="41"/>
      <c r="R143" s="43">
        <f t="shared" si="56"/>
        <v>0</v>
      </c>
      <c r="S143" s="38">
        <f t="shared" si="57"/>
        <v>0</v>
      </c>
      <c r="T143" s="41"/>
      <c r="U143" s="41"/>
      <c r="V143" s="60" t="str">
        <f t="shared" si="116"/>
        <v/>
      </c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24"/>
      <c r="AH143" s="78"/>
      <c r="AI143" s="25"/>
    </row>
    <row r="144" spans="1:35" x14ac:dyDescent="0.25">
      <c r="A144" s="39"/>
      <c r="B144" s="20" t="str">
        <f t="shared" si="50"/>
        <v>N</v>
      </c>
      <c r="C144" s="20" t="str">
        <f t="shared" si="51"/>
        <v>Y</v>
      </c>
      <c r="D144" s="20" t="str">
        <f t="shared" si="52"/>
        <v>Y</v>
      </c>
      <c r="E144" s="20" t="str">
        <f t="shared" si="53"/>
        <v>Y</v>
      </c>
      <c r="F144" s="20" t="str">
        <f t="shared" si="54"/>
        <v xml:space="preserve">  </v>
      </c>
      <c r="G144" s="56" t="str">
        <f t="shared" si="55"/>
        <v xml:space="preserve">  </v>
      </c>
      <c r="H144" s="54"/>
      <c r="I144" s="41"/>
      <c r="J144" s="41"/>
      <c r="K144" s="41"/>
      <c r="L144" s="41"/>
      <c r="M144" s="41"/>
      <c r="N144" s="41"/>
      <c r="O144" s="41"/>
      <c r="P144" s="41"/>
      <c r="Q144" s="41"/>
      <c r="R144" s="43">
        <f t="shared" si="56"/>
        <v>0</v>
      </c>
      <c r="S144" s="38">
        <f t="shared" si="57"/>
        <v>0</v>
      </c>
      <c r="T144" s="41"/>
      <c r="U144" s="41"/>
      <c r="V144" s="60" t="str">
        <f t="shared" si="116"/>
        <v/>
      </c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24"/>
      <c r="AH144" s="78"/>
      <c r="AI144" s="25"/>
    </row>
    <row r="145" spans="1:35" x14ac:dyDescent="0.25">
      <c r="A145" s="39"/>
      <c r="B145" s="20" t="str">
        <f t="shared" si="50"/>
        <v>N</v>
      </c>
      <c r="C145" s="20" t="str">
        <f t="shared" si="51"/>
        <v>Y</v>
      </c>
      <c r="D145" s="20" t="str">
        <f t="shared" si="52"/>
        <v>Y</v>
      </c>
      <c r="E145" s="20" t="str">
        <f t="shared" si="53"/>
        <v>Y</v>
      </c>
      <c r="F145" s="20" t="str">
        <f t="shared" si="54"/>
        <v xml:space="preserve">  </v>
      </c>
      <c r="G145" s="56" t="str">
        <f t="shared" si="55"/>
        <v xml:space="preserve">  </v>
      </c>
      <c r="H145" s="54"/>
      <c r="I145" s="41"/>
      <c r="J145" s="41"/>
      <c r="K145" s="41"/>
      <c r="L145" s="41"/>
      <c r="M145" s="41"/>
      <c r="N145" s="41"/>
      <c r="O145" s="41"/>
      <c r="P145" s="41"/>
      <c r="Q145" s="41"/>
      <c r="R145" s="43">
        <f t="shared" si="56"/>
        <v>0</v>
      </c>
      <c r="S145" s="38">
        <f t="shared" si="57"/>
        <v>0</v>
      </c>
      <c r="T145" s="41"/>
      <c r="U145" s="41"/>
      <c r="V145" s="60" t="str">
        <f t="shared" si="116"/>
        <v/>
      </c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24"/>
      <c r="AH145" s="78"/>
      <c r="AI145" s="25"/>
    </row>
    <row r="146" spans="1:35" x14ac:dyDescent="0.25">
      <c r="A146" s="39"/>
      <c r="B146" s="20" t="str">
        <f t="shared" si="50"/>
        <v>N</v>
      </c>
      <c r="C146" s="20" t="str">
        <f t="shared" si="51"/>
        <v>Y</v>
      </c>
      <c r="D146" s="20" t="str">
        <f t="shared" si="52"/>
        <v>Y</v>
      </c>
      <c r="E146" s="20" t="str">
        <f t="shared" si="53"/>
        <v>Y</v>
      </c>
      <c r="F146" s="20" t="str">
        <f t="shared" si="54"/>
        <v xml:space="preserve">  </v>
      </c>
      <c r="G146" s="56" t="str">
        <f t="shared" si="55"/>
        <v xml:space="preserve">  </v>
      </c>
      <c r="H146" s="54"/>
      <c r="I146" s="41"/>
      <c r="J146" s="41"/>
      <c r="K146" s="41"/>
      <c r="L146" s="41"/>
      <c r="M146" s="41"/>
      <c r="N146" s="41"/>
      <c r="O146" s="41"/>
      <c r="P146" s="41"/>
      <c r="Q146" s="41"/>
      <c r="R146" s="43">
        <f t="shared" si="56"/>
        <v>0</v>
      </c>
      <c r="S146" s="38">
        <f t="shared" si="57"/>
        <v>0</v>
      </c>
      <c r="T146" s="41"/>
      <c r="U146" s="41"/>
      <c r="V146" s="60" t="str">
        <f t="shared" si="116"/>
        <v/>
      </c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24"/>
      <c r="AH146" s="78"/>
      <c r="AI146" s="25"/>
    </row>
    <row r="147" spans="1:35" x14ac:dyDescent="0.25">
      <c r="A147" s="39"/>
      <c r="B147" s="20" t="str">
        <f t="shared" si="50"/>
        <v>N</v>
      </c>
      <c r="C147" s="20" t="str">
        <f t="shared" si="51"/>
        <v>Y</v>
      </c>
      <c r="D147" s="20" t="str">
        <f t="shared" si="52"/>
        <v>Y</v>
      </c>
      <c r="E147" s="20" t="str">
        <f t="shared" si="53"/>
        <v>Y</v>
      </c>
      <c r="F147" s="20" t="str">
        <f t="shared" si="54"/>
        <v xml:space="preserve">  </v>
      </c>
      <c r="G147" s="56" t="str">
        <f t="shared" si="55"/>
        <v xml:space="preserve">  </v>
      </c>
      <c r="H147" s="54"/>
      <c r="I147" s="41"/>
      <c r="J147" s="41"/>
      <c r="K147" s="41"/>
      <c r="L147" s="41"/>
      <c r="M147" s="41"/>
      <c r="N147" s="41"/>
      <c r="O147" s="41"/>
      <c r="P147" s="41"/>
      <c r="Q147" s="41"/>
      <c r="R147" s="43">
        <f t="shared" si="56"/>
        <v>0</v>
      </c>
      <c r="S147" s="38">
        <f t="shared" si="57"/>
        <v>0</v>
      </c>
      <c r="T147" s="41"/>
      <c r="U147" s="41"/>
      <c r="V147" s="60" t="str">
        <f t="shared" si="116"/>
        <v/>
      </c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24"/>
      <c r="AH147" s="78"/>
      <c r="AI147" s="25"/>
    </row>
    <row r="148" spans="1:35" x14ac:dyDescent="0.25">
      <c r="A148" s="39"/>
      <c r="B148" s="20" t="str">
        <f t="shared" si="41"/>
        <v>N</v>
      </c>
      <c r="C148" s="20" t="str">
        <f t="shared" si="42"/>
        <v>Y</v>
      </c>
      <c r="D148" s="20" t="str">
        <f t="shared" si="43"/>
        <v>Y</v>
      </c>
      <c r="E148" s="20" t="str">
        <f t="shared" si="44"/>
        <v>Y</v>
      </c>
      <c r="F148" s="20" t="str">
        <f t="shared" si="45"/>
        <v xml:space="preserve">  </v>
      </c>
      <c r="G148" s="56" t="str">
        <f t="shared" si="46"/>
        <v xml:space="preserve">  </v>
      </c>
      <c r="H148" s="54"/>
      <c r="I148" s="41"/>
      <c r="J148" s="41"/>
      <c r="K148" s="41"/>
      <c r="L148" s="41"/>
      <c r="M148" s="41"/>
      <c r="N148" s="41"/>
      <c r="O148" s="41"/>
      <c r="P148" s="41"/>
      <c r="Q148" s="41"/>
      <c r="R148" s="43">
        <f t="shared" si="47"/>
        <v>0</v>
      </c>
      <c r="S148" s="38">
        <f t="shared" si="48"/>
        <v>0</v>
      </c>
      <c r="T148" s="41"/>
      <c r="U148" s="41"/>
      <c r="V148" s="60" t="str">
        <f t="shared" si="116"/>
        <v/>
      </c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24"/>
      <c r="AH148" s="78"/>
      <c r="AI148" s="25"/>
    </row>
    <row r="149" spans="1:35" x14ac:dyDescent="0.25">
      <c r="A149" s="39"/>
      <c r="B149" s="20" t="str">
        <f t="shared" si="41"/>
        <v>N</v>
      </c>
      <c r="C149" s="20" t="str">
        <f t="shared" si="42"/>
        <v>Y</v>
      </c>
      <c r="D149" s="20" t="str">
        <f t="shared" si="43"/>
        <v>Y</v>
      </c>
      <c r="E149" s="20" t="str">
        <f t="shared" si="44"/>
        <v>Y</v>
      </c>
      <c r="F149" s="20" t="str">
        <f t="shared" si="45"/>
        <v xml:space="preserve">  </v>
      </c>
      <c r="G149" s="56" t="str">
        <f t="shared" si="46"/>
        <v xml:space="preserve">  </v>
      </c>
      <c r="H149" s="54"/>
      <c r="I149" s="41"/>
      <c r="J149" s="41"/>
      <c r="K149" s="41"/>
      <c r="L149" s="41"/>
      <c r="M149" s="41"/>
      <c r="N149" s="41"/>
      <c r="O149" s="41"/>
      <c r="P149" s="41"/>
      <c r="Q149" s="41"/>
      <c r="R149" s="43">
        <f t="shared" si="47"/>
        <v>0</v>
      </c>
      <c r="S149" s="38">
        <f t="shared" si="48"/>
        <v>0</v>
      </c>
      <c r="T149" s="41"/>
      <c r="U149" s="41"/>
      <c r="V149" s="60" t="str">
        <f t="shared" si="116"/>
        <v/>
      </c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24"/>
      <c r="AH149" s="78"/>
      <c r="AI149" s="25"/>
    </row>
    <row r="150" spans="1:35" x14ac:dyDescent="0.25">
      <c r="A150" s="39"/>
      <c r="B150" s="20" t="str">
        <f t="shared" si="41"/>
        <v>N</v>
      </c>
      <c r="C150" s="20" t="str">
        <f t="shared" si="42"/>
        <v>Y</v>
      </c>
      <c r="D150" s="20" t="str">
        <f t="shared" si="43"/>
        <v>Y</v>
      </c>
      <c r="E150" s="20" t="str">
        <f t="shared" si="44"/>
        <v>Y</v>
      </c>
      <c r="F150" s="20" t="str">
        <f t="shared" si="45"/>
        <v xml:space="preserve">  </v>
      </c>
      <c r="G150" s="56" t="str">
        <f t="shared" si="46"/>
        <v xml:space="preserve">  </v>
      </c>
      <c r="H150" s="54"/>
      <c r="I150" s="41"/>
      <c r="J150" s="41"/>
      <c r="K150" s="41"/>
      <c r="L150" s="41"/>
      <c r="M150" s="41"/>
      <c r="N150" s="41"/>
      <c r="O150" s="41"/>
      <c r="P150" s="41"/>
      <c r="Q150" s="41"/>
      <c r="R150" s="43">
        <f t="shared" si="47"/>
        <v>0</v>
      </c>
      <c r="S150" s="38">
        <f t="shared" si="48"/>
        <v>0</v>
      </c>
      <c r="T150" s="41"/>
      <c r="U150" s="41"/>
      <c r="V150" s="60" t="str">
        <f t="shared" si="116"/>
        <v/>
      </c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24"/>
      <c r="AH150" s="78"/>
      <c r="AI150" s="25"/>
    </row>
    <row r="151" spans="1:35" x14ac:dyDescent="0.25">
      <c r="A151" s="39"/>
      <c r="B151" s="20" t="str">
        <f t="shared" si="41"/>
        <v>N</v>
      </c>
      <c r="C151" s="20" t="str">
        <f t="shared" si="42"/>
        <v>Y</v>
      </c>
      <c r="D151" s="20" t="str">
        <f t="shared" si="43"/>
        <v>Y</v>
      </c>
      <c r="E151" s="20" t="str">
        <f t="shared" si="44"/>
        <v>Y</v>
      </c>
      <c r="F151" s="20" t="str">
        <f t="shared" si="45"/>
        <v xml:space="preserve">  </v>
      </c>
      <c r="G151" s="56" t="str">
        <f t="shared" si="46"/>
        <v xml:space="preserve">  </v>
      </c>
      <c r="H151" s="54"/>
      <c r="I151" s="41"/>
      <c r="J151" s="41"/>
      <c r="K151" s="41"/>
      <c r="L151" s="41"/>
      <c r="M151" s="41"/>
      <c r="N151" s="41"/>
      <c r="O151" s="41"/>
      <c r="P151" s="41"/>
      <c r="Q151" s="41"/>
      <c r="R151" s="43">
        <f t="shared" si="47"/>
        <v>0</v>
      </c>
      <c r="S151" s="38">
        <f t="shared" si="48"/>
        <v>0</v>
      </c>
      <c r="T151" s="41"/>
      <c r="U151" s="41"/>
      <c r="V151" s="60" t="str">
        <f t="shared" si="116"/>
        <v/>
      </c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24"/>
      <c r="AH151" s="78"/>
      <c r="AI151" s="25"/>
    </row>
    <row r="152" spans="1:35" x14ac:dyDescent="0.25">
      <c r="A152" s="39"/>
      <c r="B152" s="20" t="str">
        <f t="shared" si="41"/>
        <v>N</v>
      </c>
      <c r="C152" s="20" t="str">
        <f t="shared" si="42"/>
        <v>Y</v>
      </c>
      <c r="D152" s="20" t="str">
        <f t="shared" si="43"/>
        <v>Y</v>
      </c>
      <c r="E152" s="20" t="str">
        <f t="shared" si="44"/>
        <v>Y</v>
      </c>
      <c r="F152" s="20" t="str">
        <f t="shared" si="45"/>
        <v xml:space="preserve">  </v>
      </c>
      <c r="G152" s="56" t="str">
        <f t="shared" si="46"/>
        <v xml:space="preserve">  </v>
      </c>
      <c r="H152" s="54"/>
      <c r="I152" s="41"/>
      <c r="J152" s="41"/>
      <c r="K152" s="41"/>
      <c r="L152" s="41"/>
      <c r="M152" s="41"/>
      <c r="N152" s="41"/>
      <c r="O152" s="41"/>
      <c r="P152" s="41"/>
      <c r="Q152" s="41"/>
      <c r="R152" s="43">
        <f t="shared" si="47"/>
        <v>0</v>
      </c>
      <c r="S152" s="38">
        <f t="shared" si="48"/>
        <v>0</v>
      </c>
      <c r="T152" s="41"/>
      <c r="U152" s="41"/>
      <c r="V152" s="60" t="str">
        <f t="shared" si="116"/>
        <v/>
      </c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24"/>
      <c r="AH152" s="78"/>
      <c r="AI152" s="25"/>
    </row>
    <row r="153" spans="1:35" x14ac:dyDescent="0.25">
      <c r="A153" s="39"/>
      <c r="B153" s="20" t="str">
        <f t="shared" si="41"/>
        <v>N</v>
      </c>
      <c r="C153" s="20" t="str">
        <f t="shared" si="42"/>
        <v>Y</v>
      </c>
      <c r="D153" s="20" t="str">
        <f t="shared" si="43"/>
        <v>Y</v>
      </c>
      <c r="E153" s="20" t="str">
        <f t="shared" si="44"/>
        <v>Y</v>
      </c>
      <c r="F153" s="20" t="str">
        <f t="shared" si="45"/>
        <v xml:space="preserve">  </v>
      </c>
      <c r="G153" s="56" t="str">
        <f t="shared" si="46"/>
        <v xml:space="preserve">  </v>
      </c>
      <c r="H153" s="54"/>
      <c r="I153" s="41"/>
      <c r="J153" s="41"/>
      <c r="K153" s="41"/>
      <c r="L153" s="41"/>
      <c r="M153" s="41"/>
      <c r="N153" s="41"/>
      <c r="O153" s="41"/>
      <c r="P153" s="41"/>
      <c r="Q153" s="41"/>
      <c r="R153" s="43">
        <f t="shared" si="47"/>
        <v>0</v>
      </c>
      <c r="S153" s="38">
        <f t="shared" si="48"/>
        <v>0</v>
      </c>
      <c r="T153" s="41"/>
      <c r="U153" s="41"/>
      <c r="V153" s="60" t="str">
        <f t="shared" si="116"/>
        <v/>
      </c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24"/>
      <c r="AH153" s="78"/>
      <c r="AI153" s="25"/>
    </row>
    <row r="154" spans="1:35" x14ac:dyDescent="0.25">
      <c r="A154" s="39"/>
      <c r="B154" s="20" t="str">
        <f t="shared" ref="B154:B155" si="117">IF(H154&gt;0,"Y","N")</f>
        <v>N</v>
      </c>
      <c r="C154" s="20" t="str">
        <f t="shared" ref="C154:C155" si="118">IF(I154&gt;0,IF(J154&gt;0,"Y","N"),"Y")</f>
        <v>Y</v>
      </c>
      <c r="D154" s="20" t="str">
        <f t="shared" ref="D154:D155" si="119">IF(K154&gt;0,IF(L154&gt;0,"Y","N"),"Y")</f>
        <v>Y</v>
      </c>
      <c r="E154" s="20" t="str">
        <f t="shared" ref="E154:E155" si="120">IF(M154&gt;0,IF(N154&gt;0,"Y","N"),"Y")</f>
        <v>Y</v>
      </c>
      <c r="F154" s="20" t="str">
        <f t="shared" ref="F154:F155" si="121">IF(N154&gt;0,3,IF(L154&gt;0,2,IF(J154&gt;0,1,IF(H154&gt;0,0,"  "))))</f>
        <v xml:space="preserve">  </v>
      </c>
      <c r="G154" s="56" t="str">
        <f t="shared" ref="G154:G155" si="122">IF(U154=0,"  ","y")</f>
        <v xml:space="preserve">  </v>
      </c>
      <c r="H154" s="54"/>
      <c r="I154" s="41"/>
      <c r="J154" s="41"/>
      <c r="K154" s="41"/>
      <c r="L154" s="41"/>
      <c r="M154" s="41"/>
      <c r="N154" s="41"/>
      <c r="O154" s="41"/>
      <c r="P154" s="41"/>
      <c r="Q154" s="41"/>
      <c r="R154" s="43">
        <f t="shared" ref="R154:R155" si="123">IF(N154&gt;0,4,IF(L154&gt;0,3,IF(J154&gt;0,2,IF(H154&gt;0,1,0))))</f>
        <v>0</v>
      </c>
      <c r="S154" s="38">
        <f t="shared" ref="S154:S155" si="124">U154</f>
        <v>0</v>
      </c>
      <c r="T154" s="41"/>
      <c r="U154" s="41"/>
      <c r="V154" s="60" t="str">
        <f t="shared" si="116"/>
        <v/>
      </c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24"/>
      <c r="AH154" s="78"/>
      <c r="AI154" s="25"/>
    </row>
    <row r="155" spans="1:35" x14ac:dyDescent="0.25">
      <c r="A155" s="39"/>
      <c r="B155" s="20" t="str">
        <f t="shared" si="117"/>
        <v>N</v>
      </c>
      <c r="C155" s="20" t="str">
        <f t="shared" si="118"/>
        <v>Y</v>
      </c>
      <c r="D155" s="20" t="str">
        <f t="shared" si="119"/>
        <v>Y</v>
      </c>
      <c r="E155" s="20" t="str">
        <f t="shared" si="120"/>
        <v>Y</v>
      </c>
      <c r="F155" s="20" t="str">
        <f t="shared" si="121"/>
        <v xml:space="preserve">  </v>
      </c>
      <c r="G155" s="56" t="str">
        <f t="shared" si="122"/>
        <v xml:space="preserve">  </v>
      </c>
      <c r="H155" s="54"/>
      <c r="I155" s="41"/>
      <c r="J155" s="41"/>
      <c r="K155" s="41"/>
      <c r="L155" s="41"/>
      <c r="M155" s="41"/>
      <c r="N155" s="41"/>
      <c r="O155" s="41"/>
      <c r="P155" s="41"/>
      <c r="Q155" s="41"/>
      <c r="R155" s="43">
        <f t="shared" si="123"/>
        <v>0</v>
      </c>
      <c r="S155" s="38">
        <f t="shared" si="124"/>
        <v>0</v>
      </c>
      <c r="T155" s="41"/>
      <c r="U155" s="41"/>
      <c r="V155" s="60" t="str">
        <f t="shared" si="116"/>
        <v/>
      </c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24"/>
      <c r="AH155" s="78"/>
      <c r="AI155" s="25"/>
    </row>
    <row r="156" spans="1:35" x14ac:dyDescent="0.25">
      <c r="A156" s="39"/>
      <c r="B156" s="20" t="str">
        <f t="shared" ref="B156:B157" si="125">IF(H156&gt;0,"Y","N")</f>
        <v>N</v>
      </c>
      <c r="C156" s="20" t="str">
        <f t="shared" ref="C156:C157" si="126">IF(I156&gt;0,IF(J156&gt;0,"Y","N"),"Y")</f>
        <v>Y</v>
      </c>
      <c r="D156" s="20" t="str">
        <f t="shared" ref="D156:D157" si="127">IF(K156&gt;0,IF(L156&gt;0,"Y","N"),"Y")</f>
        <v>Y</v>
      </c>
      <c r="E156" s="20" t="str">
        <f t="shared" ref="E156:E157" si="128">IF(M156&gt;0,IF(N156&gt;0,"Y","N"),"Y")</f>
        <v>Y</v>
      </c>
      <c r="F156" s="20" t="str">
        <f t="shared" ref="F156:F157" si="129">IF(N156&gt;0,3,IF(L156&gt;0,2,IF(J156&gt;0,1,IF(H156&gt;0,0,"  "))))</f>
        <v xml:space="preserve">  </v>
      </c>
      <c r="G156" s="56" t="str">
        <f t="shared" ref="G156:G157" si="130">IF(U156=0,"  ","y")</f>
        <v xml:space="preserve">  </v>
      </c>
      <c r="H156" s="54"/>
      <c r="I156" s="41"/>
      <c r="J156" s="41"/>
      <c r="K156" s="41"/>
      <c r="L156" s="41"/>
      <c r="M156" s="41"/>
      <c r="N156" s="41"/>
      <c r="O156" s="41"/>
      <c r="P156" s="41"/>
      <c r="Q156" s="41"/>
      <c r="R156" s="43">
        <f t="shared" ref="R156:R157" si="131">IF(N156&gt;0,4,IF(L156&gt;0,3,IF(J156&gt;0,2,IF(H156&gt;0,1,0))))</f>
        <v>0</v>
      </c>
      <c r="S156" s="38">
        <f t="shared" ref="S156:S157" si="132">U156</f>
        <v>0</v>
      </c>
      <c r="T156" s="41"/>
      <c r="U156" s="41"/>
      <c r="V156" s="60" t="str">
        <f t="shared" si="116"/>
        <v/>
      </c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24"/>
      <c r="AH156" s="78"/>
      <c r="AI156" s="25"/>
    </row>
    <row r="157" spans="1:35" x14ac:dyDescent="0.25">
      <c r="A157" s="39"/>
      <c r="B157" s="20" t="str">
        <f t="shared" si="125"/>
        <v>N</v>
      </c>
      <c r="C157" s="20" t="str">
        <f t="shared" si="126"/>
        <v>Y</v>
      </c>
      <c r="D157" s="20" t="str">
        <f t="shared" si="127"/>
        <v>Y</v>
      </c>
      <c r="E157" s="20" t="str">
        <f t="shared" si="128"/>
        <v>Y</v>
      </c>
      <c r="F157" s="20" t="str">
        <f t="shared" si="129"/>
        <v xml:space="preserve">  </v>
      </c>
      <c r="G157" s="56" t="str">
        <f t="shared" si="130"/>
        <v xml:space="preserve">  </v>
      </c>
      <c r="H157" s="54"/>
      <c r="I157" s="41"/>
      <c r="J157" s="41"/>
      <c r="K157" s="41"/>
      <c r="L157" s="41"/>
      <c r="M157" s="41"/>
      <c r="N157" s="41"/>
      <c r="O157" s="41"/>
      <c r="P157" s="41"/>
      <c r="Q157" s="41"/>
      <c r="R157" s="43">
        <f t="shared" si="131"/>
        <v>0</v>
      </c>
      <c r="S157" s="38">
        <f t="shared" si="132"/>
        <v>0</v>
      </c>
      <c r="T157" s="41"/>
      <c r="U157" s="41"/>
      <c r="V157" s="60" t="str">
        <f t="shared" si="116"/>
        <v/>
      </c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24"/>
      <c r="AH157" s="78"/>
      <c r="AI157" s="25"/>
    </row>
    <row r="158" spans="1:35" x14ac:dyDescent="0.25"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5" x14ac:dyDescent="0.25"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5" x14ac:dyDescent="0.25"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8:33" x14ac:dyDescent="0.25"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8:33" x14ac:dyDescent="0.25"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8:33" x14ac:dyDescent="0.25"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8:33" x14ac:dyDescent="0.25"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8:33" x14ac:dyDescent="0.25"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8:33" x14ac:dyDescent="0.25"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8:33" x14ac:dyDescent="0.25"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8:33" x14ac:dyDescent="0.25"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8:33" x14ac:dyDescent="0.25"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8:33" x14ac:dyDescent="0.25"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8:33" x14ac:dyDescent="0.25"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8:33" x14ac:dyDescent="0.25"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8:33" x14ac:dyDescent="0.25"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8:33" x14ac:dyDescent="0.25"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8:33" x14ac:dyDescent="0.25"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8:33" x14ac:dyDescent="0.25"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8:33" x14ac:dyDescent="0.25"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8:33" x14ac:dyDescent="0.25"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8:33" x14ac:dyDescent="0.25"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8:33" x14ac:dyDescent="0.25"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8:33" x14ac:dyDescent="0.25"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8:33" x14ac:dyDescent="0.25"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8:33" x14ac:dyDescent="0.25"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8:33" x14ac:dyDescent="0.25"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8:33" x14ac:dyDescent="0.25"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8:33" x14ac:dyDescent="0.25"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8:33" x14ac:dyDescent="0.25"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8:33" x14ac:dyDescent="0.25"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8:33" x14ac:dyDescent="0.25"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8:33" x14ac:dyDescent="0.25"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8:33" x14ac:dyDescent="0.25"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8:33" x14ac:dyDescent="0.25"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8:33" x14ac:dyDescent="0.25"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8:33" x14ac:dyDescent="0.25"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8:33" x14ac:dyDescent="0.25"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8:33" x14ac:dyDescent="0.25"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8:33" x14ac:dyDescent="0.25"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8:33" x14ac:dyDescent="0.25"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8:33" x14ac:dyDescent="0.25"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8:33" x14ac:dyDescent="0.25"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8:33" x14ac:dyDescent="0.25"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8:33" x14ac:dyDescent="0.25"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8:33" x14ac:dyDescent="0.25"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8:33" x14ac:dyDescent="0.25"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8:33" x14ac:dyDescent="0.25"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8:33" x14ac:dyDescent="0.25"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8:33" x14ac:dyDescent="0.25"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8:33" x14ac:dyDescent="0.25"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8:33" x14ac:dyDescent="0.25"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8:33" x14ac:dyDescent="0.25"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8:33" x14ac:dyDescent="0.25"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8:33" x14ac:dyDescent="0.25"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8:33" x14ac:dyDescent="0.25"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8:33" x14ac:dyDescent="0.25"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8:33" x14ac:dyDescent="0.25"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8:33" x14ac:dyDescent="0.25"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8:33" x14ac:dyDescent="0.25"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8:33" x14ac:dyDescent="0.25"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8:33" x14ac:dyDescent="0.25"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8:33" x14ac:dyDescent="0.25"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8:33" x14ac:dyDescent="0.25"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8:33" x14ac:dyDescent="0.25"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8:33" x14ac:dyDescent="0.25"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8:33" x14ac:dyDescent="0.25"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8:33" x14ac:dyDescent="0.25"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8:33" x14ac:dyDescent="0.25"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8:33" x14ac:dyDescent="0.25"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8:33" x14ac:dyDescent="0.25"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8:33" x14ac:dyDescent="0.25"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8:33" x14ac:dyDescent="0.25"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8:33" x14ac:dyDescent="0.25"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8:33" x14ac:dyDescent="0.25"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8:33" x14ac:dyDescent="0.25"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8:33" x14ac:dyDescent="0.25"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8:33" x14ac:dyDescent="0.25"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8:33" x14ac:dyDescent="0.25"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8:33" x14ac:dyDescent="0.25"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8:33" x14ac:dyDescent="0.25"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8:33" x14ac:dyDescent="0.25"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8:33" x14ac:dyDescent="0.25"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8:33" x14ac:dyDescent="0.25"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8:33" x14ac:dyDescent="0.25"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8:33" x14ac:dyDescent="0.25"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8:33" x14ac:dyDescent="0.25"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8:33" x14ac:dyDescent="0.25"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8:33" x14ac:dyDescent="0.25"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8:33" x14ac:dyDescent="0.25"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8:33" x14ac:dyDescent="0.25"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8:33" x14ac:dyDescent="0.25"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8:33" x14ac:dyDescent="0.25"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8:33" x14ac:dyDescent="0.25"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8:33" x14ac:dyDescent="0.25"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8:33" x14ac:dyDescent="0.25"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8:33" x14ac:dyDescent="0.25"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8:33" x14ac:dyDescent="0.25"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8:33" x14ac:dyDescent="0.25"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8:33" x14ac:dyDescent="0.25"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8:33" x14ac:dyDescent="0.25"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8:33" x14ac:dyDescent="0.25"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8:33" x14ac:dyDescent="0.25"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8:33" x14ac:dyDescent="0.25"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8:33" x14ac:dyDescent="0.25"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8:33" x14ac:dyDescent="0.25"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8:33" x14ac:dyDescent="0.25"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8:33" x14ac:dyDescent="0.25"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8:33" x14ac:dyDescent="0.25"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8:33" x14ac:dyDescent="0.25"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8:33" x14ac:dyDescent="0.25"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8:33" x14ac:dyDescent="0.25"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8:33" x14ac:dyDescent="0.25"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8:33" x14ac:dyDescent="0.25"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8:33" x14ac:dyDescent="0.25"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8:33" x14ac:dyDescent="0.25"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8:33" x14ac:dyDescent="0.25"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8:33" x14ac:dyDescent="0.25"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8:33" x14ac:dyDescent="0.25"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8:33" x14ac:dyDescent="0.25"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8:33" x14ac:dyDescent="0.25"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8:33" x14ac:dyDescent="0.25"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8:33" x14ac:dyDescent="0.25"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8:33" x14ac:dyDescent="0.25"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8:33" x14ac:dyDescent="0.25"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8:33" x14ac:dyDescent="0.25"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8:33" x14ac:dyDescent="0.25"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8:33" x14ac:dyDescent="0.25"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8:33" x14ac:dyDescent="0.25"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8:33" x14ac:dyDescent="0.25"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8:33" x14ac:dyDescent="0.25"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8:33" x14ac:dyDescent="0.25"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8:33" x14ac:dyDescent="0.25"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8:33" x14ac:dyDescent="0.25"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8:33" x14ac:dyDescent="0.25"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8:33" x14ac:dyDescent="0.25"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8:33" x14ac:dyDescent="0.25"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8:33" x14ac:dyDescent="0.25"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8:33" x14ac:dyDescent="0.25"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8:33" x14ac:dyDescent="0.25"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8:33" x14ac:dyDescent="0.25"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8:33" x14ac:dyDescent="0.25"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8:33" x14ac:dyDescent="0.25"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8:33" x14ac:dyDescent="0.25"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8:33" x14ac:dyDescent="0.25"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8:33" x14ac:dyDescent="0.25"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8:33" x14ac:dyDescent="0.25"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8:33" x14ac:dyDescent="0.25"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8:33" x14ac:dyDescent="0.25"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8:33" x14ac:dyDescent="0.25"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8:33" x14ac:dyDescent="0.25"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8:33" x14ac:dyDescent="0.25"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8:33" x14ac:dyDescent="0.25"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8:33" x14ac:dyDescent="0.25"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8:33" x14ac:dyDescent="0.25"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8:33" x14ac:dyDescent="0.25"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8:33" x14ac:dyDescent="0.25"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8:33" x14ac:dyDescent="0.25"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8:33" x14ac:dyDescent="0.25"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8:33" x14ac:dyDescent="0.25"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8:33" x14ac:dyDescent="0.25"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8:33" x14ac:dyDescent="0.25"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8:33" x14ac:dyDescent="0.25"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8:33" x14ac:dyDescent="0.25"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8:33" x14ac:dyDescent="0.25"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8:33" x14ac:dyDescent="0.25"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8:33" x14ac:dyDescent="0.25"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8:33" x14ac:dyDescent="0.25"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8:33" x14ac:dyDescent="0.25"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8:33" x14ac:dyDescent="0.25"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8:33" x14ac:dyDescent="0.25"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8:33" x14ac:dyDescent="0.25"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8:33" x14ac:dyDescent="0.25"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8:33" x14ac:dyDescent="0.25"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8:33" x14ac:dyDescent="0.25"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8:33" x14ac:dyDescent="0.25"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8:33" x14ac:dyDescent="0.25"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8:33" x14ac:dyDescent="0.25"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8:33" x14ac:dyDescent="0.25"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8:33" x14ac:dyDescent="0.25"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8:33" x14ac:dyDescent="0.25"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8:33" x14ac:dyDescent="0.25"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8:33" x14ac:dyDescent="0.25"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8:33" x14ac:dyDescent="0.25"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8:33" x14ac:dyDescent="0.25"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8:33" x14ac:dyDescent="0.25"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8:33" x14ac:dyDescent="0.25"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8:33" x14ac:dyDescent="0.25"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8:33" x14ac:dyDescent="0.25"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8:33" x14ac:dyDescent="0.25"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8:33" x14ac:dyDescent="0.25"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8:33" x14ac:dyDescent="0.25"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8:33" x14ac:dyDescent="0.25"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8:33" x14ac:dyDescent="0.25"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8:33" x14ac:dyDescent="0.25"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8:33" x14ac:dyDescent="0.25"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8:33" x14ac:dyDescent="0.25"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8:33" x14ac:dyDescent="0.25"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8:33" x14ac:dyDescent="0.25"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8:33" x14ac:dyDescent="0.25"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8:33" x14ac:dyDescent="0.25"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8:33" x14ac:dyDescent="0.25"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8:33" x14ac:dyDescent="0.25"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8:33" x14ac:dyDescent="0.25"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8:33" x14ac:dyDescent="0.25"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8:33" x14ac:dyDescent="0.25"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8:33" x14ac:dyDescent="0.25"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8:33" x14ac:dyDescent="0.25"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8:33" x14ac:dyDescent="0.25"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8:33" x14ac:dyDescent="0.25"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8:33" x14ac:dyDescent="0.25"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8:33" x14ac:dyDescent="0.25"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8:33" x14ac:dyDescent="0.25"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8:33" x14ac:dyDescent="0.25"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8:33" x14ac:dyDescent="0.25"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8:33" x14ac:dyDescent="0.25"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8:33" x14ac:dyDescent="0.25"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8:33" x14ac:dyDescent="0.25"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8:33" x14ac:dyDescent="0.25"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8:33" x14ac:dyDescent="0.25"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8:33" x14ac:dyDescent="0.25"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8:33" x14ac:dyDescent="0.25"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8:33" x14ac:dyDescent="0.25"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8:33" x14ac:dyDescent="0.25"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8:33" x14ac:dyDescent="0.25"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8:33" x14ac:dyDescent="0.25"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8:33" x14ac:dyDescent="0.25"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8:33" x14ac:dyDescent="0.25"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8:33" x14ac:dyDescent="0.25"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8:33" x14ac:dyDescent="0.25"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8:33" x14ac:dyDescent="0.25"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8:33" x14ac:dyDescent="0.25"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8:33" x14ac:dyDescent="0.25"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8:33" x14ac:dyDescent="0.25"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8:33" x14ac:dyDescent="0.25"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8:33" x14ac:dyDescent="0.25"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8:33" x14ac:dyDescent="0.25"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8:33" x14ac:dyDescent="0.25"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8:33" x14ac:dyDescent="0.25"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8:33" x14ac:dyDescent="0.25"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8:33" x14ac:dyDescent="0.25"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8:33" x14ac:dyDescent="0.25"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8:33" x14ac:dyDescent="0.25"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8:33" x14ac:dyDescent="0.25"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8:33" x14ac:dyDescent="0.25"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8:33" x14ac:dyDescent="0.25"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8:33" x14ac:dyDescent="0.25"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8:33" x14ac:dyDescent="0.25"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8:33" x14ac:dyDescent="0.25"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8:33" x14ac:dyDescent="0.25"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8:33" x14ac:dyDescent="0.25"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8:33" x14ac:dyDescent="0.25"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8:33" x14ac:dyDescent="0.25"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8:33" x14ac:dyDescent="0.25"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8:33" x14ac:dyDescent="0.25"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8:33" x14ac:dyDescent="0.25"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8:33" x14ac:dyDescent="0.25"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8:33" x14ac:dyDescent="0.25"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8:33" x14ac:dyDescent="0.25"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8:33" x14ac:dyDescent="0.25"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8:33" x14ac:dyDescent="0.25"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8:33" x14ac:dyDescent="0.25"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8:33" x14ac:dyDescent="0.25"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8:33" x14ac:dyDescent="0.25"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8:33" x14ac:dyDescent="0.25"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8:33" x14ac:dyDescent="0.25"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8:33" x14ac:dyDescent="0.25"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8:33" x14ac:dyDescent="0.25"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8:33" x14ac:dyDescent="0.25"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8:33" x14ac:dyDescent="0.25"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8:33" x14ac:dyDescent="0.25"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8:33" x14ac:dyDescent="0.25"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8:33" x14ac:dyDescent="0.25"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8:33" x14ac:dyDescent="0.25"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8:33" x14ac:dyDescent="0.25"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8:33" x14ac:dyDescent="0.25"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8:33" x14ac:dyDescent="0.25"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8:33" x14ac:dyDescent="0.25"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8:33" x14ac:dyDescent="0.25"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8:33" x14ac:dyDescent="0.25"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8:33" x14ac:dyDescent="0.25"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8:33" x14ac:dyDescent="0.25"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8:33" x14ac:dyDescent="0.25"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8:33" x14ac:dyDescent="0.25"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8:33" x14ac:dyDescent="0.25"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8:33" x14ac:dyDescent="0.25"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8:33" x14ac:dyDescent="0.25"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8:33" x14ac:dyDescent="0.25"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8:33" x14ac:dyDescent="0.25"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8:33" x14ac:dyDescent="0.25"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8:33" x14ac:dyDescent="0.25"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8:33" x14ac:dyDescent="0.25"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8:33" x14ac:dyDescent="0.25"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8:33" x14ac:dyDescent="0.25"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8:33" x14ac:dyDescent="0.25"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8:33" x14ac:dyDescent="0.25"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8:33" x14ac:dyDescent="0.25"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8:33" x14ac:dyDescent="0.25"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8:33" x14ac:dyDescent="0.25"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8:33" x14ac:dyDescent="0.25"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8:33" x14ac:dyDescent="0.25"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8:33" x14ac:dyDescent="0.25"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8:33" x14ac:dyDescent="0.25"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8:33" x14ac:dyDescent="0.25"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8:33" x14ac:dyDescent="0.25"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8:33" x14ac:dyDescent="0.25"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8:33" x14ac:dyDescent="0.25"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8:33" x14ac:dyDescent="0.25"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8:33" x14ac:dyDescent="0.25"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8:33" x14ac:dyDescent="0.25"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8:33" x14ac:dyDescent="0.25"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8:33" x14ac:dyDescent="0.25"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8:33" x14ac:dyDescent="0.25"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8:33" x14ac:dyDescent="0.25"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8:33" x14ac:dyDescent="0.25"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8:33" x14ac:dyDescent="0.25"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8:33" x14ac:dyDescent="0.25"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8:33" x14ac:dyDescent="0.25"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8:33" x14ac:dyDescent="0.25"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8:33" x14ac:dyDescent="0.25"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8:33" x14ac:dyDescent="0.25"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8:33" x14ac:dyDescent="0.25"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8:33" x14ac:dyDescent="0.25"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8:33" x14ac:dyDescent="0.25"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8:33" x14ac:dyDescent="0.25"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8:33" x14ac:dyDescent="0.25"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8:33" x14ac:dyDescent="0.25"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8:33" x14ac:dyDescent="0.25"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8:33" x14ac:dyDescent="0.25"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8:33" x14ac:dyDescent="0.25"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8:33" x14ac:dyDescent="0.25"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8:33" x14ac:dyDescent="0.25"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8:33" x14ac:dyDescent="0.25"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8:33" x14ac:dyDescent="0.25"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8:33" x14ac:dyDescent="0.25"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8:33" x14ac:dyDescent="0.25"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8:33" x14ac:dyDescent="0.25"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8:33" x14ac:dyDescent="0.25"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8:33" x14ac:dyDescent="0.25"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8:33" x14ac:dyDescent="0.25"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8:33" x14ac:dyDescent="0.25"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8:33" x14ac:dyDescent="0.25"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8:33" x14ac:dyDescent="0.25"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8:33" x14ac:dyDescent="0.25"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8:33" x14ac:dyDescent="0.25"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8:33" x14ac:dyDescent="0.25"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8:33" x14ac:dyDescent="0.25"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8:33" x14ac:dyDescent="0.25"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8:33" x14ac:dyDescent="0.25"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8:33" x14ac:dyDescent="0.25"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8:33" x14ac:dyDescent="0.25"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8:33" x14ac:dyDescent="0.25"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8:33" x14ac:dyDescent="0.25"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8:33" x14ac:dyDescent="0.25"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8:33" x14ac:dyDescent="0.25"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8:33" x14ac:dyDescent="0.25"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8:33" x14ac:dyDescent="0.25"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8:33" x14ac:dyDescent="0.25"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8:33" x14ac:dyDescent="0.25"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8:33" x14ac:dyDescent="0.25"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8:33" x14ac:dyDescent="0.25"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8:33" x14ac:dyDescent="0.25"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8:33" x14ac:dyDescent="0.25"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8:33" x14ac:dyDescent="0.25"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8:33" x14ac:dyDescent="0.25"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8:33" x14ac:dyDescent="0.25"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8:33" x14ac:dyDescent="0.25"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8:33" x14ac:dyDescent="0.25"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8:33" x14ac:dyDescent="0.25"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8:33" x14ac:dyDescent="0.25"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8:33" x14ac:dyDescent="0.25"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8:33" x14ac:dyDescent="0.25"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8:33" x14ac:dyDescent="0.25"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8:33" x14ac:dyDescent="0.25"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8:33" x14ac:dyDescent="0.25"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8:33" x14ac:dyDescent="0.25"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8:33" x14ac:dyDescent="0.25"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8:33" x14ac:dyDescent="0.25"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8:33" x14ac:dyDescent="0.25"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8:33" x14ac:dyDescent="0.25"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8:33" x14ac:dyDescent="0.25"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8:33" x14ac:dyDescent="0.25"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8:33" x14ac:dyDescent="0.25"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8:33" x14ac:dyDescent="0.25"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8:33" x14ac:dyDescent="0.25"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8:33" x14ac:dyDescent="0.25"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8:33" x14ac:dyDescent="0.25"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8:33" x14ac:dyDescent="0.25"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8:33" x14ac:dyDescent="0.25"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8:33" x14ac:dyDescent="0.25"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8:33" x14ac:dyDescent="0.25"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8:33" x14ac:dyDescent="0.25"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8:33" x14ac:dyDescent="0.25"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8:33" x14ac:dyDescent="0.25"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8:33" x14ac:dyDescent="0.25"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8:33" x14ac:dyDescent="0.25"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8:33" x14ac:dyDescent="0.25"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8:33" x14ac:dyDescent="0.25"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8:33" x14ac:dyDescent="0.25"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8:33" x14ac:dyDescent="0.25"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8:33" x14ac:dyDescent="0.25"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8:33" x14ac:dyDescent="0.25"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8:33" x14ac:dyDescent="0.25"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8:33" x14ac:dyDescent="0.25"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8:33" x14ac:dyDescent="0.25"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8:33" x14ac:dyDescent="0.25"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8:33" x14ac:dyDescent="0.25"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8:33" x14ac:dyDescent="0.25"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8:33" x14ac:dyDescent="0.25"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8:33" x14ac:dyDescent="0.25"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8:33" x14ac:dyDescent="0.25"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8:33" x14ac:dyDescent="0.25"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8:33" x14ac:dyDescent="0.25"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8:33" x14ac:dyDescent="0.25"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8:33" x14ac:dyDescent="0.25"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8:33" x14ac:dyDescent="0.25"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8:33" x14ac:dyDescent="0.25"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8:33" x14ac:dyDescent="0.25"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8:33" x14ac:dyDescent="0.25"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8:33" x14ac:dyDescent="0.25"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8:33" x14ac:dyDescent="0.25"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8:33" x14ac:dyDescent="0.25"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8:33" x14ac:dyDescent="0.25"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8:33" x14ac:dyDescent="0.25"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8:33" x14ac:dyDescent="0.25"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8:33" x14ac:dyDescent="0.25"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8:33" x14ac:dyDescent="0.25"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8:33" x14ac:dyDescent="0.25"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8:33" x14ac:dyDescent="0.25"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8:33" x14ac:dyDescent="0.25"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8:33" x14ac:dyDescent="0.25"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8:33" x14ac:dyDescent="0.25"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8:33" x14ac:dyDescent="0.25"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8:33" x14ac:dyDescent="0.25"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8:33" x14ac:dyDescent="0.25"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8:33" x14ac:dyDescent="0.25"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8:33" x14ac:dyDescent="0.25"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8:33" x14ac:dyDescent="0.25"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8:33" x14ac:dyDescent="0.25"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8:33" x14ac:dyDescent="0.25"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8:33" x14ac:dyDescent="0.25"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8:33" x14ac:dyDescent="0.25"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8:33" x14ac:dyDescent="0.25"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8:33" x14ac:dyDescent="0.25"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8:33" x14ac:dyDescent="0.25"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8:33" x14ac:dyDescent="0.25"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8:33" x14ac:dyDescent="0.25"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8:33" x14ac:dyDescent="0.25"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8:33" x14ac:dyDescent="0.25"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8:33" x14ac:dyDescent="0.25"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8:33" x14ac:dyDescent="0.25"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8:33" x14ac:dyDescent="0.25"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8:33" x14ac:dyDescent="0.25"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8:33" x14ac:dyDescent="0.25"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8:33" x14ac:dyDescent="0.25"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8:33" x14ac:dyDescent="0.25"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8:33" x14ac:dyDescent="0.25"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8:33" x14ac:dyDescent="0.25"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8:33" x14ac:dyDescent="0.25"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8:33" x14ac:dyDescent="0.25"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8:33" x14ac:dyDescent="0.25"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8:33" x14ac:dyDescent="0.25"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8:33" x14ac:dyDescent="0.25"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8:33" x14ac:dyDescent="0.25"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8:33" x14ac:dyDescent="0.25"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8:33" x14ac:dyDescent="0.25"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8:33" x14ac:dyDescent="0.25"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8:33" x14ac:dyDescent="0.25"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8:33" x14ac:dyDescent="0.25"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8:33" x14ac:dyDescent="0.25"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8:33" x14ac:dyDescent="0.25"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8:33" x14ac:dyDescent="0.25"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8:33" x14ac:dyDescent="0.25"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8:33" x14ac:dyDescent="0.25"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8:33" x14ac:dyDescent="0.25"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8:33" x14ac:dyDescent="0.25"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8:33" x14ac:dyDescent="0.25"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8:33" x14ac:dyDescent="0.25"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8:33" x14ac:dyDescent="0.25"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8:33" x14ac:dyDescent="0.25"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8:33" x14ac:dyDescent="0.25"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8:33" x14ac:dyDescent="0.25"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8:33" x14ac:dyDescent="0.25"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8:33" x14ac:dyDescent="0.25"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8:33" x14ac:dyDescent="0.25"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8:33" x14ac:dyDescent="0.25"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8:33" x14ac:dyDescent="0.25"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8:33" x14ac:dyDescent="0.25"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8:33" x14ac:dyDescent="0.25"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8:33" x14ac:dyDescent="0.25"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8:33" x14ac:dyDescent="0.25"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8:33" x14ac:dyDescent="0.25"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8:33" x14ac:dyDescent="0.25"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8:33" x14ac:dyDescent="0.25"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8:33" x14ac:dyDescent="0.25"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8:33" x14ac:dyDescent="0.25"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8:33" x14ac:dyDescent="0.25"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8:33" x14ac:dyDescent="0.25"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8:33" x14ac:dyDescent="0.25"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8:33" x14ac:dyDescent="0.25"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8:33" x14ac:dyDescent="0.25"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8:33" x14ac:dyDescent="0.25"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8:33" x14ac:dyDescent="0.25"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8:33" x14ac:dyDescent="0.25"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8:33" x14ac:dyDescent="0.25"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8:33" x14ac:dyDescent="0.25"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8:33" x14ac:dyDescent="0.25"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8:33" x14ac:dyDescent="0.25"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8:33" x14ac:dyDescent="0.25"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8:33" x14ac:dyDescent="0.25"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8:33" x14ac:dyDescent="0.25"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8:33" x14ac:dyDescent="0.25"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8:33" x14ac:dyDescent="0.25"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8:33" x14ac:dyDescent="0.25"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8:33" x14ac:dyDescent="0.25"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8:33" x14ac:dyDescent="0.25"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8:33" x14ac:dyDescent="0.25"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8:33" x14ac:dyDescent="0.25"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8:33" x14ac:dyDescent="0.25"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8:33" x14ac:dyDescent="0.25"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8:33" x14ac:dyDescent="0.25"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8:33" x14ac:dyDescent="0.25"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8:33" x14ac:dyDescent="0.25"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8:33" x14ac:dyDescent="0.25"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8:33" x14ac:dyDescent="0.25"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8:33" x14ac:dyDescent="0.25"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8:33" x14ac:dyDescent="0.25"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8:33" x14ac:dyDescent="0.25"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8:33" x14ac:dyDescent="0.25"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8:33" x14ac:dyDescent="0.25"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8:33" x14ac:dyDescent="0.25"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8:33" x14ac:dyDescent="0.25"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8:33" x14ac:dyDescent="0.25"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8:33" x14ac:dyDescent="0.25"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8:33" x14ac:dyDescent="0.25"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8:33" x14ac:dyDescent="0.25"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8:33" x14ac:dyDescent="0.25"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8:33" x14ac:dyDescent="0.25"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8:33" x14ac:dyDescent="0.25"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8:33" x14ac:dyDescent="0.25"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8:33" x14ac:dyDescent="0.25"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8:33" x14ac:dyDescent="0.25"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8:33" x14ac:dyDescent="0.25"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8:33" x14ac:dyDescent="0.25"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8:33" x14ac:dyDescent="0.25"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8:33" x14ac:dyDescent="0.25"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8:33" x14ac:dyDescent="0.25"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8:33" x14ac:dyDescent="0.25"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8:33" x14ac:dyDescent="0.25"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8:33" x14ac:dyDescent="0.25"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8:33" x14ac:dyDescent="0.25"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8:33" x14ac:dyDescent="0.25"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8:33" x14ac:dyDescent="0.25"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8:33" x14ac:dyDescent="0.25"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8:33" x14ac:dyDescent="0.25"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8:33" x14ac:dyDescent="0.25"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8:33" x14ac:dyDescent="0.25"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8:33" x14ac:dyDescent="0.25"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8:33" x14ac:dyDescent="0.25"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8:33" x14ac:dyDescent="0.25"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8:33" x14ac:dyDescent="0.25"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8:33" x14ac:dyDescent="0.25"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8:33" x14ac:dyDescent="0.25"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8:33" x14ac:dyDescent="0.25"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8:33" x14ac:dyDescent="0.25"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8:33" x14ac:dyDescent="0.25"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8:33" x14ac:dyDescent="0.25"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8:33" x14ac:dyDescent="0.25"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8:33" x14ac:dyDescent="0.25"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8:33" x14ac:dyDescent="0.25"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8:33" x14ac:dyDescent="0.25"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8:33" x14ac:dyDescent="0.25"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8:33" x14ac:dyDescent="0.25"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8:33" x14ac:dyDescent="0.25"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8:33" x14ac:dyDescent="0.25"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8:33" x14ac:dyDescent="0.25"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8:33" x14ac:dyDescent="0.25"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8:33" x14ac:dyDescent="0.25"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8:33" x14ac:dyDescent="0.25"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8:33" x14ac:dyDescent="0.25"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8:33" x14ac:dyDescent="0.25"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8:33" x14ac:dyDescent="0.25"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8:33" x14ac:dyDescent="0.25"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8:33" x14ac:dyDescent="0.25"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8:33" x14ac:dyDescent="0.25"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8:33" x14ac:dyDescent="0.25"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8:33" x14ac:dyDescent="0.25"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8:33" x14ac:dyDescent="0.25"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8:33" x14ac:dyDescent="0.25"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8:33" x14ac:dyDescent="0.25"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8:33" x14ac:dyDescent="0.25"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8:33" x14ac:dyDescent="0.25"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8:33" x14ac:dyDescent="0.25"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8:33" x14ac:dyDescent="0.25"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</sheetData>
  <mergeCells count="1">
    <mergeCell ref="H1:AF1"/>
  </mergeCells>
  <phoneticPr fontId="16" type="noConversion"/>
  <pageMargins left="0.41" right="0.52" top="0.47" bottom="0.47" header="0.3" footer="0.3"/>
  <pageSetup paperSize="3" scale="82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5DA11-BB8D-4D73-8959-8340B9563104}">
  <dimension ref="A1:AE101"/>
  <sheetViews>
    <sheetView workbookViewId="0">
      <selection activeCell="H10" sqref="H10"/>
    </sheetView>
  </sheetViews>
  <sheetFormatPr defaultRowHeight="15" x14ac:dyDescent="0.25"/>
  <cols>
    <col min="1" max="1" width="19.5703125" bestFit="1" customWidth="1"/>
    <col min="2" max="2" width="28.42578125" customWidth="1"/>
    <col min="3" max="3" width="1.85546875" customWidth="1"/>
    <col min="4" max="4" width="6.28515625" customWidth="1"/>
    <col min="5" max="5" width="3.42578125" customWidth="1"/>
    <col min="6" max="6" width="9.5703125" customWidth="1"/>
    <col min="7" max="7" width="3.42578125" customWidth="1"/>
    <col min="8" max="8" width="6.28515625" customWidth="1"/>
    <col min="9" max="9" width="3.42578125" customWidth="1"/>
    <col min="10" max="10" width="1.85546875" customWidth="1"/>
    <col min="11" max="11" width="6.28515625" customWidth="1"/>
    <col min="12" max="12" width="3.42578125" customWidth="1"/>
    <col min="13" max="13" width="6.28515625" customWidth="1"/>
    <col min="14" max="14" width="3.42578125" customWidth="1"/>
    <col min="15" max="15" width="6.42578125" customWidth="1"/>
    <col min="16" max="16" width="3.42578125" customWidth="1"/>
    <col min="17" max="17" width="6.28515625" customWidth="1"/>
    <col min="18" max="18" width="3.42578125" customWidth="1"/>
    <col min="19" max="19" width="6.28515625" customWidth="1"/>
    <col min="20" max="20" width="3.42578125" customWidth="1"/>
    <col min="21" max="21" width="6.42578125" customWidth="1"/>
    <col min="22" max="22" width="3.42578125" customWidth="1"/>
    <col min="23" max="23" width="6.42578125" customWidth="1"/>
    <col min="24" max="24" width="3.42578125" customWidth="1"/>
    <col min="25" max="25" width="6.42578125" customWidth="1"/>
    <col min="26" max="26" width="3.42578125" customWidth="1"/>
    <col min="27" max="27" width="1.85546875" customWidth="1"/>
    <col min="28" max="28" width="15.7109375" bestFit="1" customWidth="1"/>
    <col min="29" max="29" width="14.42578125" customWidth="1"/>
    <col min="30" max="31" width="8.7109375" customWidth="1"/>
  </cols>
  <sheetData>
    <row r="1" spans="1:31" ht="24" customHeight="1" x14ac:dyDescent="0.25">
      <c r="A1" s="119" t="s">
        <v>233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30"/>
    </row>
    <row r="2" spans="1:31" ht="6.75" customHeight="1" x14ac:dyDescent="0.25"/>
    <row r="3" spans="1:31" ht="19.5" customHeight="1" x14ac:dyDescent="0.25">
      <c r="A3" s="16"/>
      <c r="B3" s="16"/>
      <c r="D3" s="123" t="s">
        <v>4</v>
      </c>
      <c r="E3" s="124"/>
      <c r="F3" s="124"/>
      <c r="G3" s="124"/>
      <c r="H3" s="124"/>
      <c r="I3" s="125"/>
      <c r="J3" s="6"/>
      <c r="K3" s="123" t="s">
        <v>23</v>
      </c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5"/>
      <c r="AA3" s="6"/>
      <c r="AB3" s="123" t="s">
        <v>15</v>
      </c>
      <c r="AC3" s="124"/>
      <c r="AD3" s="124"/>
      <c r="AE3" s="125"/>
    </row>
    <row r="4" spans="1:31" ht="7.5" customHeight="1" x14ac:dyDescent="0.25">
      <c r="D4" s="48"/>
      <c r="E4" s="49"/>
      <c r="F4" s="51"/>
      <c r="G4" s="51"/>
      <c r="H4" s="52"/>
      <c r="I4" s="47"/>
    </row>
    <row r="5" spans="1:31" ht="30" customHeight="1" x14ac:dyDescent="0.25">
      <c r="A5" s="9" t="s">
        <v>1</v>
      </c>
      <c r="B5" s="8" t="s">
        <v>7</v>
      </c>
      <c r="C5" s="13"/>
      <c r="D5" s="121" t="s">
        <v>235</v>
      </c>
      <c r="E5" s="122"/>
      <c r="F5" s="121" t="s">
        <v>234</v>
      </c>
      <c r="G5" s="122"/>
      <c r="H5" s="126" t="s">
        <v>27</v>
      </c>
      <c r="I5" s="127"/>
      <c r="J5" s="7"/>
      <c r="K5" s="126" t="s">
        <v>20</v>
      </c>
      <c r="L5" s="127"/>
      <c r="M5" s="126" t="s">
        <v>11</v>
      </c>
      <c r="N5" s="127"/>
      <c r="O5" s="126" t="s">
        <v>17</v>
      </c>
      <c r="P5" s="127"/>
      <c r="Q5" s="126" t="s">
        <v>22</v>
      </c>
      <c r="R5" s="127"/>
      <c r="S5" s="126" t="s">
        <v>18</v>
      </c>
      <c r="T5" s="127"/>
      <c r="U5" s="126" t="s">
        <v>21</v>
      </c>
      <c r="V5" s="127"/>
      <c r="W5" s="126" t="s">
        <v>19</v>
      </c>
      <c r="X5" s="127"/>
      <c r="Y5" s="126" t="s">
        <v>25</v>
      </c>
      <c r="Z5" s="127"/>
      <c r="AA5" s="7"/>
      <c r="AB5" s="5" t="s">
        <v>2</v>
      </c>
      <c r="AC5" s="5" t="s">
        <v>3</v>
      </c>
      <c r="AD5" s="5" t="s">
        <v>5</v>
      </c>
      <c r="AE5" s="5" t="s">
        <v>4</v>
      </c>
    </row>
    <row r="6" spans="1:31" ht="24.95" hidden="1" customHeight="1" x14ac:dyDescent="0.25">
      <c r="A6" s="9" t="s">
        <v>68</v>
      </c>
      <c r="B6" s="8" t="e">
        <f t="shared" ref="B6:B69" si="0">VLOOKUP(A6,Jobs,2,)</f>
        <v>#N/A</v>
      </c>
      <c r="C6" s="13"/>
      <c r="D6" s="46" t="e">
        <f>IF(VLOOKUP($A6,Dates,8,)&gt;0,"Y","  ")</f>
        <v>#N/A</v>
      </c>
      <c r="E6" s="50" t="e">
        <f>IF(VLOOKUP($A6,Dates,8,)&gt;0,VLOOKUP($A6,Dates,8,)-VLOOKUP($A6,Jobs,8,),"  ")</f>
        <v>#N/A</v>
      </c>
      <c r="F6" s="46" t="e">
        <f>IF(VLOOKUP($A6,Dates,16,)&gt;0,"Y","  ")</f>
        <v>#N/A</v>
      </c>
      <c r="G6" s="50" t="e">
        <f>IF(VLOOKUP($A6,Dates,16,)&gt;0,VLOOKUP($A6,Dates,16,)-VLOOKUP($A6,Jobs,16,),"  ")</f>
        <v>#N/A</v>
      </c>
      <c r="H6" s="46" t="e">
        <f>IF(VLOOKUP($A6,Dates,17,)&gt;0,"Y","  ")</f>
        <v>#N/A</v>
      </c>
      <c r="I6" s="50" t="e">
        <f>IF(VLOOKUP($A6,Dates,17,)&gt;0,VLOOKUP($A6,Dates,17,)-VLOOKUP($A6,Jobs,17,),"  ")</f>
        <v>#N/A</v>
      </c>
      <c r="J6" s="13"/>
      <c r="K6" s="46" t="e">
        <f>IF(VLOOKUP($A6,Dates,19,)&gt;0,"Y","  ")</f>
        <v>#N/A</v>
      </c>
      <c r="L6" s="50" t="e">
        <f>IF(VLOOKUP($A6,Dates,19,)&gt;0,VLOOKUP($A6,Dates,19,)-VLOOKUP($A6,Jobs,19,),"  ")</f>
        <v>#N/A</v>
      </c>
      <c r="M6" s="46" t="e">
        <f>IF(VLOOKUP($A6,Dates,20,)&gt;0,"Y","  ")</f>
        <v>#N/A</v>
      </c>
      <c r="N6" s="50" t="e">
        <f>IF(VLOOKUP($A6,Dates,20,)&gt;0,VLOOKUP($A6,Dates,20,)-VLOOKUP($A6,Jobs,20,),"  ")</f>
        <v>#N/A</v>
      </c>
      <c r="O6" s="46" t="e">
        <f>IF(VLOOKUP($A6,Dates,21,)&gt;0,"Y","  ")</f>
        <v>#N/A</v>
      </c>
      <c r="P6" s="50" t="e">
        <f>IF(VLOOKUP($A6,Dates,21,)&gt;0,VLOOKUP($A6,Dates,21,)-VLOOKUP($A6,Jobs,21,),"  ")</f>
        <v>#N/A</v>
      </c>
      <c r="Q6" s="46" t="e">
        <f>IF(VLOOKUP($A6,Dates,22,)&gt;0,"Y","  ")</f>
        <v>#N/A</v>
      </c>
      <c r="R6" s="50" t="e">
        <f>IF(VLOOKUP($A6,Dates,22,)&gt;0,VLOOKUP($A6,Dates,22,)-VLOOKUP($A6,Jobs,22,),"  ")</f>
        <v>#N/A</v>
      </c>
      <c r="S6" s="46" t="e">
        <f>IF(VLOOKUP($A6,Dates,23,)&gt;0,"Y","  ")</f>
        <v>#N/A</v>
      </c>
      <c r="T6" s="50" t="e">
        <f>IF(VLOOKUP($A6,Dates,23,)&gt;0,VLOOKUP($A6,Dates,23,)-VLOOKUP($A6,Jobs,23,),"  ")</f>
        <v>#N/A</v>
      </c>
      <c r="U6" s="46" t="e">
        <f>IF(VLOOKUP($A6,Dates,24,)&gt;0,"Y","  ")</f>
        <v>#N/A</v>
      </c>
      <c r="V6" s="50" t="e">
        <f>IF(VLOOKUP($A6,Dates,24,)&gt;0,VLOOKUP($A6,Dates,24,)-VLOOKUP($A6,Jobs,24,),"  ")</f>
        <v>#N/A</v>
      </c>
      <c r="W6" s="46" t="e">
        <f>IF(VLOOKUP($A6,Dates,25,)&gt;0,"Y","  ")</f>
        <v>#N/A</v>
      </c>
      <c r="X6" s="50" t="e">
        <f>IF(VLOOKUP($A6,Dates,25,)&gt;0,VLOOKUP($A6,Dates,25,)-VLOOKUP($A6,Jobs,25,),"  ")</f>
        <v>#N/A</v>
      </c>
      <c r="Y6" s="46" t="e">
        <f>IF(VLOOKUP($A6,Dates,26,)&gt;0,"Y","  ")</f>
        <v>#N/A</v>
      </c>
      <c r="Z6" s="50" t="e">
        <f>IF(VLOOKUP($A6,Dates,26,)&gt;0,VLOOKUP($A6,Dates,26,)-VLOOKUP($A6,Jobs,26,),"  ")</f>
        <v>#N/A</v>
      </c>
      <c r="AA6" s="13"/>
      <c r="AB6" s="15" t="e">
        <f t="shared" ref="AB6:AB69" si="1">VLOOKUP(A6,Jobs,27,)</f>
        <v>#N/A</v>
      </c>
      <c r="AC6" s="15" t="e">
        <f t="shared" ref="AC6:AC69" si="2">IF(VLOOKUP(A6,Dates,27,)&gt;0,VLOOKUP(A6,Dates,27,),"  ")</f>
        <v>#N/A</v>
      </c>
      <c r="AD6" s="9" t="e">
        <f>IF(A6="","",IF(AC6="  ",AB6-Date!$B$3,AB6-AC6))</f>
        <v>#N/A</v>
      </c>
      <c r="AE6" s="12"/>
    </row>
    <row r="7" spans="1:31" ht="24.95" hidden="1" customHeight="1" x14ac:dyDescent="0.25">
      <c r="A7" s="9" t="s">
        <v>69</v>
      </c>
      <c r="B7" s="8" t="e">
        <f t="shared" si="0"/>
        <v>#N/A</v>
      </c>
      <c r="C7" s="13"/>
      <c r="D7" s="46" t="e">
        <f>IF(VLOOKUP($A7,Dates,8,)&gt;0,"Y","  ")</f>
        <v>#N/A</v>
      </c>
      <c r="E7" s="50" t="e">
        <f>IF(VLOOKUP($A7,Dates,8,)&gt;0,VLOOKUP($A7,Dates,8,)-VLOOKUP($A7,Jobs,8,),"  ")</f>
        <v>#N/A</v>
      </c>
      <c r="F7" s="46" t="e">
        <f>IF(VLOOKUP($A7,Dates,16,)&gt;0,"Y","  ")</f>
        <v>#N/A</v>
      </c>
      <c r="G7" s="50" t="e">
        <f>IF(VLOOKUP($A7,Dates,16,)&gt;0,VLOOKUP($A7,Dates,16,)-VLOOKUP($A7,Jobs,16,),"  ")</f>
        <v>#N/A</v>
      </c>
      <c r="H7" s="46" t="e">
        <f>IF(VLOOKUP($A7,Dates,17,)&gt;0,"Y","  ")</f>
        <v>#N/A</v>
      </c>
      <c r="I7" s="50" t="e">
        <f>IF(VLOOKUP($A7,Dates,17,)&gt;0,VLOOKUP($A7,Dates,17,)-VLOOKUP($A7,Jobs,17,),"  ")</f>
        <v>#N/A</v>
      </c>
      <c r="J7" s="13"/>
      <c r="K7" s="46" t="e">
        <f>IF(VLOOKUP($A7,Dates,19,)&gt;0,"Y","  ")</f>
        <v>#N/A</v>
      </c>
      <c r="L7" s="50" t="e">
        <f>IF(VLOOKUP($A7,Dates,19,)&gt;0,VLOOKUP($A7,Dates,19,)-VLOOKUP($A7,Jobs,19,),"  ")</f>
        <v>#N/A</v>
      </c>
      <c r="M7" s="46" t="e">
        <f>IF(VLOOKUP($A7,Dates,20,)&gt;0,"Y","  ")</f>
        <v>#N/A</v>
      </c>
      <c r="N7" s="50" t="e">
        <f>IF(VLOOKUP($A7,Dates,20,)&gt;0,VLOOKUP($A7,Dates,20,)-VLOOKUP($A7,Jobs,20,),"  ")</f>
        <v>#N/A</v>
      </c>
      <c r="O7" s="46" t="e">
        <f>IF(VLOOKUP($A7,Dates,21,)&gt;0,"Y","  ")</f>
        <v>#N/A</v>
      </c>
      <c r="P7" s="50" t="e">
        <f>IF(VLOOKUP($A7,Dates,21,)&gt;0,VLOOKUP($A7,Dates,21,)-VLOOKUP($A7,Jobs,21,),"  ")</f>
        <v>#N/A</v>
      </c>
      <c r="Q7" s="46" t="e">
        <f>IF(VLOOKUP($A7,Dates,22,)&gt;0,"Y","  ")</f>
        <v>#N/A</v>
      </c>
      <c r="R7" s="50" t="e">
        <f>IF(VLOOKUP($A7,Dates,22,)&gt;0,VLOOKUP($A7,Dates,22,)-VLOOKUP($A7,Jobs,22,),"  ")</f>
        <v>#N/A</v>
      </c>
      <c r="S7" s="46" t="e">
        <f>IF(VLOOKUP($A7,Dates,23,)&gt;0,"Y","  ")</f>
        <v>#N/A</v>
      </c>
      <c r="T7" s="50" t="e">
        <f>IF(VLOOKUP($A7,Dates,23,)&gt;0,VLOOKUP($A7,Dates,23,)-VLOOKUP($A7,Jobs,23,),"  ")</f>
        <v>#N/A</v>
      </c>
      <c r="U7" s="46" t="e">
        <f>IF(VLOOKUP($A7,Dates,24,)&gt;0,"Y","  ")</f>
        <v>#N/A</v>
      </c>
      <c r="V7" s="50" t="e">
        <f>IF(VLOOKUP($A7,Dates,24,)&gt;0,VLOOKUP($A7,Dates,24,)-VLOOKUP($A7,Jobs,24,),"  ")</f>
        <v>#N/A</v>
      </c>
      <c r="W7" s="46" t="e">
        <f>IF(VLOOKUP($A7,Dates,25,)&gt;0,"Y","  ")</f>
        <v>#N/A</v>
      </c>
      <c r="X7" s="50" t="e">
        <f>IF(VLOOKUP($A7,Dates,25,)&gt;0,VLOOKUP($A7,Dates,25,)-VLOOKUP($A7,Jobs,25,),"  ")</f>
        <v>#N/A</v>
      </c>
      <c r="Y7" s="46" t="e">
        <f>IF(VLOOKUP($A7,Dates,26,)&gt;0,"Y","  ")</f>
        <v>#N/A</v>
      </c>
      <c r="Z7" s="50" t="e">
        <f>IF(VLOOKUP($A7,Dates,26,)&gt;0,VLOOKUP($A7,Dates,26,)-VLOOKUP($A7,Jobs,26,),"  ")</f>
        <v>#N/A</v>
      </c>
      <c r="AA7" s="13"/>
      <c r="AB7" s="15" t="e">
        <f t="shared" si="1"/>
        <v>#N/A</v>
      </c>
      <c r="AC7" s="15" t="e">
        <f t="shared" si="2"/>
        <v>#N/A</v>
      </c>
      <c r="AD7" s="9" t="e">
        <f>IF(A7="","",IF(AC7="  ",AB7-Date!$B$3,AB7-AC7))</f>
        <v>#N/A</v>
      </c>
      <c r="AE7" s="12"/>
    </row>
    <row r="8" spans="1:31" ht="24.95" hidden="1" customHeight="1" x14ac:dyDescent="0.25">
      <c r="A8" s="9" t="s">
        <v>70</v>
      </c>
      <c r="B8" s="8" t="e">
        <f t="shared" si="0"/>
        <v>#N/A</v>
      </c>
      <c r="C8" s="13"/>
      <c r="D8" s="46" t="e">
        <f>IF(VLOOKUP($A8,Dates,8,)&gt;0,"Y","  ")</f>
        <v>#N/A</v>
      </c>
      <c r="E8" s="50" t="e">
        <f>IF(VLOOKUP($A8,Dates,8,)&gt;0,VLOOKUP($A8,Dates,8,)-VLOOKUP($A8,Jobs,8,),"  ")</f>
        <v>#N/A</v>
      </c>
      <c r="F8" s="46" t="e">
        <f>IF(VLOOKUP($A8,Dates,16,)&gt;0,"Y","  ")</f>
        <v>#N/A</v>
      </c>
      <c r="G8" s="50" t="e">
        <f>IF(VLOOKUP($A8,Dates,16,)&gt;0,VLOOKUP($A8,Dates,16,)-VLOOKUP($A8,Jobs,16,),"  ")</f>
        <v>#N/A</v>
      </c>
      <c r="H8" s="46" t="e">
        <f>IF(VLOOKUP($A8,Dates,17,)&gt;0,"Y","  ")</f>
        <v>#N/A</v>
      </c>
      <c r="I8" s="50" t="e">
        <f>IF(VLOOKUP($A8,Dates,17,)&gt;0,VLOOKUP($A8,Dates,17,)-VLOOKUP($A8,Jobs,17,),"  ")</f>
        <v>#N/A</v>
      </c>
      <c r="J8" s="13"/>
      <c r="K8" s="46" t="e">
        <f>IF(VLOOKUP($A8,Dates,19,)&gt;0,"Y","  ")</f>
        <v>#N/A</v>
      </c>
      <c r="L8" s="50" t="e">
        <f>IF(VLOOKUP($A8,Dates,19,)&gt;0,VLOOKUP($A8,Dates,19,)-VLOOKUP($A8,Jobs,19,),"  ")</f>
        <v>#N/A</v>
      </c>
      <c r="M8" s="46" t="e">
        <f>IF(VLOOKUP($A8,Dates,20,)&gt;0,"Y","  ")</f>
        <v>#N/A</v>
      </c>
      <c r="N8" s="50" t="e">
        <f>IF(VLOOKUP($A8,Dates,20,)&gt;0,VLOOKUP($A8,Dates,20,)-VLOOKUP($A8,Jobs,20,),"  ")</f>
        <v>#N/A</v>
      </c>
      <c r="O8" s="46" t="e">
        <f>IF(VLOOKUP($A8,Dates,21,)&gt;0,"Y","  ")</f>
        <v>#N/A</v>
      </c>
      <c r="P8" s="50" t="e">
        <f>IF(VLOOKUP($A8,Dates,21,)&gt;0,VLOOKUP($A8,Dates,21,)-VLOOKUP($A8,Jobs,21,),"  ")</f>
        <v>#N/A</v>
      </c>
      <c r="Q8" s="46" t="e">
        <f>IF(VLOOKUP($A8,Dates,22,)&gt;0,"Y","  ")</f>
        <v>#N/A</v>
      </c>
      <c r="R8" s="50" t="e">
        <f>IF(VLOOKUP($A8,Dates,22,)&gt;0,VLOOKUP($A8,Dates,22,)-VLOOKUP($A8,Jobs,22,),"  ")</f>
        <v>#N/A</v>
      </c>
      <c r="S8" s="46" t="e">
        <f>IF(VLOOKUP($A8,Dates,23,)&gt;0,"Y","  ")</f>
        <v>#N/A</v>
      </c>
      <c r="T8" s="50" t="e">
        <f>IF(VLOOKUP($A8,Dates,23,)&gt;0,VLOOKUP($A8,Dates,23,)-VLOOKUP($A8,Jobs,23,),"  ")</f>
        <v>#N/A</v>
      </c>
      <c r="U8" s="46" t="e">
        <f>IF(VLOOKUP($A8,Dates,24,)&gt;0,"Y","  ")</f>
        <v>#N/A</v>
      </c>
      <c r="V8" s="50" t="e">
        <f>IF(VLOOKUP($A8,Dates,24,)&gt;0,VLOOKUP($A8,Dates,24,)-VLOOKUP($A8,Jobs,24,),"  ")</f>
        <v>#N/A</v>
      </c>
      <c r="W8" s="46" t="e">
        <f>IF(VLOOKUP($A8,Dates,25,)&gt;0,"Y","  ")</f>
        <v>#N/A</v>
      </c>
      <c r="X8" s="50" t="e">
        <f>IF(VLOOKUP($A8,Dates,25,)&gt;0,VLOOKUP($A8,Dates,25,)-VLOOKUP($A8,Jobs,25,),"  ")</f>
        <v>#N/A</v>
      </c>
      <c r="Y8" s="46" t="e">
        <f>IF(VLOOKUP($A8,Dates,26,)&gt;0,"Y","  ")</f>
        <v>#N/A</v>
      </c>
      <c r="Z8" s="50" t="e">
        <f>IF(VLOOKUP($A8,Dates,26,)&gt;0,VLOOKUP($A8,Dates,26,)-VLOOKUP($A8,Jobs,26,),"  ")</f>
        <v>#N/A</v>
      </c>
      <c r="AA8" s="13"/>
      <c r="AB8" s="15" t="e">
        <f t="shared" si="1"/>
        <v>#N/A</v>
      </c>
      <c r="AC8" s="15" t="e">
        <f t="shared" si="2"/>
        <v>#N/A</v>
      </c>
      <c r="AD8" s="9" t="e">
        <f>IF(A8="","",IF(AC8="  ",AB8-Date!$B$3,AB8-AC8))</f>
        <v>#N/A</v>
      </c>
      <c r="AE8" s="12"/>
    </row>
    <row r="9" spans="1:31" ht="24.95" hidden="1" customHeight="1" x14ac:dyDescent="0.25">
      <c r="A9" s="9" t="s">
        <v>71</v>
      </c>
      <c r="B9" s="8" t="e">
        <f t="shared" si="0"/>
        <v>#N/A</v>
      </c>
      <c r="C9" s="13"/>
      <c r="D9" s="46" t="e">
        <f>IF(VLOOKUP($A9,Dates,8,)&gt;0,"Y","  ")</f>
        <v>#N/A</v>
      </c>
      <c r="E9" s="50" t="e">
        <f>IF(VLOOKUP($A9,Dates,8,)&gt;0,VLOOKUP($A9,Dates,8,)-VLOOKUP($A9,Jobs,8,),"  ")</f>
        <v>#N/A</v>
      </c>
      <c r="F9" s="46" t="e">
        <f>IF(VLOOKUP($A9,Dates,16,)&gt;0,"Y","  ")</f>
        <v>#N/A</v>
      </c>
      <c r="G9" s="50" t="e">
        <f>IF(VLOOKUP($A9,Dates,16,)&gt;0,VLOOKUP($A9,Dates,16,)-VLOOKUP($A9,Jobs,16,),"  ")</f>
        <v>#N/A</v>
      </c>
      <c r="H9" s="46" t="e">
        <f>IF(VLOOKUP($A9,Dates,17,)&gt;0,"Y","  ")</f>
        <v>#N/A</v>
      </c>
      <c r="I9" s="50" t="e">
        <f>IF(VLOOKUP($A9,Dates,17,)&gt;0,VLOOKUP($A9,Dates,17,)-VLOOKUP($A9,Jobs,17,),"  ")</f>
        <v>#N/A</v>
      </c>
      <c r="J9" s="13"/>
      <c r="K9" s="46" t="e">
        <f>IF(VLOOKUP($A9,Dates,19,)&gt;0,"Y","  ")</f>
        <v>#N/A</v>
      </c>
      <c r="L9" s="50" t="e">
        <f>IF(VLOOKUP($A9,Dates,19,)&gt;0,VLOOKUP($A9,Dates,19,)-VLOOKUP($A9,Jobs,19,),"  ")</f>
        <v>#N/A</v>
      </c>
      <c r="M9" s="46" t="e">
        <f>IF(VLOOKUP($A9,Dates,20,)&gt;0,"Y","  ")</f>
        <v>#N/A</v>
      </c>
      <c r="N9" s="50" t="e">
        <f>IF(VLOOKUP($A9,Dates,20,)&gt;0,VLOOKUP($A9,Dates,20,)-VLOOKUP($A9,Jobs,20,),"  ")</f>
        <v>#N/A</v>
      </c>
      <c r="O9" s="46" t="e">
        <f>IF(VLOOKUP($A9,Dates,21,)&gt;0,"Y","  ")</f>
        <v>#N/A</v>
      </c>
      <c r="P9" s="50" t="e">
        <f>IF(VLOOKUP($A9,Dates,21,)&gt;0,VLOOKUP($A9,Dates,21,)-VLOOKUP($A9,Jobs,21,),"  ")</f>
        <v>#N/A</v>
      </c>
      <c r="Q9" s="46" t="e">
        <f>IF(VLOOKUP($A9,Dates,22,)&gt;0,"Y","  ")</f>
        <v>#N/A</v>
      </c>
      <c r="R9" s="50" t="e">
        <f>IF(VLOOKUP($A9,Dates,22,)&gt;0,VLOOKUP($A9,Dates,22,)-VLOOKUP($A9,Jobs,22,),"  ")</f>
        <v>#N/A</v>
      </c>
      <c r="S9" s="46" t="e">
        <f>IF(VLOOKUP($A9,Dates,23,)&gt;0,"Y","  ")</f>
        <v>#N/A</v>
      </c>
      <c r="T9" s="50" t="e">
        <f>IF(VLOOKUP($A9,Dates,23,)&gt;0,VLOOKUP($A9,Dates,23,)-VLOOKUP($A9,Jobs,23,),"  ")</f>
        <v>#N/A</v>
      </c>
      <c r="U9" s="46" t="e">
        <f>IF(VLOOKUP($A9,Dates,24,)&gt;0,"Y","  ")</f>
        <v>#N/A</v>
      </c>
      <c r="V9" s="50" t="e">
        <f>IF(VLOOKUP($A9,Dates,24,)&gt;0,VLOOKUP($A9,Dates,24,)-VLOOKUP($A9,Jobs,24,),"  ")</f>
        <v>#N/A</v>
      </c>
      <c r="W9" s="46" t="e">
        <f>IF(VLOOKUP($A9,Dates,25,)&gt;0,"Y","  ")</f>
        <v>#N/A</v>
      </c>
      <c r="X9" s="50" t="e">
        <f>IF(VLOOKUP($A9,Dates,25,)&gt;0,VLOOKUP($A9,Dates,25,)-VLOOKUP($A9,Jobs,25,),"  ")</f>
        <v>#N/A</v>
      </c>
      <c r="Y9" s="46" t="e">
        <f>IF(VLOOKUP($A9,Dates,26,)&gt;0,"Y","  ")</f>
        <v>#N/A</v>
      </c>
      <c r="Z9" s="50" t="e">
        <f>IF(VLOOKUP($A9,Dates,26,)&gt;0,VLOOKUP($A9,Dates,26,)-VLOOKUP($A9,Jobs,26,),"  ")</f>
        <v>#N/A</v>
      </c>
      <c r="AA9" s="13"/>
      <c r="AB9" s="15" t="e">
        <f t="shared" si="1"/>
        <v>#N/A</v>
      </c>
      <c r="AC9" s="15" t="e">
        <f t="shared" si="2"/>
        <v>#N/A</v>
      </c>
      <c r="AD9" s="9" t="e">
        <f>IF(A9="","",IF(AC9="  ",AB9-Date!$B$3,AB9-AC9))</f>
        <v>#N/A</v>
      </c>
      <c r="AE9" s="12"/>
    </row>
    <row r="10" spans="1:31" ht="23.25" x14ac:dyDescent="0.25">
      <c r="A10" s="9" t="s">
        <v>141</v>
      </c>
      <c r="B10" s="8" t="e">
        <f t="shared" si="0"/>
        <v>#N/A</v>
      </c>
      <c r="C10" s="13"/>
      <c r="D10" s="46" t="e">
        <f t="shared" ref="D10:D101" si="3">IF(VLOOKUP($A10,Dates,8,)&gt;0,"Y","  ")</f>
        <v>#N/A</v>
      </c>
      <c r="E10" s="50" t="e">
        <f t="shared" ref="E10:E101" si="4">IF(VLOOKUP($A10,Dates,8,)&gt;0,VLOOKUP($A10,Dates,8,)-VLOOKUP($A10,Jobs,8,),"  ")</f>
        <v>#N/A</v>
      </c>
      <c r="F10" s="46" t="e">
        <f t="shared" ref="F10:F101" si="5">IF(VLOOKUP($A10,Dates,16,)&gt;0,"Y","  ")</f>
        <v>#N/A</v>
      </c>
      <c r="G10" s="50" t="e">
        <f t="shared" ref="G10:G101" si="6">IF(VLOOKUP($A10,Dates,16,)&gt;0,VLOOKUP($A10,Dates,16,)-VLOOKUP($A10,Jobs,16,),"  ")</f>
        <v>#N/A</v>
      </c>
      <c r="H10" s="46" t="e">
        <f t="shared" ref="H10:H101" si="7">IF(VLOOKUP($A10,Dates,17,)&gt;0,"Y","  ")</f>
        <v>#N/A</v>
      </c>
      <c r="I10" s="50" t="e">
        <f t="shared" ref="I10:I101" si="8">IF(VLOOKUP($A10,Dates,17,)&gt;0,VLOOKUP($A10,Dates,17,)-VLOOKUP($A10,Jobs,17,),"  ")</f>
        <v>#N/A</v>
      </c>
      <c r="J10" s="13"/>
      <c r="K10" s="46" t="e">
        <f t="shared" ref="K10:K101" si="9">IF(VLOOKUP($A10,Dates,19,)&gt;0,"Y","  ")</f>
        <v>#N/A</v>
      </c>
      <c r="L10" s="50" t="e">
        <f t="shared" ref="L10:L101" si="10">IF(VLOOKUP($A10,Dates,19,)&gt;0,VLOOKUP($A10,Dates,19,)-VLOOKUP($A10,Jobs,19,),"  ")</f>
        <v>#N/A</v>
      </c>
      <c r="M10" s="46" t="e">
        <f t="shared" ref="M10:M101" si="11">IF(VLOOKUP($A10,Dates,20,)&gt;0,"Y","  ")</f>
        <v>#N/A</v>
      </c>
      <c r="N10" s="50" t="e">
        <f t="shared" ref="N10:N101" si="12">IF(VLOOKUP($A10,Dates,20,)&gt;0,VLOOKUP($A10,Dates,20,)-VLOOKUP($A10,Jobs,20,),"  ")</f>
        <v>#N/A</v>
      </c>
      <c r="O10" s="46" t="e">
        <f t="shared" ref="O10:O101" si="13">IF(VLOOKUP($A10,Dates,21,)&gt;0,"Y","  ")</f>
        <v>#N/A</v>
      </c>
      <c r="P10" s="50" t="e">
        <f t="shared" ref="P10:P101" si="14">IF(VLOOKUP($A10,Dates,21,)&gt;0,VLOOKUP($A10,Dates,21,)-VLOOKUP($A10,Jobs,21,),"  ")</f>
        <v>#N/A</v>
      </c>
      <c r="Q10" s="46" t="e">
        <f t="shared" ref="Q10:Q101" si="15">IF(VLOOKUP($A10,Dates,22,)&gt;0,"Y","  ")</f>
        <v>#N/A</v>
      </c>
      <c r="R10" s="50" t="e">
        <f t="shared" ref="R10:R101" si="16">IF(VLOOKUP($A10,Dates,22,)&gt;0,VLOOKUP($A10,Dates,22,)-VLOOKUP($A10,Jobs,22,),"  ")</f>
        <v>#N/A</v>
      </c>
      <c r="S10" s="46" t="e">
        <f t="shared" ref="S10:S101" si="17">IF(VLOOKUP($A10,Dates,23,)&gt;0,"Y","  ")</f>
        <v>#N/A</v>
      </c>
      <c r="T10" s="50" t="e">
        <f t="shared" ref="T10:T101" si="18">IF(VLOOKUP($A10,Dates,23,)&gt;0,VLOOKUP($A10,Dates,23,)-VLOOKUP($A10,Jobs,23,),"  ")</f>
        <v>#N/A</v>
      </c>
      <c r="U10" s="46" t="e">
        <f t="shared" ref="U10:U101" si="19">IF(VLOOKUP($A10,Dates,24,)&gt;0,"Y","  ")</f>
        <v>#N/A</v>
      </c>
      <c r="V10" s="50" t="e">
        <f t="shared" ref="V10:V101" si="20">IF(VLOOKUP($A10,Dates,24,)&gt;0,VLOOKUP($A10,Dates,24,)-VLOOKUP($A10,Jobs,24,),"  ")</f>
        <v>#N/A</v>
      </c>
      <c r="W10" s="46" t="e">
        <f t="shared" ref="W10:W101" si="21">IF(VLOOKUP($A10,Dates,25,)&gt;0,"Y","  ")</f>
        <v>#N/A</v>
      </c>
      <c r="X10" s="50" t="e">
        <f t="shared" ref="X10:X101" si="22">IF(VLOOKUP($A10,Dates,25,)&gt;0,VLOOKUP($A10,Dates,25,)-VLOOKUP($A10,Jobs,25,),"  ")</f>
        <v>#N/A</v>
      </c>
      <c r="Y10" s="46" t="e">
        <f t="shared" ref="Y10:Y101" si="23">IF(VLOOKUP($A10,Dates,26,)&gt;0,"Y","  ")</f>
        <v>#N/A</v>
      </c>
      <c r="Z10" s="50" t="e">
        <f t="shared" ref="Z10:Z101" si="24">IF(VLOOKUP($A10,Dates,26,)&gt;0,VLOOKUP($A10,Dates,26,)-VLOOKUP($A10,Jobs,26,),"  ")</f>
        <v>#N/A</v>
      </c>
      <c r="AA10" s="13"/>
      <c r="AB10" s="15" t="e">
        <f t="shared" si="1"/>
        <v>#N/A</v>
      </c>
      <c r="AC10" s="15" t="e">
        <f t="shared" si="2"/>
        <v>#N/A</v>
      </c>
      <c r="AD10" s="9" t="e">
        <f>ROUND(IF(A10="","",IF(AC10="  ",AB10-Date!$B$3,AB10-AC10)),0)</f>
        <v>#N/A</v>
      </c>
      <c r="AE10" s="12"/>
    </row>
    <row r="11" spans="1:31" ht="23.25" x14ac:dyDescent="0.25">
      <c r="A11" s="9" t="s">
        <v>142</v>
      </c>
      <c r="B11" s="8" t="e">
        <f t="shared" si="0"/>
        <v>#N/A</v>
      </c>
      <c r="C11" s="13"/>
      <c r="D11" s="46" t="e">
        <f t="shared" si="3"/>
        <v>#N/A</v>
      </c>
      <c r="E11" s="50" t="e">
        <f t="shared" si="4"/>
        <v>#N/A</v>
      </c>
      <c r="F11" s="46" t="e">
        <f t="shared" si="5"/>
        <v>#N/A</v>
      </c>
      <c r="G11" s="50" t="e">
        <f t="shared" si="6"/>
        <v>#N/A</v>
      </c>
      <c r="H11" s="46" t="e">
        <f t="shared" si="7"/>
        <v>#N/A</v>
      </c>
      <c r="I11" s="50" t="e">
        <f t="shared" si="8"/>
        <v>#N/A</v>
      </c>
      <c r="J11" s="13"/>
      <c r="K11" s="46" t="e">
        <f t="shared" si="9"/>
        <v>#N/A</v>
      </c>
      <c r="L11" s="50" t="e">
        <f t="shared" si="10"/>
        <v>#N/A</v>
      </c>
      <c r="M11" s="46" t="e">
        <f t="shared" si="11"/>
        <v>#N/A</v>
      </c>
      <c r="N11" s="50" t="e">
        <f t="shared" si="12"/>
        <v>#N/A</v>
      </c>
      <c r="O11" s="46" t="e">
        <f t="shared" si="13"/>
        <v>#N/A</v>
      </c>
      <c r="P11" s="50" t="e">
        <f t="shared" si="14"/>
        <v>#N/A</v>
      </c>
      <c r="Q11" s="46" t="e">
        <f t="shared" si="15"/>
        <v>#N/A</v>
      </c>
      <c r="R11" s="50" t="e">
        <f t="shared" si="16"/>
        <v>#N/A</v>
      </c>
      <c r="S11" s="46" t="e">
        <f t="shared" si="17"/>
        <v>#N/A</v>
      </c>
      <c r="T11" s="50" t="e">
        <f t="shared" si="18"/>
        <v>#N/A</v>
      </c>
      <c r="U11" s="46" t="e">
        <f t="shared" si="19"/>
        <v>#N/A</v>
      </c>
      <c r="V11" s="50" t="e">
        <f t="shared" si="20"/>
        <v>#N/A</v>
      </c>
      <c r="W11" s="46" t="e">
        <f t="shared" si="21"/>
        <v>#N/A</v>
      </c>
      <c r="X11" s="50" t="e">
        <f t="shared" si="22"/>
        <v>#N/A</v>
      </c>
      <c r="Y11" s="46" t="e">
        <f t="shared" si="23"/>
        <v>#N/A</v>
      </c>
      <c r="Z11" s="50" t="e">
        <f t="shared" si="24"/>
        <v>#N/A</v>
      </c>
      <c r="AA11" s="13"/>
      <c r="AB11" s="15" t="e">
        <f t="shared" si="1"/>
        <v>#N/A</v>
      </c>
      <c r="AC11" s="15" t="e">
        <f t="shared" si="2"/>
        <v>#N/A</v>
      </c>
      <c r="AD11" s="9" t="e">
        <f>ROUND(IF(A11="","",IF(AC11="  ",AB11-Date!$B$3,AB11-AC11)),0)</f>
        <v>#N/A</v>
      </c>
      <c r="AE11" s="12"/>
    </row>
    <row r="12" spans="1:31" ht="23.25" x14ac:dyDescent="0.25">
      <c r="A12" s="9" t="s">
        <v>143</v>
      </c>
      <c r="B12" s="8" t="e">
        <f t="shared" si="0"/>
        <v>#N/A</v>
      </c>
      <c r="C12" s="13"/>
      <c r="D12" s="46" t="e">
        <f t="shared" si="3"/>
        <v>#N/A</v>
      </c>
      <c r="E12" s="50" t="e">
        <f t="shared" si="4"/>
        <v>#N/A</v>
      </c>
      <c r="F12" s="46" t="e">
        <f t="shared" si="5"/>
        <v>#N/A</v>
      </c>
      <c r="G12" s="50" t="e">
        <f t="shared" si="6"/>
        <v>#N/A</v>
      </c>
      <c r="H12" s="46" t="e">
        <f t="shared" si="7"/>
        <v>#N/A</v>
      </c>
      <c r="I12" s="50" t="e">
        <f t="shared" si="8"/>
        <v>#N/A</v>
      </c>
      <c r="J12" s="13"/>
      <c r="K12" s="46" t="e">
        <f t="shared" si="9"/>
        <v>#N/A</v>
      </c>
      <c r="L12" s="50" t="e">
        <f t="shared" si="10"/>
        <v>#N/A</v>
      </c>
      <c r="M12" s="46" t="e">
        <f t="shared" si="11"/>
        <v>#N/A</v>
      </c>
      <c r="N12" s="50" t="e">
        <f t="shared" si="12"/>
        <v>#N/A</v>
      </c>
      <c r="O12" s="46" t="e">
        <f t="shared" si="13"/>
        <v>#N/A</v>
      </c>
      <c r="P12" s="50" t="e">
        <f t="shared" si="14"/>
        <v>#N/A</v>
      </c>
      <c r="Q12" s="46" t="e">
        <f t="shared" si="15"/>
        <v>#N/A</v>
      </c>
      <c r="R12" s="50" t="e">
        <f t="shared" si="16"/>
        <v>#N/A</v>
      </c>
      <c r="S12" s="46" t="e">
        <f t="shared" si="17"/>
        <v>#N/A</v>
      </c>
      <c r="T12" s="50" t="e">
        <f t="shared" si="18"/>
        <v>#N/A</v>
      </c>
      <c r="U12" s="46" t="e">
        <f t="shared" si="19"/>
        <v>#N/A</v>
      </c>
      <c r="V12" s="50" t="e">
        <f t="shared" si="20"/>
        <v>#N/A</v>
      </c>
      <c r="W12" s="46" t="e">
        <f t="shared" si="21"/>
        <v>#N/A</v>
      </c>
      <c r="X12" s="50" t="e">
        <f t="shared" si="22"/>
        <v>#N/A</v>
      </c>
      <c r="Y12" s="46" t="e">
        <f t="shared" si="23"/>
        <v>#N/A</v>
      </c>
      <c r="Z12" s="50" t="e">
        <f t="shared" si="24"/>
        <v>#N/A</v>
      </c>
      <c r="AA12" s="13"/>
      <c r="AB12" s="15" t="e">
        <f t="shared" si="1"/>
        <v>#N/A</v>
      </c>
      <c r="AC12" s="15" t="e">
        <f t="shared" si="2"/>
        <v>#N/A</v>
      </c>
      <c r="AD12" s="9" t="e">
        <f>ROUND(IF(A12="","",IF(AC12="  ",AB12-Date!$B$3,AB12-AC12)),0)</f>
        <v>#N/A</v>
      </c>
      <c r="AE12" s="12"/>
    </row>
    <row r="13" spans="1:31" ht="23.25" x14ac:dyDescent="0.25">
      <c r="A13" s="9" t="s">
        <v>144</v>
      </c>
      <c r="B13" s="8" t="e">
        <f t="shared" si="0"/>
        <v>#N/A</v>
      </c>
      <c r="C13" s="13"/>
      <c r="D13" s="46" t="e">
        <f t="shared" si="3"/>
        <v>#N/A</v>
      </c>
      <c r="E13" s="50" t="e">
        <f t="shared" si="4"/>
        <v>#N/A</v>
      </c>
      <c r="F13" s="46" t="e">
        <f t="shared" si="5"/>
        <v>#N/A</v>
      </c>
      <c r="G13" s="50" t="e">
        <f t="shared" si="6"/>
        <v>#N/A</v>
      </c>
      <c r="H13" s="46" t="e">
        <f t="shared" si="7"/>
        <v>#N/A</v>
      </c>
      <c r="I13" s="50" t="e">
        <f t="shared" si="8"/>
        <v>#N/A</v>
      </c>
      <c r="J13" s="13"/>
      <c r="K13" s="46" t="e">
        <f t="shared" si="9"/>
        <v>#N/A</v>
      </c>
      <c r="L13" s="50" t="e">
        <f t="shared" si="10"/>
        <v>#N/A</v>
      </c>
      <c r="M13" s="46" t="e">
        <f t="shared" si="11"/>
        <v>#N/A</v>
      </c>
      <c r="N13" s="50" t="e">
        <f t="shared" si="12"/>
        <v>#N/A</v>
      </c>
      <c r="O13" s="46" t="e">
        <f t="shared" si="13"/>
        <v>#N/A</v>
      </c>
      <c r="P13" s="50" t="e">
        <f t="shared" si="14"/>
        <v>#N/A</v>
      </c>
      <c r="Q13" s="46" t="e">
        <f t="shared" si="15"/>
        <v>#N/A</v>
      </c>
      <c r="R13" s="50" t="e">
        <f t="shared" si="16"/>
        <v>#N/A</v>
      </c>
      <c r="S13" s="46" t="e">
        <f t="shared" si="17"/>
        <v>#N/A</v>
      </c>
      <c r="T13" s="50" t="e">
        <f t="shared" si="18"/>
        <v>#N/A</v>
      </c>
      <c r="U13" s="46" t="e">
        <f t="shared" si="19"/>
        <v>#N/A</v>
      </c>
      <c r="V13" s="50" t="e">
        <f t="shared" si="20"/>
        <v>#N/A</v>
      </c>
      <c r="W13" s="46" t="e">
        <f t="shared" si="21"/>
        <v>#N/A</v>
      </c>
      <c r="X13" s="50" t="e">
        <f t="shared" si="22"/>
        <v>#N/A</v>
      </c>
      <c r="Y13" s="46" t="e">
        <f t="shared" si="23"/>
        <v>#N/A</v>
      </c>
      <c r="Z13" s="50" t="e">
        <f t="shared" si="24"/>
        <v>#N/A</v>
      </c>
      <c r="AA13" s="13"/>
      <c r="AB13" s="15" t="e">
        <f t="shared" si="1"/>
        <v>#N/A</v>
      </c>
      <c r="AC13" s="15" t="e">
        <f t="shared" si="2"/>
        <v>#N/A</v>
      </c>
      <c r="AD13" s="9" t="e">
        <f>ROUND(IF(A13="","",IF(AC13="  ",AB13-Date!$B$3,AB13-AC13)),0)</f>
        <v>#N/A</v>
      </c>
      <c r="AE13" s="12"/>
    </row>
    <row r="14" spans="1:31" ht="23.25" x14ac:dyDescent="0.25">
      <c r="A14" s="9" t="s">
        <v>145</v>
      </c>
      <c r="B14" s="8" t="e">
        <f t="shared" si="0"/>
        <v>#N/A</v>
      </c>
      <c r="C14" s="13"/>
      <c r="D14" s="46" t="e">
        <f t="shared" si="3"/>
        <v>#N/A</v>
      </c>
      <c r="E14" s="50" t="e">
        <f t="shared" si="4"/>
        <v>#N/A</v>
      </c>
      <c r="F14" s="46" t="e">
        <f t="shared" si="5"/>
        <v>#N/A</v>
      </c>
      <c r="G14" s="50" t="e">
        <f t="shared" si="6"/>
        <v>#N/A</v>
      </c>
      <c r="H14" s="46" t="e">
        <f t="shared" si="7"/>
        <v>#N/A</v>
      </c>
      <c r="I14" s="50" t="e">
        <f t="shared" si="8"/>
        <v>#N/A</v>
      </c>
      <c r="J14" s="13"/>
      <c r="K14" s="46" t="e">
        <f t="shared" si="9"/>
        <v>#N/A</v>
      </c>
      <c r="L14" s="50" t="e">
        <f t="shared" si="10"/>
        <v>#N/A</v>
      </c>
      <c r="M14" s="46" t="e">
        <f t="shared" si="11"/>
        <v>#N/A</v>
      </c>
      <c r="N14" s="50" t="e">
        <f t="shared" si="12"/>
        <v>#N/A</v>
      </c>
      <c r="O14" s="46" t="e">
        <f t="shared" si="13"/>
        <v>#N/A</v>
      </c>
      <c r="P14" s="50" t="e">
        <f t="shared" si="14"/>
        <v>#N/A</v>
      </c>
      <c r="Q14" s="46" t="e">
        <f t="shared" si="15"/>
        <v>#N/A</v>
      </c>
      <c r="R14" s="50" t="e">
        <f t="shared" si="16"/>
        <v>#N/A</v>
      </c>
      <c r="S14" s="46" t="e">
        <f t="shared" si="17"/>
        <v>#N/A</v>
      </c>
      <c r="T14" s="50" t="e">
        <f t="shared" si="18"/>
        <v>#N/A</v>
      </c>
      <c r="U14" s="46" t="e">
        <f t="shared" si="19"/>
        <v>#N/A</v>
      </c>
      <c r="V14" s="50" t="e">
        <f t="shared" si="20"/>
        <v>#N/A</v>
      </c>
      <c r="W14" s="46" t="e">
        <f t="shared" si="21"/>
        <v>#N/A</v>
      </c>
      <c r="X14" s="50" t="e">
        <f t="shared" si="22"/>
        <v>#N/A</v>
      </c>
      <c r="Y14" s="46" t="e">
        <f t="shared" si="23"/>
        <v>#N/A</v>
      </c>
      <c r="Z14" s="50" t="e">
        <f t="shared" si="24"/>
        <v>#N/A</v>
      </c>
      <c r="AA14" s="13"/>
      <c r="AB14" s="15" t="e">
        <f t="shared" si="1"/>
        <v>#N/A</v>
      </c>
      <c r="AC14" s="15" t="e">
        <f t="shared" si="2"/>
        <v>#N/A</v>
      </c>
      <c r="AD14" s="9" t="e">
        <f>ROUND(IF(A14="","",IF(AC14="  ",AB14-Date!$B$3,AB14-AC14)),0)</f>
        <v>#N/A</v>
      </c>
      <c r="AE14" s="12"/>
    </row>
    <row r="15" spans="1:31" ht="23.25" x14ac:dyDescent="0.25">
      <c r="A15" s="9" t="s">
        <v>146</v>
      </c>
      <c r="B15" s="8" t="e">
        <f t="shared" si="0"/>
        <v>#N/A</v>
      </c>
      <c r="C15" s="13"/>
      <c r="D15" s="46" t="e">
        <f t="shared" si="3"/>
        <v>#N/A</v>
      </c>
      <c r="E15" s="50" t="e">
        <f t="shared" si="4"/>
        <v>#N/A</v>
      </c>
      <c r="F15" s="46" t="e">
        <f t="shared" si="5"/>
        <v>#N/A</v>
      </c>
      <c r="G15" s="50" t="e">
        <f t="shared" si="6"/>
        <v>#N/A</v>
      </c>
      <c r="H15" s="46" t="e">
        <f t="shared" si="7"/>
        <v>#N/A</v>
      </c>
      <c r="I15" s="50" t="e">
        <f t="shared" si="8"/>
        <v>#N/A</v>
      </c>
      <c r="J15" s="13"/>
      <c r="K15" s="46" t="e">
        <f t="shared" si="9"/>
        <v>#N/A</v>
      </c>
      <c r="L15" s="50" t="e">
        <f t="shared" si="10"/>
        <v>#N/A</v>
      </c>
      <c r="M15" s="46" t="e">
        <f t="shared" si="11"/>
        <v>#N/A</v>
      </c>
      <c r="N15" s="50" t="e">
        <f t="shared" si="12"/>
        <v>#N/A</v>
      </c>
      <c r="O15" s="46" t="e">
        <f t="shared" si="13"/>
        <v>#N/A</v>
      </c>
      <c r="P15" s="50" t="e">
        <f t="shared" si="14"/>
        <v>#N/A</v>
      </c>
      <c r="Q15" s="46" t="e">
        <f t="shared" si="15"/>
        <v>#N/A</v>
      </c>
      <c r="R15" s="50" t="e">
        <f t="shared" si="16"/>
        <v>#N/A</v>
      </c>
      <c r="S15" s="46" t="e">
        <f t="shared" si="17"/>
        <v>#N/A</v>
      </c>
      <c r="T15" s="50" t="e">
        <f t="shared" si="18"/>
        <v>#N/A</v>
      </c>
      <c r="U15" s="46" t="e">
        <f t="shared" si="19"/>
        <v>#N/A</v>
      </c>
      <c r="V15" s="50" t="e">
        <f t="shared" si="20"/>
        <v>#N/A</v>
      </c>
      <c r="W15" s="46" t="e">
        <f t="shared" si="21"/>
        <v>#N/A</v>
      </c>
      <c r="X15" s="50" t="e">
        <f t="shared" si="22"/>
        <v>#N/A</v>
      </c>
      <c r="Y15" s="46" t="e">
        <f t="shared" si="23"/>
        <v>#N/A</v>
      </c>
      <c r="Z15" s="50" t="e">
        <f t="shared" si="24"/>
        <v>#N/A</v>
      </c>
      <c r="AA15" s="13"/>
      <c r="AB15" s="15" t="e">
        <f t="shared" si="1"/>
        <v>#N/A</v>
      </c>
      <c r="AC15" s="15" t="e">
        <f t="shared" si="2"/>
        <v>#N/A</v>
      </c>
      <c r="AD15" s="9" t="e">
        <f>ROUND(IF(A15="","",IF(AC15="  ",AB15-Date!$B$3,AB15-AC15)),0)</f>
        <v>#N/A</v>
      </c>
      <c r="AE15" s="12"/>
    </row>
    <row r="16" spans="1:31" ht="23.25" x14ac:dyDescent="0.25">
      <c r="A16" s="9" t="s">
        <v>147</v>
      </c>
      <c r="B16" s="8" t="e">
        <f t="shared" si="0"/>
        <v>#N/A</v>
      </c>
      <c r="C16" s="13"/>
      <c r="D16" s="46" t="e">
        <f t="shared" si="3"/>
        <v>#N/A</v>
      </c>
      <c r="E16" s="50" t="e">
        <f t="shared" si="4"/>
        <v>#N/A</v>
      </c>
      <c r="F16" s="46" t="e">
        <f t="shared" si="5"/>
        <v>#N/A</v>
      </c>
      <c r="G16" s="50" t="e">
        <f t="shared" si="6"/>
        <v>#N/A</v>
      </c>
      <c r="H16" s="46" t="e">
        <f t="shared" si="7"/>
        <v>#N/A</v>
      </c>
      <c r="I16" s="50" t="e">
        <f t="shared" si="8"/>
        <v>#N/A</v>
      </c>
      <c r="J16" s="13"/>
      <c r="K16" s="46" t="e">
        <f t="shared" si="9"/>
        <v>#N/A</v>
      </c>
      <c r="L16" s="50" t="e">
        <f t="shared" si="10"/>
        <v>#N/A</v>
      </c>
      <c r="M16" s="46" t="e">
        <f t="shared" si="11"/>
        <v>#N/A</v>
      </c>
      <c r="N16" s="50" t="e">
        <f t="shared" si="12"/>
        <v>#N/A</v>
      </c>
      <c r="O16" s="46" t="e">
        <f t="shared" si="13"/>
        <v>#N/A</v>
      </c>
      <c r="P16" s="50" t="e">
        <f t="shared" si="14"/>
        <v>#N/A</v>
      </c>
      <c r="Q16" s="46" t="e">
        <f t="shared" si="15"/>
        <v>#N/A</v>
      </c>
      <c r="R16" s="50" t="e">
        <f t="shared" si="16"/>
        <v>#N/A</v>
      </c>
      <c r="S16" s="46" t="e">
        <f t="shared" si="17"/>
        <v>#N/A</v>
      </c>
      <c r="T16" s="50" t="e">
        <f t="shared" si="18"/>
        <v>#N/A</v>
      </c>
      <c r="U16" s="46" t="e">
        <f t="shared" si="19"/>
        <v>#N/A</v>
      </c>
      <c r="V16" s="50" t="e">
        <f t="shared" si="20"/>
        <v>#N/A</v>
      </c>
      <c r="W16" s="46" t="e">
        <f t="shared" si="21"/>
        <v>#N/A</v>
      </c>
      <c r="X16" s="50" t="e">
        <f t="shared" si="22"/>
        <v>#N/A</v>
      </c>
      <c r="Y16" s="46" t="e">
        <f t="shared" si="23"/>
        <v>#N/A</v>
      </c>
      <c r="Z16" s="50" t="e">
        <f t="shared" si="24"/>
        <v>#N/A</v>
      </c>
      <c r="AA16" s="13"/>
      <c r="AB16" s="15" t="e">
        <f t="shared" si="1"/>
        <v>#N/A</v>
      </c>
      <c r="AC16" s="15" t="e">
        <f t="shared" si="2"/>
        <v>#N/A</v>
      </c>
      <c r="AD16" s="9" t="e">
        <f>ROUND(IF(A16="","",IF(AC16="  ",AB16-Date!$B$3,AB16-AC16)),0)</f>
        <v>#N/A</v>
      </c>
      <c r="AE16" s="12"/>
    </row>
    <row r="17" spans="1:31" ht="23.25" x14ac:dyDescent="0.25">
      <c r="A17" s="9" t="s">
        <v>148</v>
      </c>
      <c r="B17" s="8" t="e">
        <f t="shared" si="0"/>
        <v>#N/A</v>
      </c>
      <c r="C17" s="13"/>
      <c r="D17" s="46" t="e">
        <f t="shared" si="3"/>
        <v>#N/A</v>
      </c>
      <c r="E17" s="50" t="e">
        <f t="shared" si="4"/>
        <v>#N/A</v>
      </c>
      <c r="F17" s="46" t="e">
        <f t="shared" si="5"/>
        <v>#N/A</v>
      </c>
      <c r="G17" s="50" t="e">
        <f t="shared" si="6"/>
        <v>#N/A</v>
      </c>
      <c r="H17" s="46" t="e">
        <f t="shared" si="7"/>
        <v>#N/A</v>
      </c>
      <c r="I17" s="50" t="e">
        <f t="shared" si="8"/>
        <v>#N/A</v>
      </c>
      <c r="J17" s="13"/>
      <c r="K17" s="46" t="e">
        <f t="shared" si="9"/>
        <v>#N/A</v>
      </c>
      <c r="L17" s="50" t="e">
        <f t="shared" si="10"/>
        <v>#N/A</v>
      </c>
      <c r="M17" s="46" t="e">
        <f t="shared" si="11"/>
        <v>#N/A</v>
      </c>
      <c r="N17" s="50" t="e">
        <f t="shared" si="12"/>
        <v>#N/A</v>
      </c>
      <c r="O17" s="46" t="e">
        <f t="shared" si="13"/>
        <v>#N/A</v>
      </c>
      <c r="P17" s="50" t="e">
        <f t="shared" si="14"/>
        <v>#N/A</v>
      </c>
      <c r="Q17" s="46" t="e">
        <f t="shared" si="15"/>
        <v>#N/A</v>
      </c>
      <c r="R17" s="50" t="e">
        <f t="shared" si="16"/>
        <v>#N/A</v>
      </c>
      <c r="S17" s="46" t="e">
        <f t="shared" si="17"/>
        <v>#N/A</v>
      </c>
      <c r="T17" s="50" t="e">
        <f t="shared" si="18"/>
        <v>#N/A</v>
      </c>
      <c r="U17" s="46" t="e">
        <f t="shared" si="19"/>
        <v>#N/A</v>
      </c>
      <c r="V17" s="50" t="e">
        <f t="shared" si="20"/>
        <v>#N/A</v>
      </c>
      <c r="W17" s="46" t="e">
        <f t="shared" si="21"/>
        <v>#N/A</v>
      </c>
      <c r="X17" s="50" t="e">
        <f t="shared" si="22"/>
        <v>#N/A</v>
      </c>
      <c r="Y17" s="46" t="e">
        <f t="shared" si="23"/>
        <v>#N/A</v>
      </c>
      <c r="Z17" s="50" t="e">
        <f t="shared" si="24"/>
        <v>#N/A</v>
      </c>
      <c r="AA17" s="13"/>
      <c r="AB17" s="15" t="e">
        <f t="shared" si="1"/>
        <v>#N/A</v>
      </c>
      <c r="AC17" s="15" t="e">
        <f t="shared" si="2"/>
        <v>#N/A</v>
      </c>
      <c r="AD17" s="9" t="e">
        <f>ROUND(IF(A17="","",IF(AC17="  ",AB17-Date!$B$3,AB17-AC17)),0)</f>
        <v>#N/A</v>
      </c>
      <c r="AE17" s="12"/>
    </row>
    <row r="18" spans="1:31" ht="23.25" x14ac:dyDescent="0.25">
      <c r="A18" s="9" t="s">
        <v>149</v>
      </c>
      <c r="B18" s="8" t="e">
        <f t="shared" si="0"/>
        <v>#N/A</v>
      </c>
      <c r="C18" s="13"/>
      <c r="D18" s="46" t="e">
        <f t="shared" si="3"/>
        <v>#N/A</v>
      </c>
      <c r="E18" s="50" t="e">
        <f t="shared" si="4"/>
        <v>#N/A</v>
      </c>
      <c r="F18" s="46" t="e">
        <f t="shared" si="5"/>
        <v>#N/A</v>
      </c>
      <c r="G18" s="50" t="e">
        <f t="shared" si="6"/>
        <v>#N/A</v>
      </c>
      <c r="H18" s="46" t="e">
        <f t="shared" si="7"/>
        <v>#N/A</v>
      </c>
      <c r="I18" s="50" t="e">
        <f t="shared" si="8"/>
        <v>#N/A</v>
      </c>
      <c r="J18" s="13"/>
      <c r="K18" s="46" t="e">
        <f t="shared" si="9"/>
        <v>#N/A</v>
      </c>
      <c r="L18" s="50" t="e">
        <f t="shared" si="10"/>
        <v>#N/A</v>
      </c>
      <c r="M18" s="46" t="e">
        <f t="shared" si="11"/>
        <v>#N/A</v>
      </c>
      <c r="N18" s="50" t="e">
        <f t="shared" si="12"/>
        <v>#N/A</v>
      </c>
      <c r="O18" s="46" t="e">
        <f t="shared" si="13"/>
        <v>#N/A</v>
      </c>
      <c r="P18" s="50" t="e">
        <f t="shared" si="14"/>
        <v>#N/A</v>
      </c>
      <c r="Q18" s="46" t="e">
        <f t="shared" si="15"/>
        <v>#N/A</v>
      </c>
      <c r="R18" s="50" t="e">
        <f t="shared" si="16"/>
        <v>#N/A</v>
      </c>
      <c r="S18" s="46" t="e">
        <f t="shared" si="17"/>
        <v>#N/A</v>
      </c>
      <c r="T18" s="50" t="e">
        <f t="shared" si="18"/>
        <v>#N/A</v>
      </c>
      <c r="U18" s="46" t="e">
        <f t="shared" si="19"/>
        <v>#N/A</v>
      </c>
      <c r="V18" s="50" t="e">
        <f t="shared" si="20"/>
        <v>#N/A</v>
      </c>
      <c r="W18" s="46" t="e">
        <f t="shared" si="21"/>
        <v>#N/A</v>
      </c>
      <c r="X18" s="50" t="e">
        <f t="shared" si="22"/>
        <v>#N/A</v>
      </c>
      <c r="Y18" s="46" t="e">
        <f t="shared" si="23"/>
        <v>#N/A</v>
      </c>
      <c r="Z18" s="50" t="e">
        <f t="shared" si="24"/>
        <v>#N/A</v>
      </c>
      <c r="AA18" s="13"/>
      <c r="AB18" s="15" t="e">
        <f t="shared" si="1"/>
        <v>#N/A</v>
      </c>
      <c r="AC18" s="15" t="e">
        <f t="shared" si="2"/>
        <v>#N/A</v>
      </c>
      <c r="AD18" s="9" t="e">
        <f>ROUND(IF(A18="","",IF(AC18="  ",AB18-Date!$B$3,AB18-AC18)),0)</f>
        <v>#N/A</v>
      </c>
      <c r="AE18" s="12"/>
    </row>
    <row r="19" spans="1:31" ht="23.25" x14ac:dyDescent="0.25">
      <c r="A19" s="9" t="s">
        <v>150</v>
      </c>
      <c r="B19" s="8" t="e">
        <f t="shared" si="0"/>
        <v>#N/A</v>
      </c>
      <c r="C19" s="13"/>
      <c r="D19" s="46" t="e">
        <f t="shared" si="3"/>
        <v>#N/A</v>
      </c>
      <c r="E19" s="50" t="e">
        <f t="shared" si="4"/>
        <v>#N/A</v>
      </c>
      <c r="F19" s="46" t="e">
        <f t="shared" si="5"/>
        <v>#N/A</v>
      </c>
      <c r="G19" s="50" t="e">
        <f t="shared" si="6"/>
        <v>#N/A</v>
      </c>
      <c r="H19" s="46" t="e">
        <f t="shared" si="7"/>
        <v>#N/A</v>
      </c>
      <c r="I19" s="50" t="e">
        <f t="shared" si="8"/>
        <v>#N/A</v>
      </c>
      <c r="J19" s="13"/>
      <c r="K19" s="46" t="e">
        <f t="shared" si="9"/>
        <v>#N/A</v>
      </c>
      <c r="L19" s="50" t="e">
        <f t="shared" si="10"/>
        <v>#N/A</v>
      </c>
      <c r="M19" s="46" t="e">
        <f t="shared" si="11"/>
        <v>#N/A</v>
      </c>
      <c r="N19" s="50" t="e">
        <f t="shared" si="12"/>
        <v>#N/A</v>
      </c>
      <c r="O19" s="46" t="e">
        <f t="shared" si="13"/>
        <v>#N/A</v>
      </c>
      <c r="P19" s="50" t="e">
        <f t="shared" si="14"/>
        <v>#N/A</v>
      </c>
      <c r="Q19" s="46" t="e">
        <f t="shared" si="15"/>
        <v>#N/A</v>
      </c>
      <c r="R19" s="50" t="e">
        <f t="shared" si="16"/>
        <v>#N/A</v>
      </c>
      <c r="S19" s="46" t="e">
        <f t="shared" si="17"/>
        <v>#N/A</v>
      </c>
      <c r="T19" s="50" t="e">
        <f t="shared" si="18"/>
        <v>#N/A</v>
      </c>
      <c r="U19" s="46" t="e">
        <f t="shared" si="19"/>
        <v>#N/A</v>
      </c>
      <c r="V19" s="50" t="e">
        <f t="shared" si="20"/>
        <v>#N/A</v>
      </c>
      <c r="W19" s="46" t="e">
        <f t="shared" si="21"/>
        <v>#N/A</v>
      </c>
      <c r="X19" s="50" t="e">
        <f t="shared" si="22"/>
        <v>#N/A</v>
      </c>
      <c r="Y19" s="46" t="e">
        <f t="shared" si="23"/>
        <v>#N/A</v>
      </c>
      <c r="Z19" s="50" t="e">
        <f t="shared" si="24"/>
        <v>#N/A</v>
      </c>
      <c r="AA19" s="13"/>
      <c r="AB19" s="15" t="e">
        <f t="shared" si="1"/>
        <v>#N/A</v>
      </c>
      <c r="AC19" s="15" t="e">
        <f t="shared" si="2"/>
        <v>#N/A</v>
      </c>
      <c r="AD19" s="9" t="e">
        <f>ROUND(IF(A19="","",IF(AC19="  ",AB19-Date!$B$3,AB19-AC19)),0)</f>
        <v>#N/A</v>
      </c>
      <c r="AE19" s="12"/>
    </row>
    <row r="20" spans="1:31" ht="23.25" x14ac:dyDescent="0.25">
      <c r="A20" s="9" t="s">
        <v>151</v>
      </c>
      <c r="B20" s="8" t="e">
        <f t="shared" si="0"/>
        <v>#N/A</v>
      </c>
      <c r="C20" s="13"/>
      <c r="D20" s="46" t="e">
        <f t="shared" si="3"/>
        <v>#N/A</v>
      </c>
      <c r="E20" s="50" t="e">
        <f t="shared" si="4"/>
        <v>#N/A</v>
      </c>
      <c r="F20" s="46" t="e">
        <f t="shared" si="5"/>
        <v>#N/A</v>
      </c>
      <c r="G20" s="50" t="e">
        <f t="shared" si="6"/>
        <v>#N/A</v>
      </c>
      <c r="H20" s="46" t="e">
        <f t="shared" si="7"/>
        <v>#N/A</v>
      </c>
      <c r="I20" s="50" t="e">
        <f t="shared" si="8"/>
        <v>#N/A</v>
      </c>
      <c r="J20" s="13"/>
      <c r="K20" s="46" t="e">
        <f t="shared" si="9"/>
        <v>#N/A</v>
      </c>
      <c r="L20" s="50" t="e">
        <f t="shared" si="10"/>
        <v>#N/A</v>
      </c>
      <c r="M20" s="46" t="e">
        <f t="shared" si="11"/>
        <v>#N/A</v>
      </c>
      <c r="N20" s="50" t="e">
        <f t="shared" si="12"/>
        <v>#N/A</v>
      </c>
      <c r="O20" s="46" t="e">
        <f t="shared" si="13"/>
        <v>#N/A</v>
      </c>
      <c r="P20" s="50" t="e">
        <f t="shared" si="14"/>
        <v>#N/A</v>
      </c>
      <c r="Q20" s="46" t="e">
        <f t="shared" si="15"/>
        <v>#N/A</v>
      </c>
      <c r="R20" s="50" t="e">
        <f t="shared" si="16"/>
        <v>#N/A</v>
      </c>
      <c r="S20" s="46" t="e">
        <f t="shared" si="17"/>
        <v>#N/A</v>
      </c>
      <c r="T20" s="50" t="e">
        <f t="shared" si="18"/>
        <v>#N/A</v>
      </c>
      <c r="U20" s="46" t="e">
        <f t="shared" si="19"/>
        <v>#N/A</v>
      </c>
      <c r="V20" s="50" t="e">
        <f t="shared" si="20"/>
        <v>#N/A</v>
      </c>
      <c r="W20" s="46" t="e">
        <f t="shared" si="21"/>
        <v>#N/A</v>
      </c>
      <c r="X20" s="50" t="e">
        <f t="shared" si="22"/>
        <v>#N/A</v>
      </c>
      <c r="Y20" s="46" t="e">
        <f t="shared" si="23"/>
        <v>#N/A</v>
      </c>
      <c r="Z20" s="50" t="e">
        <f t="shared" si="24"/>
        <v>#N/A</v>
      </c>
      <c r="AA20" s="13"/>
      <c r="AB20" s="15" t="e">
        <f t="shared" si="1"/>
        <v>#N/A</v>
      </c>
      <c r="AC20" s="15" t="e">
        <f t="shared" si="2"/>
        <v>#N/A</v>
      </c>
      <c r="AD20" s="9" t="e">
        <f>ROUND(IF(A20="","",IF(AC20="  ",AB20-Date!$B$3,AB20-AC20)),0)</f>
        <v>#N/A</v>
      </c>
      <c r="AE20" s="12"/>
    </row>
    <row r="21" spans="1:31" ht="23.25" x14ac:dyDescent="0.25">
      <c r="A21" s="9" t="s">
        <v>152</v>
      </c>
      <c r="B21" s="8" t="e">
        <f t="shared" si="0"/>
        <v>#N/A</v>
      </c>
      <c r="C21" s="13"/>
      <c r="D21" s="46" t="e">
        <f t="shared" si="3"/>
        <v>#N/A</v>
      </c>
      <c r="E21" s="50" t="e">
        <f t="shared" si="4"/>
        <v>#N/A</v>
      </c>
      <c r="F21" s="46" t="e">
        <f t="shared" si="5"/>
        <v>#N/A</v>
      </c>
      <c r="G21" s="50" t="e">
        <f t="shared" si="6"/>
        <v>#N/A</v>
      </c>
      <c r="H21" s="46" t="e">
        <f t="shared" si="7"/>
        <v>#N/A</v>
      </c>
      <c r="I21" s="50" t="e">
        <f t="shared" si="8"/>
        <v>#N/A</v>
      </c>
      <c r="J21" s="13"/>
      <c r="K21" s="46" t="e">
        <f t="shared" si="9"/>
        <v>#N/A</v>
      </c>
      <c r="L21" s="50" t="e">
        <f t="shared" si="10"/>
        <v>#N/A</v>
      </c>
      <c r="M21" s="46" t="e">
        <f t="shared" si="11"/>
        <v>#N/A</v>
      </c>
      <c r="N21" s="50" t="e">
        <f t="shared" si="12"/>
        <v>#N/A</v>
      </c>
      <c r="O21" s="46" t="e">
        <f t="shared" si="13"/>
        <v>#N/A</v>
      </c>
      <c r="P21" s="50" t="e">
        <f t="shared" si="14"/>
        <v>#N/A</v>
      </c>
      <c r="Q21" s="46" t="e">
        <f t="shared" si="15"/>
        <v>#N/A</v>
      </c>
      <c r="R21" s="50" t="e">
        <f t="shared" si="16"/>
        <v>#N/A</v>
      </c>
      <c r="S21" s="46" t="e">
        <f t="shared" si="17"/>
        <v>#N/A</v>
      </c>
      <c r="T21" s="50" t="e">
        <f t="shared" si="18"/>
        <v>#N/A</v>
      </c>
      <c r="U21" s="46" t="e">
        <f t="shared" si="19"/>
        <v>#N/A</v>
      </c>
      <c r="V21" s="50" t="e">
        <f t="shared" si="20"/>
        <v>#N/A</v>
      </c>
      <c r="W21" s="46" t="e">
        <f t="shared" si="21"/>
        <v>#N/A</v>
      </c>
      <c r="X21" s="50" t="e">
        <f t="shared" si="22"/>
        <v>#N/A</v>
      </c>
      <c r="Y21" s="46" t="e">
        <f t="shared" si="23"/>
        <v>#N/A</v>
      </c>
      <c r="Z21" s="50" t="e">
        <f t="shared" si="24"/>
        <v>#N/A</v>
      </c>
      <c r="AA21" s="13"/>
      <c r="AB21" s="15" t="e">
        <f t="shared" si="1"/>
        <v>#N/A</v>
      </c>
      <c r="AC21" s="15" t="e">
        <f t="shared" si="2"/>
        <v>#N/A</v>
      </c>
      <c r="AD21" s="9" t="e">
        <f>ROUND(IF(A21="","",IF(AC21="  ",AB21-Date!$B$3,AB21-AC21)),0)</f>
        <v>#N/A</v>
      </c>
      <c r="AE21" s="12"/>
    </row>
    <row r="22" spans="1:31" ht="23.25" x14ac:dyDescent="0.25">
      <c r="A22" s="9" t="s">
        <v>153</v>
      </c>
      <c r="B22" s="8" t="e">
        <f t="shared" si="0"/>
        <v>#N/A</v>
      </c>
      <c r="C22" s="13"/>
      <c r="D22" s="46" t="e">
        <f t="shared" si="3"/>
        <v>#N/A</v>
      </c>
      <c r="E22" s="50" t="e">
        <f t="shared" si="4"/>
        <v>#N/A</v>
      </c>
      <c r="F22" s="46" t="e">
        <f t="shared" si="5"/>
        <v>#N/A</v>
      </c>
      <c r="G22" s="50" t="e">
        <f t="shared" si="6"/>
        <v>#N/A</v>
      </c>
      <c r="H22" s="46" t="e">
        <f t="shared" si="7"/>
        <v>#N/A</v>
      </c>
      <c r="I22" s="50" t="e">
        <f t="shared" si="8"/>
        <v>#N/A</v>
      </c>
      <c r="J22" s="13"/>
      <c r="K22" s="46" t="e">
        <f t="shared" si="9"/>
        <v>#N/A</v>
      </c>
      <c r="L22" s="50" t="e">
        <f t="shared" si="10"/>
        <v>#N/A</v>
      </c>
      <c r="M22" s="46" t="e">
        <f t="shared" si="11"/>
        <v>#N/A</v>
      </c>
      <c r="N22" s="50" t="e">
        <f t="shared" si="12"/>
        <v>#N/A</v>
      </c>
      <c r="O22" s="46" t="e">
        <f t="shared" si="13"/>
        <v>#N/A</v>
      </c>
      <c r="P22" s="50" t="e">
        <f t="shared" si="14"/>
        <v>#N/A</v>
      </c>
      <c r="Q22" s="46" t="e">
        <f t="shared" si="15"/>
        <v>#N/A</v>
      </c>
      <c r="R22" s="50" t="e">
        <f t="shared" si="16"/>
        <v>#N/A</v>
      </c>
      <c r="S22" s="46" t="e">
        <f t="shared" si="17"/>
        <v>#N/A</v>
      </c>
      <c r="T22" s="50" t="e">
        <f t="shared" si="18"/>
        <v>#N/A</v>
      </c>
      <c r="U22" s="46" t="e">
        <f t="shared" si="19"/>
        <v>#N/A</v>
      </c>
      <c r="V22" s="50" t="e">
        <f t="shared" si="20"/>
        <v>#N/A</v>
      </c>
      <c r="W22" s="46" t="e">
        <f t="shared" si="21"/>
        <v>#N/A</v>
      </c>
      <c r="X22" s="50" t="e">
        <f t="shared" si="22"/>
        <v>#N/A</v>
      </c>
      <c r="Y22" s="46" t="e">
        <f t="shared" si="23"/>
        <v>#N/A</v>
      </c>
      <c r="Z22" s="50" t="e">
        <f t="shared" si="24"/>
        <v>#N/A</v>
      </c>
      <c r="AA22" s="13"/>
      <c r="AB22" s="15" t="e">
        <f t="shared" si="1"/>
        <v>#N/A</v>
      </c>
      <c r="AC22" s="15" t="e">
        <f t="shared" si="2"/>
        <v>#N/A</v>
      </c>
      <c r="AD22" s="9" t="e">
        <f>ROUND(IF(A22="","",IF(AC22="  ",AB22-Date!$B$3,AB22-AC22)),0)</f>
        <v>#N/A</v>
      </c>
      <c r="AE22" s="12"/>
    </row>
    <row r="23" spans="1:31" ht="23.25" x14ac:dyDescent="0.25">
      <c r="A23" s="9" t="s">
        <v>154</v>
      </c>
      <c r="B23" s="8" t="e">
        <f t="shared" si="0"/>
        <v>#N/A</v>
      </c>
      <c r="C23" s="13"/>
      <c r="D23" s="46" t="e">
        <f t="shared" si="3"/>
        <v>#N/A</v>
      </c>
      <c r="E23" s="50" t="e">
        <f t="shared" si="4"/>
        <v>#N/A</v>
      </c>
      <c r="F23" s="46" t="e">
        <f t="shared" si="5"/>
        <v>#N/A</v>
      </c>
      <c r="G23" s="50" t="e">
        <f t="shared" si="6"/>
        <v>#N/A</v>
      </c>
      <c r="H23" s="46" t="e">
        <f t="shared" si="7"/>
        <v>#N/A</v>
      </c>
      <c r="I23" s="50" t="e">
        <f t="shared" si="8"/>
        <v>#N/A</v>
      </c>
      <c r="J23" s="13"/>
      <c r="K23" s="46" t="e">
        <f t="shared" si="9"/>
        <v>#N/A</v>
      </c>
      <c r="L23" s="50" t="e">
        <f t="shared" si="10"/>
        <v>#N/A</v>
      </c>
      <c r="M23" s="46" t="e">
        <f t="shared" si="11"/>
        <v>#N/A</v>
      </c>
      <c r="N23" s="50" t="e">
        <f t="shared" si="12"/>
        <v>#N/A</v>
      </c>
      <c r="O23" s="46" t="e">
        <f t="shared" si="13"/>
        <v>#N/A</v>
      </c>
      <c r="P23" s="50" t="e">
        <f t="shared" si="14"/>
        <v>#N/A</v>
      </c>
      <c r="Q23" s="46" t="e">
        <f t="shared" si="15"/>
        <v>#N/A</v>
      </c>
      <c r="R23" s="50" t="e">
        <f t="shared" si="16"/>
        <v>#N/A</v>
      </c>
      <c r="S23" s="46" t="e">
        <f t="shared" si="17"/>
        <v>#N/A</v>
      </c>
      <c r="T23" s="50" t="e">
        <f t="shared" si="18"/>
        <v>#N/A</v>
      </c>
      <c r="U23" s="46" t="e">
        <f t="shared" si="19"/>
        <v>#N/A</v>
      </c>
      <c r="V23" s="50" t="e">
        <f t="shared" si="20"/>
        <v>#N/A</v>
      </c>
      <c r="W23" s="46" t="e">
        <f t="shared" si="21"/>
        <v>#N/A</v>
      </c>
      <c r="X23" s="50" t="e">
        <f t="shared" si="22"/>
        <v>#N/A</v>
      </c>
      <c r="Y23" s="46" t="e">
        <f t="shared" si="23"/>
        <v>#N/A</v>
      </c>
      <c r="Z23" s="50" t="e">
        <f t="shared" si="24"/>
        <v>#N/A</v>
      </c>
      <c r="AA23" s="13"/>
      <c r="AB23" s="15" t="e">
        <f t="shared" si="1"/>
        <v>#N/A</v>
      </c>
      <c r="AC23" s="15" t="e">
        <f t="shared" si="2"/>
        <v>#N/A</v>
      </c>
      <c r="AD23" s="9" t="e">
        <f>ROUND(IF(A23="","",IF(AC23="  ",AB23-Date!$B$3,AB23-AC23)),0)</f>
        <v>#N/A</v>
      </c>
      <c r="AE23" s="12"/>
    </row>
    <row r="24" spans="1:31" ht="23.25" x14ac:dyDescent="0.25">
      <c r="A24" s="9" t="s">
        <v>155</v>
      </c>
      <c r="B24" s="8" t="e">
        <f t="shared" si="0"/>
        <v>#N/A</v>
      </c>
      <c r="C24" s="13"/>
      <c r="D24" s="46" t="e">
        <f t="shared" si="3"/>
        <v>#N/A</v>
      </c>
      <c r="E24" s="50" t="e">
        <f t="shared" si="4"/>
        <v>#N/A</v>
      </c>
      <c r="F24" s="46" t="e">
        <f t="shared" si="5"/>
        <v>#N/A</v>
      </c>
      <c r="G24" s="50" t="e">
        <f t="shared" si="6"/>
        <v>#N/A</v>
      </c>
      <c r="H24" s="46" t="e">
        <f t="shared" si="7"/>
        <v>#N/A</v>
      </c>
      <c r="I24" s="50" t="e">
        <f t="shared" si="8"/>
        <v>#N/A</v>
      </c>
      <c r="J24" s="13"/>
      <c r="K24" s="46" t="e">
        <f t="shared" si="9"/>
        <v>#N/A</v>
      </c>
      <c r="L24" s="50" t="e">
        <f t="shared" si="10"/>
        <v>#N/A</v>
      </c>
      <c r="M24" s="46" t="e">
        <f t="shared" si="11"/>
        <v>#N/A</v>
      </c>
      <c r="N24" s="50" t="e">
        <f t="shared" si="12"/>
        <v>#N/A</v>
      </c>
      <c r="O24" s="46" t="e">
        <f t="shared" si="13"/>
        <v>#N/A</v>
      </c>
      <c r="P24" s="50" t="e">
        <f t="shared" si="14"/>
        <v>#N/A</v>
      </c>
      <c r="Q24" s="46" t="e">
        <f t="shared" si="15"/>
        <v>#N/A</v>
      </c>
      <c r="R24" s="50" t="e">
        <f t="shared" si="16"/>
        <v>#N/A</v>
      </c>
      <c r="S24" s="46" t="e">
        <f t="shared" si="17"/>
        <v>#N/A</v>
      </c>
      <c r="T24" s="50" t="e">
        <f t="shared" si="18"/>
        <v>#N/A</v>
      </c>
      <c r="U24" s="46" t="e">
        <f t="shared" si="19"/>
        <v>#N/A</v>
      </c>
      <c r="V24" s="50" t="e">
        <f t="shared" si="20"/>
        <v>#N/A</v>
      </c>
      <c r="W24" s="46" t="e">
        <f t="shared" si="21"/>
        <v>#N/A</v>
      </c>
      <c r="X24" s="50" t="e">
        <f t="shared" si="22"/>
        <v>#N/A</v>
      </c>
      <c r="Y24" s="46" t="e">
        <f t="shared" si="23"/>
        <v>#N/A</v>
      </c>
      <c r="Z24" s="50" t="e">
        <f t="shared" si="24"/>
        <v>#N/A</v>
      </c>
      <c r="AA24" s="13"/>
      <c r="AB24" s="15" t="e">
        <f t="shared" si="1"/>
        <v>#N/A</v>
      </c>
      <c r="AC24" s="15" t="e">
        <f t="shared" si="2"/>
        <v>#N/A</v>
      </c>
      <c r="AD24" s="9" t="e">
        <f>ROUND(IF(A24="","",IF(AC24="  ",AB24-Date!$B$3,AB24-AC24)),0)</f>
        <v>#N/A</v>
      </c>
      <c r="AE24" s="12"/>
    </row>
    <row r="25" spans="1:31" ht="23.25" x14ac:dyDescent="0.25">
      <c r="A25" s="9" t="s">
        <v>156</v>
      </c>
      <c r="B25" s="8" t="e">
        <f t="shared" si="0"/>
        <v>#N/A</v>
      </c>
      <c r="C25" s="13"/>
      <c r="D25" s="46" t="e">
        <f t="shared" si="3"/>
        <v>#N/A</v>
      </c>
      <c r="E25" s="50" t="e">
        <f t="shared" si="4"/>
        <v>#N/A</v>
      </c>
      <c r="F25" s="46" t="e">
        <f t="shared" si="5"/>
        <v>#N/A</v>
      </c>
      <c r="G25" s="50" t="e">
        <f t="shared" si="6"/>
        <v>#N/A</v>
      </c>
      <c r="H25" s="46" t="e">
        <f t="shared" si="7"/>
        <v>#N/A</v>
      </c>
      <c r="I25" s="50" t="e">
        <f t="shared" si="8"/>
        <v>#N/A</v>
      </c>
      <c r="J25" s="13"/>
      <c r="K25" s="46" t="e">
        <f t="shared" si="9"/>
        <v>#N/A</v>
      </c>
      <c r="L25" s="50" t="e">
        <f t="shared" si="10"/>
        <v>#N/A</v>
      </c>
      <c r="M25" s="46" t="e">
        <f t="shared" si="11"/>
        <v>#N/A</v>
      </c>
      <c r="N25" s="50" t="e">
        <f t="shared" si="12"/>
        <v>#N/A</v>
      </c>
      <c r="O25" s="46" t="e">
        <f t="shared" si="13"/>
        <v>#N/A</v>
      </c>
      <c r="P25" s="50" t="e">
        <f t="shared" si="14"/>
        <v>#N/A</v>
      </c>
      <c r="Q25" s="46" t="e">
        <f t="shared" si="15"/>
        <v>#N/A</v>
      </c>
      <c r="R25" s="50" t="e">
        <f t="shared" si="16"/>
        <v>#N/A</v>
      </c>
      <c r="S25" s="46" t="e">
        <f t="shared" si="17"/>
        <v>#N/A</v>
      </c>
      <c r="T25" s="50" t="e">
        <f t="shared" si="18"/>
        <v>#N/A</v>
      </c>
      <c r="U25" s="46" t="e">
        <f t="shared" si="19"/>
        <v>#N/A</v>
      </c>
      <c r="V25" s="50" t="e">
        <f t="shared" si="20"/>
        <v>#N/A</v>
      </c>
      <c r="W25" s="46" t="e">
        <f t="shared" si="21"/>
        <v>#N/A</v>
      </c>
      <c r="X25" s="50" t="e">
        <f t="shared" si="22"/>
        <v>#N/A</v>
      </c>
      <c r="Y25" s="46" t="e">
        <f t="shared" si="23"/>
        <v>#N/A</v>
      </c>
      <c r="Z25" s="50" t="e">
        <f t="shared" si="24"/>
        <v>#N/A</v>
      </c>
      <c r="AA25" s="13"/>
      <c r="AB25" s="15" t="e">
        <f t="shared" si="1"/>
        <v>#N/A</v>
      </c>
      <c r="AC25" s="15" t="e">
        <f t="shared" si="2"/>
        <v>#N/A</v>
      </c>
      <c r="AD25" s="9" t="e">
        <f>ROUND(IF(A25="","",IF(AC25="  ",AB25-Date!$B$3,AB25-AC25)),0)</f>
        <v>#N/A</v>
      </c>
      <c r="AE25" s="12"/>
    </row>
    <row r="26" spans="1:31" ht="23.25" x14ac:dyDescent="0.25">
      <c r="A26" s="9" t="s">
        <v>157</v>
      </c>
      <c r="B26" s="8" t="e">
        <f t="shared" si="0"/>
        <v>#N/A</v>
      </c>
      <c r="C26" s="13"/>
      <c r="D26" s="46" t="e">
        <f t="shared" si="3"/>
        <v>#N/A</v>
      </c>
      <c r="E26" s="50" t="e">
        <f t="shared" si="4"/>
        <v>#N/A</v>
      </c>
      <c r="F26" s="46" t="e">
        <f t="shared" si="5"/>
        <v>#N/A</v>
      </c>
      <c r="G26" s="50" t="e">
        <f t="shared" si="6"/>
        <v>#N/A</v>
      </c>
      <c r="H26" s="46" t="e">
        <f t="shared" si="7"/>
        <v>#N/A</v>
      </c>
      <c r="I26" s="50" t="e">
        <f t="shared" si="8"/>
        <v>#N/A</v>
      </c>
      <c r="J26" s="13"/>
      <c r="K26" s="46" t="e">
        <f t="shared" si="9"/>
        <v>#N/A</v>
      </c>
      <c r="L26" s="50" t="e">
        <f t="shared" si="10"/>
        <v>#N/A</v>
      </c>
      <c r="M26" s="46" t="e">
        <f t="shared" si="11"/>
        <v>#N/A</v>
      </c>
      <c r="N26" s="50" t="e">
        <f t="shared" si="12"/>
        <v>#N/A</v>
      </c>
      <c r="O26" s="46" t="e">
        <f t="shared" si="13"/>
        <v>#N/A</v>
      </c>
      <c r="P26" s="50" t="e">
        <f t="shared" si="14"/>
        <v>#N/A</v>
      </c>
      <c r="Q26" s="46" t="e">
        <f t="shared" si="15"/>
        <v>#N/A</v>
      </c>
      <c r="R26" s="50" t="e">
        <f t="shared" si="16"/>
        <v>#N/A</v>
      </c>
      <c r="S26" s="46" t="e">
        <f t="shared" si="17"/>
        <v>#N/A</v>
      </c>
      <c r="T26" s="50" t="e">
        <f t="shared" si="18"/>
        <v>#N/A</v>
      </c>
      <c r="U26" s="46" t="e">
        <f t="shared" si="19"/>
        <v>#N/A</v>
      </c>
      <c r="V26" s="50" t="e">
        <f t="shared" si="20"/>
        <v>#N/A</v>
      </c>
      <c r="W26" s="46" t="e">
        <f t="shared" si="21"/>
        <v>#N/A</v>
      </c>
      <c r="X26" s="50" t="e">
        <f t="shared" si="22"/>
        <v>#N/A</v>
      </c>
      <c r="Y26" s="46" t="e">
        <f t="shared" si="23"/>
        <v>#N/A</v>
      </c>
      <c r="Z26" s="50" t="e">
        <f t="shared" si="24"/>
        <v>#N/A</v>
      </c>
      <c r="AA26" s="13"/>
      <c r="AB26" s="15" t="e">
        <f t="shared" si="1"/>
        <v>#N/A</v>
      </c>
      <c r="AC26" s="15" t="e">
        <f t="shared" si="2"/>
        <v>#N/A</v>
      </c>
      <c r="AD26" s="9" t="e">
        <f>ROUND(IF(A26="","",IF(AC26="  ",AB26-Date!$B$3,AB26-AC26)),0)</f>
        <v>#N/A</v>
      </c>
      <c r="AE26" s="12"/>
    </row>
    <row r="27" spans="1:31" ht="23.25" x14ac:dyDescent="0.25">
      <c r="A27" s="9" t="s">
        <v>158</v>
      </c>
      <c r="B27" s="8" t="e">
        <f t="shared" si="0"/>
        <v>#N/A</v>
      </c>
      <c r="C27" s="13"/>
      <c r="D27" s="46" t="e">
        <f t="shared" si="3"/>
        <v>#N/A</v>
      </c>
      <c r="E27" s="50" t="e">
        <f t="shared" si="4"/>
        <v>#N/A</v>
      </c>
      <c r="F27" s="46" t="e">
        <f t="shared" si="5"/>
        <v>#N/A</v>
      </c>
      <c r="G27" s="50" t="e">
        <f t="shared" si="6"/>
        <v>#N/A</v>
      </c>
      <c r="H27" s="46" t="e">
        <f t="shared" si="7"/>
        <v>#N/A</v>
      </c>
      <c r="I27" s="50" t="e">
        <f t="shared" si="8"/>
        <v>#N/A</v>
      </c>
      <c r="J27" s="13"/>
      <c r="K27" s="46" t="e">
        <f t="shared" si="9"/>
        <v>#N/A</v>
      </c>
      <c r="L27" s="50" t="e">
        <f t="shared" si="10"/>
        <v>#N/A</v>
      </c>
      <c r="M27" s="46" t="e">
        <f t="shared" si="11"/>
        <v>#N/A</v>
      </c>
      <c r="N27" s="50" t="e">
        <f t="shared" si="12"/>
        <v>#N/A</v>
      </c>
      <c r="O27" s="46" t="e">
        <f t="shared" si="13"/>
        <v>#N/A</v>
      </c>
      <c r="P27" s="50" t="e">
        <f t="shared" si="14"/>
        <v>#N/A</v>
      </c>
      <c r="Q27" s="46" t="e">
        <f t="shared" si="15"/>
        <v>#N/A</v>
      </c>
      <c r="R27" s="50" t="e">
        <f t="shared" si="16"/>
        <v>#N/A</v>
      </c>
      <c r="S27" s="46" t="e">
        <f t="shared" si="17"/>
        <v>#N/A</v>
      </c>
      <c r="T27" s="50" t="e">
        <f t="shared" si="18"/>
        <v>#N/A</v>
      </c>
      <c r="U27" s="46" t="e">
        <f t="shared" si="19"/>
        <v>#N/A</v>
      </c>
      <c r="V27" s="50" t="e">
        <f t="shared" si="20"/>
        <v>#N/A</v>
      </c>
      <c r="W27" s="46" t="e">
        <f t="shared" si="21"/>
        <v>#N/A</v>
      </c>
      <c r="X27" s="50" t="e">
        <f t="shared" si="22"/>
        <v>#N/A</v>
      </c>
      <c r="Y27" s="46" t="e">
        <f t="shared" si="23"/>
        <v>#N/A</v>
      </c>
      <c r="Z27" s="50" t="e">
        <f t="shared" si="24"/>
        <v>#N/A</v>
      </c>
      <c r="AA27" s="13"/>
      <c r="AB27" s="15" t="e">
        <f t="shared" si="1"/>
        <v>#N/A</v>
      </c>
      <c r="AC27" s="15" t="e">
        <f t="shared" si="2"/>
        <v>#N/A</v>
      </c>
      <c r="AD27" s="9" t="e">
        <f>ROUND(IF(A27="","",IF(AC27="  ",AB27-Date!$B$3,AB27-AC27)),0)</f>
        <v>#N/A</v>
      </c>
      <c r="AE27" s="12"/>
    </row>
    <row r="28" spans="1:31" ht="23.25" x14ac:dyDescent="0.25">
      <c r="A28" s="9" t="s">
        <v>159</v>
      </c>
      <c r="B28" s="8" t="e">
        <f t="shared" si="0"/>
        <v>#N/A</v>
      </c>
      <c r="C28" s="13"/>
      <c r="D28" s="46" t="e">
        <f t="shared" si="3"/>
        <v>#N/A</v>
      </c>
      <c r="E28" s="50" t="e">
        <f t="shared" si="4"/>
        <v>#N/A</v>
      </c>
      <c r="F28" s="46" t="e">
        <f t="shared" si="5"/>
        <v>#N/A</v>
      </c>
      <c r="G28" s="50" t="e">
        <f t="shared" si="6"/>
        <v>#N/A</v>
      </c>
      <c r="H28" s="46" t="e">
        <f t="shared" si="7"/>
        <v>#N/A</v>
      </c>
      <c r="I28" s="50" t="e">
        <f t="shared" si="8"/>
        <v>#N/A</v>
      </c>
      <c r="J28" s="13"/>
      <c r="K28" s="46" t="e">
        <f t="shared" si="9"/>
        <v>#N/A</v>
      </c>
      <c r="L28" s="50" t="e">
        <f t="shared" si="10"/>
        <v>#N/A</v>
      </c>
      <c r="M28" s="46" t="e">
        <f t="shared" si="11"/>
        <v>#N/A</v>
      </c>
      <c r="N28" s="50" t="e">
        <f t="shared" si="12"/>
        <v>#N/A</v>
      </c>
      <c r="O28" s="46" t="e">
        <f t="shared" si="13"/>
        <v>#N/A</v>
      </c>
      <c r="P28" s="50" t="e">
        <f t="shared" si="14"/>
        <v>#N/A</v>
      </c>
      <c r="Q28" s="46" t="e">
        <f t="shared" si="15"/>
        <v>#N/A</v>
      </c>
      <c r="R28" s="50" t="e">
        <f t="shared" si="16"/>
        <v>#N/A</v>
      </c>
      <c r="S28" s="46" t="e">
        <f t="shared" si="17"/>
        <v>#N/A</v>
      </c>
      <c r="T28" s="50" t="e">
        <f t="shared" si="18"/>
        <v>#N/A</v>
      </c>
      <c r="U28" s="46" t="e">
        <f t="shared" si="19"/>
        <v>#N/A</v>
      </c>
      <c r="V28" s="50" t="e">
        <f t="shared" si="20"/>
        <v>#N/A</v>
      </c>
      <c r="W28" s="46" t="e">
        <f t="shared" si="21"/>
        <v>#N/A</v>
      </c>
      <c r="X28" s="50" t="e">
        <f t="shared" si="22"/>
        <v>#N/A</v>
      </c>
      <c r="Y28" s="46" t="e">
        <f t="shared" si="23"/>
        <v>#N/A</v>
      </c>
      <c r="Z28" s="50" t="e">
        <f t="shared" si="24"/>
        <v>#N/A</v>
      </c>
      <c r="AA28" s="13"/>
      <c r="AB28" s="15" t="e">
        <f t="shared" si="1"/>
        <v>#N/A</v>
      </c>
      <c r="AC28" s="15" t="e">
        <f t="shared" si="2"/>
        <v>#N/A</v>
      </c>
      <c r="AD28" s="9" t="e">
        <f>ROUND(IF(A28="","",IF(AC28="  ",AB28-Date!$B$3,AB28-AC28)),0)</f>
        <v>#N/A</v>
      </c>
      <c r="AE28" s="12"/>
    </row>
    <row r="29" spans="1:31" ht="23.25" x14ac:dyDescent="0.25">
      <c r="A29" s="9" t="s">
        <v>160</v>
      </c>
      <c r="B29" s="8" t="e">
        <f t="shared" si="0"/>
        <v>#N/A</v>
      </c>
      <c r="C29" s="13"/>
      <c r="D29" s="46" t="e">
        <f t="shared" si="3"/>
        <v>#N/A</v>
      </c>
      <c r="E29" s="50" t="e">
        <f t="shared" si="4"/>
        <v>#N/A</v>
      </c>
      <c r="F29" s="46" t="e">
        <f t="shared" si="5"/>
        <v>#N/A</v>
      </c>
      <c r="G29" s="50" t="e">
        <f t="shared" si="6"/>
        <v>#N/A</v>
      </c>
      <c r="H29" s="46" t="e">
        <f t="shared" si="7"/>
        <v>#N/A</v>
      </c>
      <c r="I29" s="50" t="e">
        <f t="shared" si="8"/>
        <v>#N/A</v>
      </c>
      <c r="J29" s="13"/>
      <c r="K29" s="46" t="e">
        <f t="shared" si="9"/>
        <v>#N/A</v>
      </c>
      <c r="L29" s="50" t="e">
        <f t="shared" si="10"/>
        <v>#N/A</v>
      </c>
      <c r="M29" s="46" t="e">
        <f t="shared" si="11"/>
        <v>#N/A</v>
      </c>
      <c r="N29" s="50" t="e">
        <f t="shared" si="12"/>
        <v>#N/A</v>
      </c>
      <c r="O29" s="46" t="e">
        <f t="shared" si="13"/>
        <v>#N/A</v>
      </c>
      <c r="P29" s="50" t="e">
        <f t="shared" si="14"/>
        <v>#N/A</v>
      </c>
      <c r="Q29" s="46" t="e">
        <f t="shared" si="15"/>
        <v>#N/A</v>
      </c>
      <c r="R29" s="50" t="e">
        <f t="shared" si="16"/>
        <v>#N/A</v>
      </c>
      <c r="S29" s="46" t="e">
        <f t="shared" si="17"/>
        <v>#N/A</v>
      </c>
      <c r="T29" s="50" t="e">
        <f t="shared" si="18"/>
        <v>#N/A</v>
      </c>
      <c r="U29" s="46" t="e">
        <f t="shared" si="19"/>
        <v>#N/A</v>
      </c>
      <c r="V29" s="50" t="e">
        <f t="shared" si="20"/>
        <v>#N/A</v>
      </c>
      <c r="W29" s="46" t="e">
        <f t="shared" si="21"/>
        <v>#N/A</v>
      </c>
      <c r="X29" s="50" t="e">
        <f t="shared" si="22"/>
        <v>#N/A</v>
      </c>
      <c r="Y29" s="46" t="e">
        <f t="shared" si="23"/>
        <v>#N/A</v>
      </c>
      <c r="Z29" s="50" t="e">
        <f t="shared" si="24"/>
        <v>#N/A</v>
      </c>
      <c r="AA29" s="13"/>
      <c r="AB29" s="15" t="e">
        <f t="shared" si="1"/>
        <v>#N/A</v>
      </c>
      <c r="AC29" s="15" t="e">
        <f t="shared" si="2"/>
        <v>#N/A</v>
      </c>
      <c r="AD29" s="9" t="e">
        <f>ROUND(IF(A29="","",IF(AC29="  ",AB29-Date!$B$3,AB29-AC29)),0)</f>
        <v>#N/A</v>
      </c>
      <c r="AE29" s="12"/>
    </row>
    <row r="30" spans="1:31" ht="23.25" x14ac:dyDescent="0.25">
      <c r="A30" s="9" t="s">
        <v>161</v>
      </c>
      <c r="B30" s="8" t="e">
        <f t="shared" si="0"/>
        <v>#N/A</v>
      </c>
      <c r="C30" s="13"/>
      <c r="D30" s="46" t="e">
        <f t="shared" si="3"/>
        <v>#N/A</v>
      </c>
      <c r="E30" s="50" t="e">
        <f t="shared" si="4"/>
        <v>#N/A</v>
      </c>
      <c r="F30" s="46" t="e">
        <f t="shared" si="5"/>
        <v>#N/A</v>
      </c>
      <c r="G30" s="50" t="e">
        <f t="shared" si="6"/>
        <v>#N/A</v>
      </c>
      <c r="H30" s="46" t="e">
        <f t="shared" si="7"/>
        <v>#N/A</v>
      </c>
      <c r="I30" s="50" t="e">
        <f t="shared" si="8"/>
        <v>#N/A</v>
      </c>
      <c r="J30" s="13"/>
      <c r="K30" s="46" t="e">
        <f t="shared" si="9"/>
        <v>#N/A</v>
      </c>
      <c r="L30" s="50" t="e">
        <f t="shared" si="10"/>
        <v>#N/A</v>
      </c>
      <c r="M30" s="46" t="e">
        <f t="shared" si="11"/>
        <v>#N/A</v>
      </c>
      <c r="N30" s="50" t="e">
        <f t="shared" si="12"/>
        <v>#N/A</v>
      </c>
      <c r="O30" s="46" t="e">
        <f t="shared" si="13"/>
        <v>#N/A</v>
      </c>
      <c r="P30" s="50" t="e">
        <f t="shared" si="14"/>
        <v>#N/A</v>
      </c>
      <c r="Q30" s="46" t="e">
        <f t="shared" si="15"/>
        <v>#N/A</v>
      </c>
      <c r="R30" s="50" t="e">
        <f t="shared" si="16"/>
        <v>#N/A</v>
      </c>
      <c r="S30" s="46" t="e">
        <f t="shared" si="17"/>
        <v>#N/A</v>
      </c>
      <c r="T30" s="50" t="e">
        <f t="shared" si="18"/>
        <v>#N/A</v>
      </c>
      <c r="U30" s="46" t="e">
        <f t="shared" si="19"/>
        <v>#N/A</v>
      </c>
      <c r="V30" s="50" t="e">
        <f t="shared" si="20"/>
        <v>#N/A</v>
      </c>
      <c r="W30" s="46" t="e">
        <f t="shared" si="21"/>
        <v>#N/A</v>
      </c>
      <c r="X30" s="50" t="e">
        <f t="shared" si="22"/>
        <v>#N/A</v>
      </c>
      <c r="Y30" s="46" t="e">
        <f t="shared" si="23"/>
        <v>#N/A</v>
      </c>
      <c r="Z30" s="50" t="e">
        <f t="shared" si="24"/>
        <v>#N/A</v>
      </c>
      <c r="AA30" s="13"/>
      <c r="AB30" s="15" t="e">
        <f t="shared" si="1"/>
        <v>#N/A</v>
      </c>
      <c r="AC30" s="15" t="e">
        <f t="shared" si="2"/>
        <v>#N/A</v>
      </c>
      <c r="AD30" s="9" t="e">
        <f>ROUND(IF(A30="","",IF(AC30="  ",AB30-Date!$B$3,AB30-AC30)),0)</f>
        <v>#N/A</v>
      </c>
      <c r="AE30" s="12"/>
    </row>
    <row r="31" spans="1:31" ht="23.25" x14ac:dyDescent="0.25">
      <c r="A31" s="9" t="s">
        <v>162</v>
      </c>
      <c r="B31" s="8" t="e">
        <f t="shared" si="0"/>
        <v>#N/A</v>
      </c>
      <c r="C31" s="13"/>
      <c r="D31" s="46" t="e">
        <f t="shared" si="3"/>
        <v>#N/A</v>
      </c>
      <c r="E31" s="50" t="e">
        <f t="shared" si="4"/>
        <v>#N/A</v>
      </c>
      <c r="F31" s="46" t="e">
        <f t="shared" si="5"/>
        <v>#N/A</v>
      </c>
      <c r="G31" s="50" t="e">
        <f t="shared" si="6"/>
        <v>#N/A</v>
      </c>
      <c r="H31" s="46" t="e">
        <f t="shared" si="7"/>
        <v>#N/A</v>
      </c>
      <c r="I31" s="50" t="e">
        <f t="shared" si="8"/>
        <v>#N/A</v>
      </c>
      <c r="J31" s="13"/>
      <c r="K31" s="46" t="e">
        <f t="shared" si="9"/>
        <v>#N/A</v>
      </c>
      <c r="L31" s="50" t="e">
        <f t="shared" si="10"/>
        <v>#N/A</v>
      </c>
      <c r="M31" s="46" t="e">
        <f t="shared" si="11"/>
        <v>#N/A</v>
      </c>
      <c r="N31" s="50" t="e">
        <f t="shared" si="12"/>
        <v>#N/A</v>
      </c>
      <c r="O31" s="46" t="e">
        <f t="shared" si="13"/>
        <v>#N/A</v>
      </c>
      <c r="P31" s="50" t="e">
        <f t="shared" si="14"/>
        <v>#N/A</v>
      </c>
      <c r="Q31" s="46" t="e">
        <f t="shared" si="15"/>
        <v>#N/A</v>
      </c>
      <c r="R31" s="50" t="e">
        <f t="shared" si="16"/>
        <v>#N/A</v>
      </c>
      <c r="S31" s="46" t="e">
        <f t="shared" si="17"/>
        <v>#N/A</v>
      </c>
      <c r="T31" s="50" t="e">
        <f t="shared" si="18"/>
        <v>#N/A</v>
      </c>
      <c r="U31" s="46" t="e">
        <f t="shared" si="19"/>
        <v>#N/A</v>
      </c>
      <c r="V31" s="50" t="e">
        <f t="shared" si="20"/>
        <v>#N/A</v>
      </c>
      <c r="W31" s="46" t="e">
        <f t="shared" si="21"/>
        <v>#N/A</v>
      </c>
      <c r="X31" s="50" t="e">
        <f t="shared" si="22"/>
        <v>#N/A</v>
      </c>
      <c r="Y31" s="46" t="e">
        <f t="shared" si="23"/>
        <v>#N/A</v>
      </c>
      <c r="Z31" s="50" t="e">
        <f t="shared" si="24"/>
        <v>#N/A</v>
      </c>
      <c r="AA31" s="13"/>
      <c r="AB31" s="15" t="e">
        <f t="shared" si="1"/>
        <v>#N/A</v>
      </c>
      <c r="AC31" s="15" t="e">
        <f t="shared" si="2"/>
        <v>#N/A</v>
      </c>
      <c r="AD31" s="9" t="e">
        <f>ROUND(IF(A31="","",IF(AC31="  ",AB31-Date!$B$3,AB31-AC31)),0)</f>
        <v>#N/A</v>
      </c>
      <c r="AE31" s="12"/>
    </row>
    <row r="32" spans="1:31" ht="23.25" x14ac:dyDescent="0.25">
      <c r="A32" s="9" t="s">
        <v>163</v>
      </c>
      <c r="B32" s="8" t="e">
        <f t="shared" si="0"/>
        <v>#N/A</v>
      </c>
      <c r="C32" s="13"/>
      <c r="D32" s="46" t="e">
        <f t="shared" si="3"/>
        <v>#N/A</v>
      </c>
      <c r="E32" s="50" t="e">
        <f t="shared" si="4"/>
        <v>#N/A</v>
      </c>
      <c r="F32" s="46" t="e">
        <f t="shared" si="5"/>
        <v>#N/A</v>
      </c>
      <c r="G32" s="50" t="e">
        <f t="shared" si="6"/>
        <v>#N/A</v>
      </c>
      <c r="H32" s="46" t="e">
        <f t="shared" si="7"/>
        <v>#N/A</v>
      </c>
      <c r="I32" s="50" t="e">
        <f t="shared" si="8"/>
        <v>#N/A</v>
      </c>
      <c r="J32" s="13"/>
      <c r="K32" s="46" t="e">
        <f t="shared" si="9"/>
        <v>#N/A</v>
      </c>
      <c r="L32" s="50" t="e">
        <f t="shared" si="10"/>
        <v>#N/A</v>
      </c>
      <c r="M32" s="46" t="e">
        <f t="shared" si="11"/>
        <v>#N/A</v>
      </c>
      <c r="N32" s="50" t="e">
        <f t="shared" si="12"/>
        <v>#N/A</v>
      </c>
      <c r="O32" s="46" t="e">
        <f t="shared" si="13"/>
        <v>#N/A</v>
      </c>
      <c r="P32" s="50" t="e">
        <f t="shared" si="14"/>
        <v>#N/A</v>
      </c>
      <c r="Q32" s="46" t="e">
        <f t="shared" si="15"/>
        <v>#N/A</v>
      </c>
      <c r="R32" s="50" t="e">
        <f t="shared" si="16"/>
        <v>#N/A</v>
      </c>
      <c r="S32" s="46" t="e">
        <f t="shared" si="17"/>
        <v>#N/A</v>
      </c>
      <c r="T32" s="50" t="e">
        <f t="shared" si="18"/>
        <v>#N/A</v>
      </c>
      <c r="U32" s="46" t="e">
        <f t="shared" si="19"/>
        <v>#N/A</v>
      </c>
      <c r="V32" s="50" t="e">
        <f t="shared" si="20"/>
        <v>#N/A</v>
      </c>
      <c r="W32" s="46" t="e">
        <f t="shared" si="21"/>
        <v>#N/A</v>
      </c>
      <c r="X32" s="50" t="e">
        <f t="shared" si="22"/>
        <v>#N/A</v>
      </c>
      <c r="Y32" s="46" t="e">
        <f t="shared" si="23"/>
        <v>#N/A</v>
      </c>
      <c r="Z32" s="50" t="e">
        <f t="shared" si="24"/>
        <v>#N/A</v>
      </c>
      <c r="AA32" s="13"/>
      <c r="AB32" s="15" t="e">
        <f t="shared" si="1"/>
        <v>#N/A</v>
      </c>
      <c r="AC32" s="15" t="e">
        <f t="shared" si="2"/>
        <v>#N/A</v>
      </c>
      <c r="AD32" s="9" t="e">
        <f>ROUND(IF(A32="","",IF(AC32="  ",AB32-Date!$B$3,AB32-AC32)),0)</f>
        <v>#N/A</v>
      </c>
      <c r="AE32" s="12"/>
    </row>
    <row r="33" spans="1:31" ht="23.25" x14ac:dyDescent="0.25">
      <c r="A33" s="9" t="s">
        <v>164</v>
      </c>
      <c r="B33" s="8" t="e">
        <f t="shared" si="0"/>
        <v>#N/A</v>
      </c>
      <c r="C33" s="13"/>
      <c r="D33" s="46" t="e">
        <f t="shared" si="3"/>
        <v>#N/A</v>
      </c>
      <c r="E33" s="50" t="e">
        <f t="shared" si="4"/>
        <v>#N/A</v>
      </c>
      <c r="F33" s="46" t="e">
        <f t="shared" si="5"/>
        <v>#N/A</v>
      </c>
      <c r="G33" s="50" t="e">
        <f t="shared" si="6"/>
        <v>#N/A</v>
      </c>
      <c r="H33" s="46" t="e">
        <f t="shared" si="7"/>
        <v>#N/A</v>
      </c>
      <c r="I33" s="50" t="e">
        <f t="shared" si="8"/>
        <v>#N/A</v>
      </c>
      <c r="J33" s="13"/>
      <c r="K33" s="46" t="e">
        <f t="shared" si="9"/>
        <v>#N/A</v>
      </c>
      <c r="L33" s="50" t="e">
        <f t="shared" si="10"/>
        <v>#N/A</v>
      </c>
      <c r="M33" s="46" t="e">
        <f t="shared" si="11"/>
        <v>#N/A</v>
      </c>
      <c r="N33" s="50" t="e">
        <f t="shared" si="12"/>
        <v>#N/A</v>
      </c>
      <c r="O33" s="46" t="e">
        <f t="shared" si="13"/>
        <v>#N/A</v>
      </c>
      <c r="P33" s="50" t="e">
        <f t="shared" si="14"/>
        <v>#N/A</v>
      </c>
      <c r="Q33" s="46" t="e">
        <f t="shared" si="15"/>
        <v>#N/A</v>
      </c>
      <c r="R33" s="50" t="e">
        <f t="shared" si="16"/>
        <v>#N/A</v>
      </c>
      <c r="S33" s="46" t="e">
        <f t="shared" si="17"/>
        <v>#N/A</v>
      </c>
      <c r="T33" s="50" t="e">
        <f t="shared" si="18"/>
        <v>#N/A</v>
      </c>
      <c r="U33" s="46" t="e">
        <f t="shared" si="19"/>
        <v>#N/A</v>
      </c>
      <c r="V33" s="50" t="e">
        <f t="shared" si="20"/>
        <v>#N/A</v>
      </c>
      <c r="W33" s="46" t="e">
        <f t="shared" si="21"/>
        <v>#N/A</v>
      </c>
      <c r="X33" s="50" t="e">
        <f t="shared" si="22"/>
        <v>#N/A</v>
      </c>
      <c r="Y33" s="46" t="e">
        <f t="shared" si="23"/>
        <v>#N/A</v>
      </c>
      <c r="Z33" s="50" t="e">
        <f t="shared" si="24"/>
        <v>#N/A</v>
      </c>
      <c r="AA33" s="13"/>
      <c r="AB33" s="15" t="e">
        <f t="shared" si="1"/>
        <v>#N/A</v>
      </c>
      <c r="AC33" s="15" t="e">
        <f t="shared" si="2"/>
        <v>#N/A</v>
      </c>
      <c r="AD33" s="9" t="e">
        <f>ROUND(IF(A33="","",IF(AC33="  ",AB33-Date!$B$3,AB33-AC33)),0)</f>
        <v>#N/A</v>
      </c>
      <c r="AE33" s="12"/>
    </row>
    <row r="34" spans="1:31" ht="23.25" x14ac:dyDescent="0.25">
      <c r="A34" s="9" t="s">
        <v>165</v>
      </c>
      <c r="B34" s="8" t="e">
        <f t="shared" si="0"/>
        <v>#N/A</v>
      </c>
      <c r="C34" s="13"/>
      <c r="D34" s="46" t="e">
        <f t="shared" si="3"/>
        <v>#N/A</v>
      </c>
      <c r="E34" s="50" t="e">
        <f t="shared" si="4"/>
        <v>#N/A</v>
      </c>
      <c r="F34" s="46" t="e">
        <f t="shared" si="5"/>
        <v>#N/A</v>
      </c>
      <c r="G34" s="50" t="e">
        <f t="shared" si="6"/>
        <v>#N/A</v>
      </c>
      <c r="H34" s="46" t="e">
        <f t="shared" si="7"/>
        <v>#N/A</v>
      </c>
      <c r="I34" s="50" t="e">
        <f t="shared" si="8"/>
        <v>#N/A</v>
      </c>
      <c r="J34" s="13"/>
      <c r="K34" s="46" t="e">
        <f t="shared" si="9"/>
        <v>#N/A</v>
      </c>
      <c r="L34" s="50" t="e">
        <f t="shared" si="10"/>
        <v>#N/A</v>
      </c>
      <c r="M34" s="46" t="e">
        <f t="shared" si="11"/>
        <v>#N/A</v>
      </c>
      <c r="N34" s="50" t="e">
        <f t="shared" si="12"/>
        <v>#N/A</v>
      </c>
      <c r="O34" s="46" t="e">
        <f t="shared" si="13"/>
        <v>#N/A</v>
      </c>
      <c r="P34" s="50" t="e">
        <f t="shared" si="14"/>
        <v>#N/A</v>
      </c>
      <c r="Q34" s="46" t="e">
        <f t="shared" si="15"/>
        <v>#N/A</v>
      </c>
      <c r="R34" s="50" t="e">
        <f t="shared" si="16"/>
        <v>#N/A</v>
      </c>
      <c r="S34" s="46" t="e">
        <f t="shared" si="17"/>
        <v>#N/A</v>
      </c>
      <c r="T34" s="50" t="e">
        <f t="shared" si="18"/>
        <v>#N/A</v>
      </c>
      <c r="U34" s="46" t="e">
        <f t="shared" si="19"/>
        <v>#N/A</v>
      </c>
      <c r="V34" s="50" t="e">
        <f t="shared" si="20"/>
        <v>#N/A</v>
      </c>
      <c r="W34" s="46" t="e">
        <f t="shared" si="21"/>
        <v>#N/A</v>
      </c>
      <c r="X34" s="50" t="e">
        <f t="shared" si="22"/>
        <v>#N/A</v>
      </c>
      <c r="Y34" s="46" t="e">
        <f t="shared" si="23"/>
        <v>#N/A</v>
      </c>
      <c r="Z34" s="50" t="e">
        <f t="shared" si="24"/>
        <v>#N/A</v>
      </c>
      <c r="AA34" s="13"/>
      <c r="AB34" s="15" t="e">
        <f t="shared" si="1"/>
        <v>#N/A</v>
      </c>
      <c r="AC34" s="15" t="e">
        <f t="shared" si="2"/>
        <v>#N/A</v>
      </c>
      <c r="AD34" s="9" t="e">
        <f>ROUND(IF(A34="","",IF(AC34="  ",AB34-Date!$B$3,AB34-AC34)),0)</f>
        <v>#N/A</v>
      </c>
      <c r="AE34" s="12"/>
    </row>
    <row r="35" spans="1:31" ht="23.25" x14ac:dyDescent="0.25">
      <c r="A35" s="9" t="s">
        <v>166</v>
      </c>
      <c r="B35" s="8" t="e">
        <f t="shared" si="0"/>
        <v>#N/A</v>
      </c>
      <c r="C35" s="13"/>
      <c r="D35" s="46" t="e">
        <f t="shared" si="3"/>
        <v>#N/A</v>
      </c>
      <c r="E35" s="50" t="e">
        <f t="shared" si="4"/>
        <v>#N/A</v>
      </c>
      <c r="F35" s="46" t="e">
        <f t="shared" si="5"/>
        <v>#N/A</v>
      </c>
      <c r="G35" s="50" t="e">
        <f t="shared" si="6"/>
        <v>#N/A</v>
      </c>
      <c r="H35" s="46" t="e">
        <f t="shared" si="7"/>
        <v>#N/A</v>
      </c>
      <c r="I35" s="50" t="e">
        <f t="shared" si="8"/>
        <v>#N/A</v>
      </c>
      <c r="J35" s="13"/>
      <c r="K35" s="46" t="e">
        <f t="shared" si="9"/>
        <v>#N/A</v>
      </c>
      <c r="L35" s="50" t="e">
        <f t="shared" si="10"/>
        <v>#N/A</v>
      </c>
      <c r="M35" s="46" t="e">
        <f t="shared" si="11"/>
        <v>#N/A</v>
      </c>
      <c r="N35" s="50" t="e">
        <f t="shared" si="12"/>
        <v>#N/A</v>
      </c>
      <c r="O35" s="46" t="e">
        <f t="shared" si="13"/>
        <v>#N/A</v>
      </c>
      <c r="P35" s="50" t="e">
        <f t="shared" si="14"/>
        <v>#N/A</v>
      </c>
      <c r="Q35" s="46" t="e">
        <f t="shared" si="15"/>
        <v>#N/A</v>
      </c>
      <c r="R35" s="50" t="e">
        <f t="shared" si="16"/>
        <v>#N/A</v>
      </c>
      <c r="S35" s="46" t="e">
        <f t="shared" si="17"/>
        <v>#N/A</v>
      </c>
      <c r="T35" s="50" t="e">
        <f t="shared" si="18"/>
        <v>#N/A</v>
      </c>
      <c r="U35" s="46" t="e">
        <f t="shared" si="19"/>
        <v>#N/A</v>
      </c>
      <c r="V35" s="50" t="e">
        <f t="shared" si="20"/>
        <v>#N/A</v>
      </c>
      <c r="W35" s="46" t="e">
        <f t="shared" si="21"/>
        <v>#N/A</v>
      </c>
      <c r="X35" s="50" t="e">
        <f t="shared" si="22"/>
        <v>#N/A</v>
      </c>
      <c r="Y35" s="46" t="e">
        <f t="shared" si="23"/>
        <v>#N/A</v>
      </c>
      <c r="Z35" s="50" t="e">
        <f t="shared" si="24"/>
        <v>#N/A</v>
      </c>
      <c r="AA35" s="13"/>
      <c r="AB35" s="15" t="e">
        <f t="shared" si="1"/>
        <v>#N/A</v>
      </c>
      <c r="AC35" s="15" t="e">
        <f t="shared" si="2"/>
        <v>#N/A</v>
      </c>
      <c r="AD35" s="9" t="e">
        <f>ROUND(IF(A35="","",IF(AC35="  ",AB35-Date!$B$3,AB35-AC35)),0)</f>
        <v>#N/A</v>
      </c>
      <c r="AE35" s="12"/>
    </row>
    <row r="36" spans="1:31" ht="23.25" x14ac:dyDescent="0.25">
      <c r="A36" s="9" t="s">
        <v>167</v>
      </c>
      <c r="B36" s="8" t="e">
        <f t="shared" si="0"/>
        <v>#N/A</v>
      </c>
      <c r="C36" s="13"/>
      <c r="D36" s="46" t="e">
        <f t="shared" si="3"/>
        <v>#N/A</v>
      </c>
      <c r="E36" s="50" t="e">
        <f t="shared" si="4"/>
        <v>#N/A</v>
      </c>
      <c r="F36" s="46" t="e">
        <f t="shared" si="5"/>
        <v>#N/A</v>
      </c>
      <c r="G36" s="50" t="e">
        <f t="shared" si="6"/>
        <v>#N/A</v>
      </c>
      <c r="H36" s="46" t="e">
        <f t="shared" si="7"/>
        <v>#N/A</v>
      </c>
      <c r="I36" s="50" t="e">
        <f t="shared" si="8"/>
        <v>#N/A</v>
      </c>
      <c r="J36" s="13"/>
      <c r="K36" s="46" t="e">
        <f t="shared" si="9"/>
        <v>#N/A</v>
      </c>
      <c r="L36" s="50" t="e">
        <f t="shared" si="10"/>
        <v>#N/A</v>
      </c>
      <c r="M36" s="46" t="e">
        <f t="shared" si="11"/>
        <v>#N/A</v>
      </c>
      <c r="N36" s="50" t="e">
        <f t="shared" si="12"/>
        <v>#N/A</v>
      </c>
      <c r="O36" s="46" t="e">
        <f t="shared" si="13"/>
        <v>#N/A</v>
      </c>
      <c r="P36" s="50" t="e">
        <f t="shared" si="14"/>
        <v>#N/A</v>
      </c>
      <c r="Q36" s="46" t="e">
        <f t="shared" si="15"/>
        <v>#N/A</v>
      </c>
      <c r="R36" s="50" t="e">
        <f t="shared" si="16"/>
        <v>#N/A</v>
      </c>
      <c r="S36" s="46" t="e">
        <f t="shared" si="17"/>
        <v>#N/A</v>
      </c>
      <c r="T36" s="50" t="e">
        <f t="shared" si="18"/>
        <v>#N/A</v>
      </c>
      <c r="U36" s="46" t="e">
        <f t="shared" si="19"/>
        <v>#N/A</v>
      </c>
      <c r="V36" s="50" t="e">
        <f t="shared" si="20"/>
        <v>#N/A</v>
      </c>
      <c r="W36" s="46" t="e">
        <f t="shared" si="21"/>
        <v>#N/A</v>
      </c>
      <c r="X36" s="50" t="e">
        <f t="shared" si="22"/>
        <v>#N/A</v>
      </c>
      <c r="Y36" s="46" t="e">
        <f t="shared" si="23"/>
        <v>#N/A</v>
      </c>
      <c r="Z36" s="50" t="e">
        <f t="shared" si="24"/>
        <v>#N/A</v>
      </c>
      <c r="AA36" s="13"/>
      <c r="AB36" s="15" t="e">
        <f t="shared" si="1"/>
        <v>#N/A</v>
      </c>
      <c r="AC36" s="15" t="e">
        <f t="shared" si="2"/>
        <v>#N/A</v>
      </c>
      <c r="AD36" s="9" t="e">
        <f>ROUND(IF(A36="","",IF(AC36="  ",AB36-Date!$B$3,AB36-AC36)),0)</f>
        <v>#N/A</v>
      </c>
      <c r="AE36" s="12"/>
    </row>
    <row r="37" spans="1:31" ht="23.25" x14ac:dyDescent="0.25">
      <c r="A37" s="9" t="s">
        <v>168</v>
      </c>
      <c r="B37" s="8" t="e">
        <f t="shared" si="0"/>
        <v>#N/A</v>
      </c>
      <c r="C37" s="13"/>
      <c r="D37" s="46" t="e">
        <f t="shared" si="3"/>
        <v>#N/A</v>
      </c>
      <c r="E37" s="50" t="e">
        <f t="shared" si="4"/>
        <v>#N/A</v>
      </c>
      <c r="F37" s="46" t="e">
        <f t="shared" si="5"/>
        <v>#N/A</v>
      </c>
      <c r="G37" s="50" t="e">
        <f t="shared" si="6"/>
        <v>#N/A</v>
      </c>
      <c r="H37" s="46" t="e">
        <f t="shared" si="7"/>
        <v>#N/A</v>
      </c>
      <c r="I37" s="50" t="e">
        <f t="shared" si="8"/>
        <v>#N/A</v>
      </c>
      <c r="J37" s="13"/>
      <c r="K37" s="46" t="e">
        <f t="shared" si="9"/>
        <v>#N/A</v>
      </c>
      <c r="L37" s="50" t="e">
        <f t="shared" si="10"/>
        <v>#N/A</v>
      </c>
      <c r="M37" s="46" t="e">
        <f t="shared" si="11"/>
        <v>#N/A</v>
      </c>
      <c r="N37" s="50" t="e">
        <f t="shared" si="12"/>
        <v>#N/A</v>
      </c>
      <c r="O37" s="46" t="e">
        <f t="shared" si="13"/>
        <v>#N/A</v>
      </c>
      <c r="P37" s="50" t="e">
        <f t="shared" si="14"/>
        <v>#N/A</v>
      </c>
      <c r="Q37" s="46" t="e">
        <f t="shared" si="15"/>
        <v>#N/A</v>
      </c>
      <c r="R37" s="50" t="e">
        <f t="shared" si="16"/>
        <v>#N/A</v>
      </c>
      <c r="S37" s="46" t="e">
        <f t="shared" si="17"/>
        <v>#N/A</v>
      </c>
      <c r="T37" s="50" t="e">
        <f t="shared" si="18"/>
        <v>#N/A</v>
      </c>
      <c r="U37" s="46" t="e">
        <f t="shared" si="19"/>
        <v>#N/A</v>
      </c>
      <c r="V37" s="50" t="e">
        <f t="shared" si="20"/>
        <v>#N/A</v>
      </c>
      <c r="W37" s="46" t="e">
        <f t="shared" si="21"/>
        <v>#N/A</v>
      </c>
      <c r="X37" s="50" t="e">
        <f t="shared" si="22"/>
        <v>#N/A</v>
      </c>
      <c r="Y37" s="46" t="e">
        <f t="shared" si="23"/>
        <v>#N/A</v>
      </c>
      <c r="Z37" s="50" t="e">
        <f t="shared" si="24"/>
        <v>#N/A</v>
      </c>
      <c r="AA37" s="13"/>
      <c r="AB37" s="15" t="e">
        <f t="shared" si="1"/>
        <v>#N/A</v>
      </c>
      <c r="AC37" s="15" t="e">
        <f t="shared" si="2"/>
        <v>#N/A</v>
      </c>
      <c r="AD37" s="9" t="e">
        <f>ROUND(IF(A37="","",IF(AC37="  ",AB37-Date!$B$3,AB37-AC37)),0)</f>
        <v>#N/A</v>
      </c>
      <c r="AE37" s="12"/>
    </row>
    <row r="38" spans="1:31" ht="23.25" x14ac:dyDescent="0.25">
      <c r="A38" s="9" t="s">
        <v>169</v>
      </c>
      <c r="B38" s="8" t="e">
        <f t="shared" si="0"/>
        <v>#N/A</v>
      </c>
      <c r="C38" s="13"/>
      <c r="D38" s="46" t="e">
        <f t="shared" si="3"/>
        <v>#N/A</v>
      </c>
      <c r="E38" s="50" t="e">
        <f t="shared" si="4"/>
        <v>#N/A</v>
      </c>
      <c r="F38" s="46" t="e">
        <f t="shared" si="5"/>
        <v>#N/A</v>
      </c>
      <c r="G38" s="50" t="e">
        <f t="shared" si="6"/>
        <v>#N/A</v>
      </c>
      <c r="H38" s="46" t="e">
        <f t="shared" si="7"/>
        <v>#N/A</v>
      </c>
      <c r="I38" s="50" t="e">
        <f t="shared" si="8"/>
        <v>#N/A</v>
      </c>
      <c r="J38" s="13"/>
      <c r="K38" s="46" t="e">
        <f t="shared" si="9"/>
        <v>#N/A</v>
      </c>
      <c r="L38" s="50" t="e">
        <f t="shared" si="10"/>
        <v>#N/A</v>
      </c>
      <c r="M38" s="46" t="e">
        <f t="shared" si="11"/>
        <v>#N/A</v>
      </c>
      <c r="N38" s="50" t="e">
        <f t="shared" si="12"/>
        <v>#N/A</v>
      </c>
      <c r="O38" s="46" t="e">
        <f t="shared" si="13"/>
        <v>#N/A</v>
      </c>
      <c r="P38" s="50" t="e">
        <f t="shared" si="14"/>
        <v>#N/A</v>
      </c>
      <c r="Q38" s="46" t="e">
        <f t="shared" si="15"/>
        <v>#N/A</v>
      </c>
      <c r="R38" s="50" t="e">
        <f t="shared" si="16"/>
        <v>#N/A</v>
      </c>
      <c r="S38" s="46" t="e">
        <f t="shared" si="17"/>
        <v>#N/A</v>
      </c>
      <c r="T38" s="50" t="e">
        <f t="shared" si="18"/>
        <v>#N/A</v>
      </c>
      <c r="U38" s="46" t="e">
        <f t="shared" si="19"/>
        <v>#N/A</v>
      </c>
      <c r="V38" s="50" t="e">
        <f t="shared" si="20"/>
        <v>#N/A</v>
      </c>
      <c r="W38" s="46" t="e">
        <f t="shared" si="21"/>
        <v>#N/A</v>
      </c>
      <c r="X38" s="50" t="e">
        <f t="shared" si="22"/>
        <v>#N/A</v>
      </c>
      <c r="Y38" s="46" t="e">
        <f t="shared" si="23"/>
        <v>#N/A</v>
      </c>
      <c r="Z38" s="50" t="e">
        <f t="shared" si="24"/>
        <v>#N/A</v>
      </c>
      <c r="AA38" s="13"/>
      <c r="AB38" s="15" t="e">
        <f t="shared" si="1"/>
        <v>#N/A</v>
      </c>
      <c r="AC38" s="15" t="e">
        <f t="shared" si="2"/>
        <v>#N/A</v>
      </c>
      <c r="AD38" s="9" t="e">
        <f>ROUND(IF(A38="","",IF(AC38="  ",AB38-Date!$B$3,AB38-AC38)),0)</f>
        <v>#N/A</v>
      </c>
      <c r="AE38" s="12"/>
    </row>
    <row r="39" spans="1:31" ht="23.25" x14ac:dyDescent="0.25">
      <c r="A39" s="9" t="s">
        <v>170</v>
      </c>
      <c r="B39" s="8" t="e">
        <f t="shared" si="0"/>
        <v>#N/A</v>
      </c>
      <c r="C39" s="13"/>
      <c r="D39" s="46" t="e">
        <f t="shared" si="3"/>
        <v>#N/A</v>
      </c>
      <c r="E39" s="50" t="e">
        <f t="shared" si="4"/>
        <v>#N/A</v>
      </c>
      <c r="F39" s="46" t="e">
        <f t="shared" si="5"/>
        <v>#N/A</v>
      </c>
      <c r="G39" s="50" t="e">
        <f t="shared" si="6"/>
        <v>#N/A</v>
      </c>
      <c r="H39" s="46" t="e">
        <f t="shared" si="7"/>
        <v>#N/A</v>
      </c>
      <c r="I39" s="50" t="e">
        <f t="shared" si="8"/>
        <v>#N/A</v>
      </c>
      <c r="J39" s="13"/>
      <c r="K39" s="46" t="e">
        <f t="shared" si="9"/>
        <v>#N/A</v>
      </c>
      <c r="L39" s="50" t="e">
        <f t="shared" si="10"/>
        <v>#N/A</v>
      </c>
      <c r="M39" s="46" t="e">
        <f t="shared" si="11"/>
        <v>#N/A</v>
      </c>
      <c r="N39" s="50" t="e">
        <f t="shared" si="12"/>
        <v>#N/A</v>
      </c>
      <c r="O39" s="46" t="e">
        <f t="shared" si="13"/>
        <v>#N/A</v>
      </c>
      <c r="P39" s="50" t="e">
        <f t="shared" si="14"/>
        <v>#N/A</v>
      </c>
      <c r="Q39" s="46" t="e">
        <f t="shared" si="15"/>
        <v>#N/A</v>
      </c>
      <c r="R39" s="50" t="e">
        <f t="shared" si="16"/>
        <v>#N/A</v>
      </c>
      <c r="S39" s="46" t="e">
        <f t="shared" si="17"/>
        <v>#N/A</v>
      </c>
      <c r="T39" s="50" t="e">
        <f t="shared" si="18"/>
        <v>#N/A</v>
      </c>
      <c r="U39" s="46" t="e">
        <f t="shared" si="19"/>
        <v>#N/A</v>
      </c>
      <c r="V39" s="50" t="e">
        <f t="shared" si="20"/>
        <v>#N/A</v>
      </c>
      <c r="W39" s="46" t="e">
        <f t="shared" si="21"/>
        <v>#N/A</v>
      </c>
      <c r="X39" s="50" t="e">
        <f t="shared" si="22"/>
        <v>#N/A</v>
      </c>
      <c r="Y39" s="46" t="e">
        <f t="shared" si="23"/>
        <v>#N/A</v>
      </c>
      <c r="Z39" s="50" t="e">
        <f t="shared" si="24"/>
        <v>#N/A</v>
      </c>
      <c r="AA39" s="13"/>
      <c r="AB39" s="15" t="e">
        <f t="shared" si="1"/>
        <v>#N/A</v>
      </c>
      <c r="AC39" s="15" t="e">
        <f t="shared" si="2"/>
        <v>#N/A</v>
      </c>
      <c r="AD39" s="9" t="e">
        <f>ROUND(IF(A39="","",IF(AC39="  ",AB39-Date!$B$3,AB39-AC39)),0)</f>
        <v>#N/A</v>
      </c>
      <c r="AE39" s="12"/>
    </row>
    <row r="40" spans="1:31" ht="23.25" x14ac:dyDescent="0.25">
      <c r="A40" s="9" t="s">
        <v>171</v>
      </c>
      <c r="B40" s="8" t="e">
        <f t="shared" si="0"/>
        <v>#N/A</v>
      </c>
      <c r="C40" s="13"/>
      <c r="D40" s="46" t="e">
        <f t="shared" si="3"/>
        <v>#N/A</v>
      </c>
      <c r="E40" s="50" t="e">
        <f t="shared" si="4"/>
        <v>#N/A</v>
      </c>
      <c r="F40" s="46" t="e">
        <f t="shared" si="5"/>
        <v>#N/A</v>
      </c>
      <c r="G40" s="50" t="e">
        <f t="shared" si="6"/>
        <v>#N/A</v>
      </c>
      <c r="H40" s="46" t="e">
        <f t="shared" si="7"/>
        <v>#N/A</v>
      </c>
      <c r="I40" s="50" t="e">
        <f t="shared" si="8"/>
        <v>#N/A</v>
      </c>
      <c r="J40" s="13"/>
      <c r="K40" s="46" t="e">
        <f t="shared" si="9"/>
        <v>#N/A</v>
      </c>
      <c r="L40" s="50" t="e">
        <f t="shared" si="10"/>
        <v>#N/A</v>
      </c>
      <c r="M40" s="46" t="e">
        <f t="shared" si="11"/>
        <v>#N/A</v>
      </c>
      <c r="N40" s="50" t="e">
        <f t="shared" si="12"/>
        <v>#N/A</v>
      </c>
      <c r="O40" s="46" t="e">
        <f t="shared" si="13"/>
        <v>#N/A</v>
      </c>
      <c r="P40" s="50" t="e">
        <f t="shared" si="14"/>
        <v>#N/A</v>
      </c>
      <c r="Q40" s="46" t="e">
        <f t="shared" si="15"/>
        <v>#N/A</v>
      </c>
      <c r="R40" s="50" t="e">
        <f t="shared" si="16"/>
        <v>#N/A</v>
      </c>
      <c r="S40" s="46" t="e">
        <f t="shared" si="17"/>
        <v>#N/A</v>
      </c>
      <c r="T40" s="50" t="e">
        <f t="shared" si="18"/>
        <v>#N/A</v>
      </c>
      <c r="U40" s="46" t="e">
        <f t="shared" si="19"/>
        <v>#N/A</v>
      </c>
      <c r="V40" s="50" t="e">
        <f t="shared" si="20"/>
        <v>#N/A</v>
      </c>
      <c r="W40" s="46" t="e">
        <f t="shared" si="21"/>
        <v>#N/A</v>
      </c>
      <c r="X40" s="50" t="e">
        <f t="shared" si="22"/>
        <v>#N/A</v>
      </c>
      <c r="Y40" s="46" t="e">
        <f t="shared" si="23"/>
        <v>#N/A</v>
      </c>
      <c r="Z40" s="50" t="e">
        <f t="shared" si="24"/>
        <v>#N/A</v>
      </c>
      <c r="AA40" s="13"/>
      <c r="AB40" s="15" t="e">
        <f t="shared" si="1"/>
        <v>#N/A</v>
      </c>
      <c r="AC40" s="15" t="e">
        <f t="shared" si="2"/>
        <v>#N/A</v>
      </c>
      <c r="AD40" s="9" t="e">
        <f>ROUND(IF(A40="","",IF(AC40="  ",AB40-Date!$B$3,AB40-AC40)),0)</f>
        <v>#N/A</v>
      </c>
      <c r="AE40" s="12"/>
    </row>
    <row r="41" spans="1:31" ht="23.25" x14ac:dyDescent="0.25">
      <c r="A41" s="9" t="s">
        <v>172</v>
      </c>
      <c r="B41" s="8" t="e">
        <f t="shared" si="0"/>
        <v>#N/A</v>
      </c>
      <c r="C41" s="13"/>
      <c r="D41" s="46" t="e">
        <f t="shared" si="3"/>
        <v>#N/A</v>
      </c>
      <c r="E41" s="50" t="e">
        <f t="shared" si="4"/>
        <v>#N/A</v>
      </c>
      <c r="F41" s="46" t="e">
        <f t="shared" si="5"/>
        <v>#N/A</v>
      </c>
      <c r="G41" s="50" t="e">
        <f t="shared" si="6"/>
        <v>#N/A</v>
      </c>
      <c r="H41" s="46" t="e">
        <f t="shared" si="7"/>
        <v>#N/A</v>
      </c>
      <c r="I41" s="50" t="e">
        <f t="shared" si="8"/>
        <v>#N/A</v>
      </c>
      <c r="J41" s="13"/>
      <c r="K41" s="46" t="e">
        <f t="shared" si="9"/>
        <v>#N/A</v>
      </c>
      <c r="L41" s="50" t="e">
        <f t="shared" si="10"/>
        <v>#N/A</v>
      </c>
      <c r="M41" s="46" t="e">
        <f t="shared" si="11"/>
        <v>#N/A</v>
      </c>
      <c r="N41" s="50" t="e">
        <f t="shared" si="12"/>
        <v>#N/A</v>
      </c>
      <c r="O41" s="46" t="e">
        <f t="shared" si="13"/>
        <v>#N/A</v>
      </c>
      <c r="P41" s="50" t="e">
        <f t="shared" si="14"/>
        <v>#N/A</v>
      </c>
      <c r="Q41" s="46" t="e">
        <f t="shared" si="15"/>
        <v>#N/A</v>
      </c>
      <c r="R41" s="50" t="e">
        <f t="shared" si="16"/>
        <v>#N/A</v>
      </c>
      <c r="S41" s="46" t="e">
        <f t="shared" si="17"/>
        <v>#N/A</v>
      </c>
      <c r="T41" s="50" t="e">
        <f t="shared" si="18"/>
        <v>#N/A</v>
      </c>
      <c r="U41" s="46" t="e">
        <f t="shared" si="19"/>
        <v>#N/A</v>
      </c>
      <c r="V41" s="50" t="e">
        <f t="shared" si="20"/>
        <v>#N/A</v>
      </c>
      <c r="W41" s="46" t="e">
        <f t="shared" si="21"/>
        <v>#N/A</v>
      </c>
      <c r="X41" s="50" t="e">
        <f t="shared" si="22"/>
        <v>#N/A</v>
      </c>
      <c r="Y41" s="46" t="e">
        <f t="shared" si="23"/>
        <v>#N/A</v>
      </c>
      <c r="Z41" s="50" t="e">
        <f t="shared" si="24"/>
        <v>#N/A</v>
      </c>
      <c r="AA41" s="13"/>
      <c r="AB41" s="15" t="e">
        <f t="shared" si="1"/>
        <v>#N/A</v>
      </c>
      <c r="AC41" s="15" t="e">
        <f t="shared" si="2"/>
        <v>#N/A</v>
      </c>
      <c r="AD41" s="9" t="e">
        <f>ROUND(IF(A41="","",IF(AC41="  ",AB41-Date!$B$3,AB41-AC41)),0)</f>
        <v>#N/A</v>
      </c>
      <c r="AE41" s="12"/>
    </row>
    <row r="42" spans="1:31" ht="23.25" x14ac:dyDescent="0.25">
      <c r="A42" s="9" t="s">
        <v>173</v>
      </c>
      <c r="B42" s="8" t="e">
        <f t="shared" si="0"/>
        <v>#N/A</v>
      </c>
      <c r="C42" s="13"/>
      <c r="D42" s="46" t="e">
        <f t="shared" si="3"/>
        <v>#N/A</v>
      </c>
      <c r="E42" s="50" t="e">
        <f t="shared" si="4"/>
        <v>#N/A</v>
      </c>
      <c r="F42" s="46" t="e">
        <f t="shared" si="5"/>
        <v>#N/A</v>
      </c>
      <c r="G42" s="50" t="e">
        <f t="shared" si="6"/>
        <v>#N/A</v>
      </c>
      <c r="H42" s="46" t="e">
        <f t="shared" si="7"/>
        <v>#N/A</v>
      </c>
      <c r="I42" s="50" t="e">
        <f t="shared" si="8"/>
        <v>#N/A</v>
      </c>
      <c r="J42" s="13"/>
      <c r="K42" s="46" t="e">
        <f t="shared" si="9"/>
        <v>#N/A</v>
      </c>
      <c r="L42" s="50" t="e">
        <f t="shared" si="10"/>
        <v>#N/A</v>
      </c>
      <c r="M42" s="46" t="e">
        <f t="shared" si="11"/>
        <v>#N/A</v>
      </c>
      <c r="N42" s="50" t="e">
        <f t="shared" si="12"/>
        <v>#N/A</v>
      </c>
      <c r="O42" s="46" t="e">
        <f t="shared" si="13"/>
        <v>#N/A</v>
      </c>
      <c r="P42" s="50" t="e">
        <f t="shared" si="14"/>
        <v>#N/A</v>
      </c>
      <c r="Q42" s="46" t="e">
        <f t="shared" si="15"/>
        <v>#N/A</v>
      </c>
      <c r="R42" s="50" t="e">
        <f t="shared" si="16"/>
        <v>#N/A</v>
      </c>
      <c r="S42" s="46" t="e">
        <f t="shared" si="17"/>
        <v>#N/A</v>
      </c>
      <c r="T42" s="50" t="e">
        <f t="shared" si="18"/>
        <v>#N/A</v>
      </c>
      <c r="U42" s="46" t="e">
        <f t="shared" si="19"/>
        <v>#N/A</v>
      </c>
      <c r="V42" s="50" t="e">
        <f t="shared" si="20"/>
        <v>#N/A</v>
      </c>
      <c r="W42" s="46" t="e">
        <f t="shared" si="21"/>
        <v>#N/A</v>
      </c>
      <c r="X42" s="50" t="e">
        <f t="shared" si="22"/>
        <v>#N/A</v>
      </c>
      <c r="Y42" s="46" t="e">
        <f t="shared" si="23"/>
        <v>#N/A</v>
      </c>
      <c r="Z42" s="50" t="e">
        <f t="shared" si="24"/>
        <v>#N/A</v>
      </c>
      <c r="AA42" s="13"/>
      <c r="AB42" s="15" t="e">
        <f t="shared" si="1"/>
        <v>#N/A</v>
      </c>
      <c r="AC42" s="15" t="e">
        <f t="shared" si="2"/>
        <v>#N/A</v>
      </c>
      <c r="AD42" s="9" t="e">
        <f>ROUND(IF(A42="","",IF(AC42="  ",AB42-Date!$B$3,AB42-AC42)),0)</f>
        <v>#N/A</v>
      </c>
      <c r="AE42" s="12"/>
    </row>
    <row r="43" spans="1:31" ht="23.25" x14ac:dyDescent="0.25">
      <c r="A43" s="9" t="s">
        <v>174</v>
      </c>
      <c r="B43" s="8" t="e">
        <f t="shared" si="0"/>
        <v>#N/A</v>
      </c>
      <c r="C43" s="13"/>
      <c r="D43" s="46" t="e">
        <f t="shared" si="3"/>
        <v>#N/A</v>
      </c>
      <c r="E43" s="50" t="e">
        <f t="shared" si="4"/>
        <v>#N/A</v>
      </c>
      <c r="F43" s="46" t="e">
        <f t="shared" si="5"/>
        <v>#N/A</v>
      </c>
      <c r="G43" s="50" t="e">
        <f t="shared" si="6"/>
        <v>#N/A</v>
      </c>
      <c r="H43" s="46" t="e">
        <f t="shared" si="7"/>
        <v>#N/A</v>
      </c>
      <c r="I43" s="50" t="e">
        <f t="shared" si="8"/>
        <v>#N/A</v>
      </c>
      <c r="J43" s="13"/>
      <c r="K43" s="46" t="e">
        <f t="shared" si="9"/>
        <v>#N/A</v>
      </c>
      <c r="L43" s="50" t="e">
        <f t="shared" si="10"/>
        <v>#N/A</v>
      </c>
      <c r="M43" s="46" t="e">
        <f t="shared" si="11"/>
        <v>#N/A</v>
      </c>
      <c r="N43" s="50" t="e">
        <f t="shared" si="12"/>
        <v>#N/A</v>
      </c>
      <c r="O43" s="46" t="e">
        <f t="shared" si="13"/>
        <v>#N/A</v>
      </c>
      <c r="P43" s="50" t="e">
        <f t="shared" si="14"/>
        <v>#N/A</v>
      </c>
      <c r="Q43" s="46" t="e">
        <f t="shared" si="15"/>
        <v>#N/A</v>
      </c>
      <c r="R43" s="50" t="e">
        <f t="shared" si="16"/>
        <v>#N/A</v>
      </c>
      <c r="S43" s="46" t="e">
        <f t="shared" si="17"/>
        <v>#N/A</v>
      </c>
      <c r="T43" s="50" t="e">
        <f t="shared" si="18"/>
        <v>#N/A</v>
      </c>
      <c r="U43" s="46" t="e">
        <f t="shared" si="19"/>
        <v>#N/A</v>
      </c>
      <c r="V43" s="50" t="e">
        <f t="shared" si="20"/>
        <v>#N/A</v>
      </c>
      <c r="W43" s="46" t="e">
        <f t="shared" si="21"/>
        <v>#N/A</v>
      </c>
      <c r="X43" s="50" t="e">
        <f t="shared" si="22"/>
        <v>#N/A</v>
      </c>
      <c r="Y43" s="46" t="e">
        <f t="shared" si="23"/>
        <v>#N/A</v>
      </c>
      <c r="Z43" s="50" t="e">
        <f t="shared" si="24"/>
        <v>#N/A</v>
      </c>
      <c r="AA43" s="13"/>
      <c r="AB43" s="15" t="e">
        <f t="shared" si="1"/>
        <v>#N/A</v>
      </c>
      <c r="AC43" s="15" t="e">
        <f t="shared" si="2"/>
        <v>#N/A</v>
      </c>
      <c r="AD43" s="9" t="e">
        <f>ROUND(IF(A43="","",IF(AC43="  ",AB43-Date!$B$3,AB43-AC43)),0)</f>
        <v>#N/A</v>
      </c>
      <c r="AE43" s="12"/>
    </row>
    <row r="44" spans="1:31" ht="23.25" x14ac:dyDescent="0.25">
      <c r="A44" s="9" t="s">
        <v>175</v>
      </c>
      <c r="B44" s="8" t="e">
        <f t="shared" si="0"/>
        <v>#N/A</v>
      </c>
      <c r="C44" s="13"/>
      <c r="D44" s="46" t="e">
        <f t="shared" si="3"/>
        <v>#N/A</v>
      </c>
      <c r="E44" s="50" t="e">
        <f t="shared" si="4"/>
        <v>#N/A</v>
      </c>
      <c r="F44" s="46" t="e">
        <f t="shared" si="5"/>
        <v>#N/A</v>
      </c>
      <c r="G44" s="50" t="e">
        <f t="shared" si="6"/>
        <v>#N/A</v>
      </c>
      <c r="H44" s="46" t="e">
        <f t="shared" si="7"/>
        <v>#N/A</v>
      </c>
      <c r="I44" s="50" t="e">
        <f t="shared" si="8"/>
        <v>#N/A</v>
      </c>
      <c r="J44" s="13"/>
      <c r="K44" s="46" t="e">
        <f t="shared" si="9"/>
        <v>#N/A</v>
      </c>
      <c r="L44" s="50" t="e">
        <f t="shared" si="10"/>
        <v>#N/A</v>
      </c>
      <c r="M44" s="46" t="e">
        <f t="shared" si="11"/>
        <v>#N/A</v>
      </c>
      <c r="N44" s="50" t="e">
        <f t="shared" si="12"/>
        <v>#N/A</v>
      </c>
      <c r="O44" s="46" t="e">
        <f t="shared" si="13"/>
        <v>#N/A</v>
      </c>
      <c r="P44" s="50" t="e">
        <f t="shared" si="14"/>
        <v>#N/A</v>
      </c>
      <c r="Q44" s="46" t="e">
        <f t="shared" si="15"/>
        <v>#N/A</v>
      </c>
      <c r="R44" s="50" t="e">
        <f t="shared" si="16"/>
        <v>#N/A</v>
      </c>
      <c r="S44" s="46" t="e">
        <f t="shared" si="17"/>
        <v>#N/A</v>
      </c>
      <c r="T44" s="50" t="e">
        <f t="shared" si="18"/>
        <v>#N/A</v>
      </c>
      <c r="U44" s="46" t="e">
        <f t="shared" si="19"/>
        <v>#N/A</v>
      </c>
      <c r="V44" s="50" t="e">
        <f t="shared" si="20"/>
        <v>#N/A</v>
      </c>
      <c r="W44" s="46" t="e">
        <f t="shared" si="21"/>
        <v>#N/A</v>
      </c>
      <c r="X44" s="50" t="e">
        <f t="shared" si="22"/>
        <v>#N/A</v>
      </c>
      <c r="Y44" s="46" t="e">
        <f t="shared" si="23"/>
        <v>#N/A</v>
      </c>
      <c r="Z44" s="50" t="e">
        <f t="shared" si="24"/>
        <v>#N/A</v>
      </c>
      <c r="AA44" s="13"/>
      <c r="AB44" s="15" t="e">
        <f t="shared" si="1"/>
        <v>#N/A</v>
      </c>
      <c r="AC44" s="15" t="e">
        <f t="shared" si="2"/>
        <v>#N/A</v>
      </c>
      <c r="AD44" s="9" t="e">
        <f>ROUND(IF(A44="","",IF(AC44="  ",AB44-Date!$B$3,AB44-AC44)),0)</f>
        <v>#N/A</v>
      </c>
      <c r="AE44" s="12"/>
    </row>
    <row r="45" spans="1:31" ht="23.25" x14ac:dyDescent="0.25">
      <c r="A45" s="9" t="s">
        <v>176</v>
      </c>
      <c r="B45" s="8" t="e">
        <f t="shared" si="0"/>
        <v>#N/A</v>
      </c>
      <c r="C45" s="13"/>
      <c r="D45" s="46" t="e">
        <f t="shared" si="3"/>
        <v>#N/A</v>
      </c>
      <c r="E45" s="50" t="e">
        <f t="shared" si="4"/>
        <v>#N/A</v>
      </c>
      <c r="F45" s="46" t="e">
        <f t="shared" si="5"/>
        <v>#N/A</v>
      </c>
      <c r="G45" s="50" t="e">
        <f t="shared" si="6"/>
        <v>#N/A</v>
      </c>
      <c r="H45" s="46" t="e">
        <f t="shared" si="7"/>
        <v>#N/A</v>
      </c>
      <c r="I45" s="50" t="e">
        <f t="shared" si="8"/>
        <v>#N/A</v>
      </c>
      <c r="J45" s="13"/>
      <c r="K45" s="46" t="e">
        <f t="shared" si="9"/>
        <v>#N/A</v>
      </c>
      <c r="L45" s="50" t="e">
        <f t="shared" si="10"/>
        <v>#N/A</v>
      </c>
      <c r="M45" s="46" t="e">
        <f t="shared" si="11"/>
        <v>#N/A</v>
      </c>
      <c r="N45" s="50" t="e">
        <f t="shared" si="12"/>
        <v>#N/A</v>
      </c>
      <c r="O45" s="46" t="e">
        <f t="shared" si="13"/>
        <v>#N/A</v>
      </c>
      <c r="P45" s="50" t="e">
        <f t="shared" si="14"/>
        <v>#N/A</v>
      </c>
      <c r="Q45" s="46" t="e">
        <f t="shared" si="15"/>
        <v>#N/A</v>
      </c>
      <c r="R45" s="50" t="e">
        <f t="shared" si="16"/>
        <v>#N/A</v>
      </c>
      <c r="S45" s="46" t="e">
        <f t="shared" si="17"/>
        <v>#N/A</v>
      </c>
      <c r="T45" s="50" t="e">
        <f t="shared" si="18"/>
        <v>#N/A</v>
      </c>
      <c r="U45" s="46" t="e">
        <f t="shared" si="19"/>
        <v>#N/A</v>
      </c>
      <c r="V45" s="50" t="e">
        <f t="shared" si="20"/>
        <v>#N/A</v>
      </c>
      <c r="W45" s="46" t="e">
        <f t="shared" si="21"/>
        <v>#N/A</v>
      </c>
      <c r="X45" s="50" t="e">
        <f t="shared" si="22"/>
        <v>#N/A</v>
      </c>
      <c r="Y45" s="46" t="e">
        <f t="shared" si="23"/>
        <v>#N/A</v>
      </c>
      <c r="Z45" s="50" t="e">
        <f t="shared" si="24"/>
        <v>#N/A</v>
      </c>
      <c r="AA45" s="13"/>
      <c r="AB45" s="15" t="e">
        <f t="shared" si="1"/>
        <v>#N/A</v>
      </c>
      <c r="AC45" s="15" t="e">
        <f t="shared" si="2"/>
        <v>#N/A</v>
      </c>
      <c r="AD45" s="9" t="e">
        <f>ROUND(IF(A45="","",IF(AC45="  ",AB45-Date!$B$3,AB45-AC45)),0)</f>
        <v>#N/A</v>
      </c>
      <c r="AE45" s="12"/>
    </row>
    <row r="46" spans="1:31" ht="23.25" x14ac:dyDescent="0.25">
      <c r="A46" s="9" t="s">
        <v>177</v>
      </c>
      <c r="B46" s="8" t="e">
        <f t="shared" si="0"/>
        <v>#N/A</v>
      </c>
      <c r="C46" s="13"/>
      <c r="D46" s="46" t="e">
        <f t="shared" si="3"/>
        <v>#N/A</v>
      </c>
      <c r="E46" s="50" t="e">
        <f t="shared" si="4"/>
        <v>#N/A</v>
      </c>
      <c r="F46" s="46" t="e">
        <f t="shared" si="5"/>
        <v>#N/A</v>
      </c>
      <c r="G46" s="50" t="e">
        <f t="shared" si="6"/>
        <v>#N/A</v>
      </c>
      <c r="H46" s="46" t="e">
        <f t="shared" si="7"/>
        <v>#N/A</v>
      </c>
      <c r="I46" s="50" t="e">
        <f t="shared" si="8"/>
        <v>#N/A</v>
      </c>
      <c r="J46" s="13"/>
      <c r="K46" s="46" t="e">
        <f t="shared" si="9"/>
        <v>#N/A</v>
      </c>
      <c r="L46" s="50" t="e">
        <f t="shared" si="10"/>
        <v>#N/A</v>
      </c>
      <c r="M46" s="46" t="e">
        <f t="shared" si="11"/>
        <v>#N/A</v>
      </c>
      <c r="N46" s="50" t="e">
        <f t="shared" si="12"/>
        <v>#N/A</v>
      </c>
      <c r="O46" s="46" t="e">
        <f t="shared" si="13"/>
        <v>#N/A</v>
      </c>
      <c r="P46" s="50" t="e">
        <f t="shared" si="14"/>
        <v>#N/A</v>
      </c>
      <c r="Q46" s="46" t="e">
        <f t="shared" si="15"/>
        <v>#N/A</v>
      </c>
      <c r="R46" s="50" t="e">
        <f t="shared" si="16"/>
        <v>#N/A</v>
      </c>
      <c r="S46" s="46" t="e">
        <f t="shared" si="17"/>
        <v>#N/A</v>
      </c>
      <c r="T46" s="50" t="e">
        <f t="shared" si="18"/>
        <v>#N/A</v>
      </c>
      <c r="U46" s="46" t="e">
        <f t="shared" si="19"/>
        <v>#N/A</v>
      </c>
      <c r="V46" s="50" t="e">
        <f t="shared" si="20"/>
        <v>#N/A</v>
      </c>
      <c r="W46" s="46" t="e">
        <f t="shared" si="21"/>
        <v>#N/A</v>
      </c>
      <c r="X46" s="50" t="e">
        <f t="shared" si="22"/>
        <v>#N/A</v>
      </c>
      <c r="Y46" s="46" t="e">
        <f t="shared" si="23"/>
        <v>#N/A</v>
      </c>
      <c r="Z46" s="50" t="e">
        <f t="shared" si="24"/>
        <v>#N/A</v>
      </c>
      <c r="AA46" s="13"/>
      <c r="AB46" s="15" t="e">
        <f t="shared" si="1"/>
        <v>#N/A</v>
      </c>
      <c r="AC46" s="15" t="e">
        <f t="shared" si="2"/>
        <v>#N/A</v>
      </c>
      <c r="AD46" s="9" t="e">
        <f>ROUND(IF(A46="","",IF(AC46="  ",AB46-Date!$B$3,AB46-AC46)),0)</f>
        <v>#N/A</v>
      </c>
      <c r="AE46" s="12"/>
    </row>
    <row r="47" spans="1:31" ht="23.25" x14ac:dyDescent="0.25">
      <c r="A47" s="9" t="s">
        <v>178</v>
      </c>
      <c r="B47" s="8" t="e">
        <f t="shared" si="0"/>
        <v>#N/A</v>
      </c>
      <c r="C47" s="13"/>
      <c r="D47" s="46" t="e">
        <f t="shared" si="3"/>
        <v>#N/A</v>
      </c>
      <c r="E47" s="50" t="e">
        <f t="shared" si="4"/>
        <v>#N/A</v>
      </c>
      <c r="F47" s="46" t="e">
        <f t="shared" si="5"/>
        <v>#N/A</v>
      </c>
      <c r="G47" s="50" t="e">
        <f t="shared" si="6"/>
        <v>#N/A</v>
      </c>
      <c r="H47" s="46" t="e">
        <f t="shared" si="7"/>
        <v>#N/A</v>
      </c>
      <c r="I47" s="50" t="e">
        <f t="shared" si="8"/>
        <v>#N/A</v>
      </c>
      <c r="J47" s="13"/>
      <c r="K47" s="46" t="e">
        <f t="shared" si="9"/>
        <v>#N/A</v>
      </c>
      <c r="L47" s="50" t="e">
        <f t="shared" si="10"/>
        <v>#N/A</v>
      </c>
      <c r="M47" s="46" t="e">
        <f t="shared" si="11"/>
        <v>#N/A</v>
      </c>
      <c r="N47" s="50" t="e">
        <f t="shared" si="12"/>
        <v>#N/A</v>
      </c>
      <c r="O47" s="46" t="e">
        <f t="shared" si="13"/>
        <v>#N/A</v>
      </c>
      <c r="P47" s="50" t="e">
        <f t="shared" si="14"/>
        <v>#N/A</v>
      </c>
      <c r="Q47" s="46" t="e">
        <f t="shared" si="15"/>
        <v>#N/A</v>
      </c>
      <c r="R47" s="50" t="e">
        <f t="shared" si="16"/>
        <v>#N/A</v>
      </c>
      <c r="S47" s="46" t="e">
        <f t="shared" si="17"/>
        <v>#N/A</v>
      </c>
      <c r="T47" s="50" t="e">
        <f t="shared" si="18"/>
        <v>#N/A</v>
      </c>
      <c r="U47" s="46" t="e">
        <f t="shared" si="19"/>
        <v>#N/A</v>
      </c>
      <c r="V47" s="50" t="e">
        <f t="shared" si="20"/>
        <v>#N/A</v>
      </c>
      <c r="W47" s="46" t="e">
        <f t="shared" si="21"/>
        <v>#N/A</v>
      </c>
      <c r="X47" s="50" t="e">
        <f t="shared" si="22"/>
        <v>#N/A</v>
      </c>
      <c r="Y47" s="46" t="e">
        <f t="shared" si="23"/>
        <v>#N/A</v>
      </c>
      <c r="Z47" s="50" t="e">
        <f t="shared" si="24"/>
        <v>#N/A</v>
      </c>
      <c r="AA47" s="13"/>
      <c r="AB47" s="15" t="e">
        <f t="shared" si="1"/>
        <v>#N/A</v>
      </c>
      <c r="AC47" s="15" t="e">
        <f t="shared" si="2"/>
        <v>#N/A</v>
      </c>
      <c r="AD47" s="9" t="e">
        <f>ROUND(IF(A47="","",IF(AC47="  ",AB47-Date!$B$3,AB47-AC47)),0)</f>
        <v>#N/A</v>
      </c>
      <c r="AE47" s="12"/>
    </row>
    <row r="48" spans="1:31" ht="23.25" x14ac:dyDescent="0.25">
      <c r="A48" s="9" t="s">
        <v>179</v>
      </c>
      <c r="B48" s="8" t="e">
        <f t="shared" si="0"/>
        <v>#N/A</v>
      </c>
      <c r="C48" s="13"/>
      <c r="D48" s="46" t="e">
        <f t="shared" si="3"/>
        <v>#N/A</v>
      </c>
      <c r="E48" s="50" t="e">
        <f t="shared" si="4"/>
        <v>#N/A</v>
      </c>
      <c r="F48" s="46" t="e">
        <f t="shared" si="5"/>
        <v>#N/A</v>
      </c>
      <c r="G48" s="50" t="e">
        <f t="shared" si="6"/>
        <v>#N/A</v>
      </c>
      <c r="H48" s="46" t="e">
        <f t="shared" si="7"/>
        <v>#N/A</v>
      </c>
      <c r="I48" s="50" t="e">
        <f t="shared" si="8"/>
        <v>#N/A</v>
      </c>
      <c r="J48" s="13"/>
      <c r="K48" s="46" t="e">
        <f t="shared" si="9"/>
        <v>#N/A</v>
      </c>
      <c r="L48" s="50" t="e">
        <f t="shared" si="10"/>
        <v>#N/A</v>
      </c>
      <c r="M48" s="46" t="e">
        <f t="shared" si="11"/>
        <v>#N/A</v>
      </c>
      <c r="N48" s="50" t="e">
        <f t="shared" si="12"/>
        <v>#N/A</v>
      </c>
      <c r="O48" s="46" t="e">
        <f t="shared" si="13"/>
        <v>#N/A</v>
      </c>
      <c r="P48" s="50" t="e">
        <f t="shared" si="14"/>
        <v>#N/A</v>
      </c>
      <c r="Q48" s="46" t="e">
        <f t="shared" si="15"/>
        <v>#N/A</v>
      </c>
      <c r="R48" s="50" t="e">
        <f t="shared" si="16"/>
        <v>#N/A</v>
      </c>
      <c r="S48" s="46" t="e">
        <f t="shared" si="17"/>
        <v>#N/A</v>
      </c>
      <c r="T48" s="50" t="e">
        <f t="shared" si="18"/>
        <v>#N/A</v>
      </c>
      <c r="U48" s="46" t="e">
        <f t="shared" si="19"/>
        <v>#N/A</v>
      </c>
      <c r="V48" s="50" t="e">
        <f t="shared" si="20"/>
        <v>#N/A</v>
      </c>
      <c r="W48" s="46" t="e">
        <f t="shared" si="21"/>
        <v>#N/A</v>
      </c>
      <c r="X48" s="50" t="e">
        <f t="shared" si="22"/>
        <v>#N/A</v>
      </c>
      <c r="Y48" s="46" t="e">
        <f t="shared" si="23"/>
        <v>#N/A</v>
      </c>
      <c r="Z48" s="50" t="e">
        <f t="shared" si="24"/>
        <v>#N/A</v>
      </c>
      <c r="AA48" s="13"/>
      <c r="AB48" s="15" t="e">
        <f t="shared" si="1"/>
        <v>#N/A</v>
      </c>
      <c r="AC48" s="15" t="e">
        <f t="shared" si="2"/>
        <v>#N/A</v>
      </c>
      <c r="AD48" s="9" t="e">
        <f>ROUND(IF(A48="","",IF(AC48="  ",AB48-Date!$B$3,AB48-AC48)),0)</f>
        <v>#N/A</v>
      </c>
      <c r="AE48" s="12"/>
    </row>
    <row r="49" spans="1:31" ht="23.25" x14ac:dyDescent="0.25">
      <c r="A49" s="9" t="s">
        <v>180</v>
      </c>
      <c r="B49" s="8" t="e">
        <f t="shared" si="0"/>
        <v>#N/A</v>
      </c>
      <c r="C49" s="13"/>
      <c r="D49" s="46" t="e">
        <f t="shared" si="3"/>
        <v>#N/A</v>
      </c>
      <c r="E49" s="50" t="e">
        <f t="shared" si="4"/>
        <v>#N/A</v>
      </c>
      <c r="F49" s="46" t="e">
        <f t="shared" si="5"/>
        <v>#N/A</v>
      </c>
      <c r="G49" s="50" t="e">
        <f t="shared" si="6"/>
        <v>#N/A</v>
      </c>
      <c r="H49" s="46" t="e">
        <f t="shared" si="7"/>
        <v>#N/A</v>
      </c>
      <c r="I49" s="50" t="e">
        <f t="shared" si="8"/>
        <v>#N/A</v>
      </c>
      <c r="J49" s="13"/>
      <c r="K49" s="46" t="e">
        <f t="shared" si="9"/>
        <v>#N/A</v>
      </c>
      <c r="L49" s="50" t="e">
        <f t="shared" si="10"/>
        <v>#N/A</v>
      </c>
      <c r="M49" s="46" t="e">
        <f t="shared" si="11"/>
        <v>#N/A</v>
      </c>
      <c r="N49" s="50" t="e">
        <f t="shared" si="12"/>
        <v>#N/A</v>
      </c>
      <c r="O49" s="46" t="e">
        <f t="shared" si="13"/>
        <v>#N/A</v>
      </c>
      <c r="P49" s="50" t="e">
        <f t="shared" si="14"/>
        <v>#N/A</v>
      </c>
      <c r="Q49" s="46" t="e">
        <f t="shared" si="15"/>
        <v>#N/A</v>
      </c>
      <c r="R49" s="50" t="e">
        <f t="shared" si="16"/>
        <v>#N/A</v>
      </c>
      <c r="S49" s="46" t="e">
        <f t="shared" si="17"/>
        <v>#N/A</v>
      </c>
      <c r="T49" s="50" t="e">
        <f t="shared" si="18"/>
        <v>#N/A</v>
      </c>
      <c r="U49" s="46" t="e">
        <f t="shared" si="19"/>
        <v>#N/A</v>
      </c>
      <c r="V49" s="50" t="e">
        <f t="shared" si="20"/>
        <v>#N/A</v>
      </c>
      <c r="W49" s="46" t="e">
        <f t="shared" si="21"/>
        <v>#N/A</v>
      </c>
      <c r="X49" s="50" t="e">
        <f t="shared" si="22"/>
        <v>#N/A</v>
      </c>
      <c r="Y49" s="46" t="e">
        <f t="shared" si="23"/>
        <v>#N/A</v>
      </c>
      <c r="Z49" s="50" t="e">
        <f t="shared" si="24"/>
        <v>#N/A</v>
      </c>
      <c r="AA49" s="13"/>
      <c r="AB49" s="15" t="e">
        <f t="shared" si="1"/>
        <v>#N/A</v>
      </c>
      <c r="AC49" s="15" t="e">
        <f t="shared" si="2"/>
        <v>#N/A</v>
      </c>
      <c r="AD49" s="9" t="e">
        <f>ROUND(IF(A49="","",IF(AC49="  ",AB49-Date!$B$3,AB49-AC49)),0)</f>
        <v>#N/A</v>
      </c>
      <c r="AE49" s="12"/>
    </row>
    <row r="50" spans="1:31" ht="23.25" x14ac:dyDescent="0.25">
      <c r="A50" s="9" t="s">
        <v>181</v>
      </c>
      <c r="B50" s="8" t="e">
        <f t="shared" si="0"/>
        <v>#N/A</v>
      </c>
      <c r="C50" s="13"/>
      <c r="D50" s="46" t="e">
        <f t="shared" si="3"/>
        <v>#N/A</v>
      </c>
      <c r="E50" s="50" t="e">
        <f t="shared" si="4"/>
        <v>#N/A</v>
      </c>
      <c r="F50" s="46" t="e">
        <f t="shared" si="5"/>
        <v>#N/A</v>
      </c>
      <c r="G50" s="50" t="e">
        <f t="shared" si="6"/>
        <v>#N/A</v>
      </c>
      <c r="H50" s="46" t="e">
        <f t="shared" si="7"/>
        <v>#N/A</v>
      </c>
      <c r="I50" s="50" t="e">
        <f t="shared" si="8"/>
        <v>#N/A</v>
      </c>
      <c r="J50" s="13"/>
      <c r="K50" s="46" t="e">
        <f t="shared" si="9"/>
        <v>#N/A</v>
      </c>
      <c r="L50" s="50" t="e">
        <f t="shared" si="10"/>
        <v>#N/A</v>
      </c>
      <c r="M50" s="46" t="e">
        <f t="shared" si="11"/>
        <v>#N/A</v>
      </c>
      <c r="N50" s="50" t="e">
        <f t="shared" si="12"/>
        <v>#N/A</v>
      </c>
      <c r="O50" s="46" t="e">
        <f t="shared" si="13"/>
        <v>#N/A</v>
      </c>
      <c r="P50" s="50" t="e">
        <f t="shared" si="14"/>
        <v>#N/A</v>
      </c>
      <c r="Q50" s="46" t="e">
        <f t="shared" si="15"/>
        <v>#N/A</v>
      </c>
      <c r="R50" s="50" t="e">
        <f t="shared" si="16"/>
        <v>#N/A</v>
      </c>
      <c r="S50" s="46" t="e">
        <f t="shared" si="17"/>
        <v>#N/A</v>
      </c>
      <c r="T50" s="50" t="e">
        <f t="shared" si="18"/>
        <v>#N/A</v>
      </c>
      <c r="U50" s="46" t="e">
        <f t="shared" si="19"/>
        <v>#N/A</v>
      </c>
      <c r="V50" s="50" t="e">
        <f t="shared" si="20"/>
        <v>#N/A</v>
      </c>
      <c r="W50" s="46" t="e">
        <f t="shared" si="21"/>
        <v>#N/A</v>
      </c>
      <c r="X50" s="50" t="e">
        <f t="shared" si="22"/>
        <v>#N/A</v>
      </c>
      <c r="Y50" s="46" t="e">
        <f t="shared" si="23"/>
        <v>#N/A</v>
      </c>
      <c r="Z50" s="50" t="e">
        <f t="shared" si="24"/>
        <v>#N/A</v>
      </c>
      <c r="AA50" s="13"/>
      <c r="AB50" s="15" t="e">
        <f t="shared" si="1"/>
        <v>#N/A</v>
      </c>
      <c r="AC50" s="15" t="e">
        <f t="shared" si="2"/>
        <v>#N/A</v>
      </c>
      <c r="AD50" s="9" t="e">
        <f>ROUND(IF(A50="","",IF(AC50="  ",AB50-Date!$B$3,AB50-AC50)),0)</f>
        <v>#N/A</v>
      </c>
      <c r="AE50" s="12"/>
    </row>
    <row r="51" spans="1:31" ht="23.25" x14ac:dyDescent="0.25">
      <c r="A51" s="9" t="s">
        <v>182</v>
      </c>
      <c r="B51" s="8" t="e">
        <f t="shared" si="0"/>
        <v>#N/A</v>
      </c>
      <c r="C51" s="13"/>
      <c r="D51" s="46" t="e">
        <f t="shared" si="3"/>
        <v>#N/A</v>
      </c>
      <c r="E51" s="50" t="e">
        <f t="shared" si="4"/>
        <v>#N/A</v>
      </c>
      <c r="F51" s="46" t="e">
        <f t="shared" si="5"/>
        <v>#N/A</v>
      </c>
      <c r="G51" s="50" t="e">
        <f t="shared" si="6"/>
        <v>#N/A</v>
      </c>
      <c r="H51" s="46" t="e">
        <f t="shared" si="7"/>
        <v>#N/A</v>
      </c>
      <c r="I51" s="50" t="e">
        <f t="shared" si="8"/>
        <v>#N/A</v>
      </c>
      <c r="J51" s="13"/>
      <c r="K51" s="46" t="e">
        <f t="shared" si="9"/>
        <v>#N/A</v>
      </c>
      <c r="L51" s="50" t="e">
        <f t="shared" si="10"/>
        <v>#N/A</v>
      </c>
      <c r="M51" s="46" t="e">
        <f t="shared" si="11"/>
        <v>#N/A</v>
      </c>
      <c r="N51" s="50" t="e">
        <f t="shared" si="12"/>
        <v>#N/A</v>
      </c>
      <c r="O51" s="46" t="e">
        <f t="shared" si="13"/>
        <v>#N/A</v>
      </c>
      <c r="P51" s="50" t="e">
        <f t="shared" si="14"/>
        <v>#N/A</v>
      </c>
      <c r="Q51" s="46" t="e">
        <f t="shared" si="15"/>
        <v>#N/A</v>
      </c>
      <c r="R51" s="50" t="e">
        <f t="shared" si="16"/>
        <v>#N/A</v>
      </c>
      <c r="S51" s="46" t="e">
        <f t="shared" si="17"/>
        <v>#N/A</v>
      </c>
      <c r="T51" s="50" t="e">
        <f t="shared" si="18"/>
        <v>#N/A</v>
      </c>
      <c r="U51" s="46" t="e">
        <f t="shared" si="19"/>
        <v>#N/A</v>
      </c>
      <c r="V51" s="50" t="e">
        <f t="shared" si="20"/>
        <v>#N/A</v>
      </c>
      <c r="W51" s="46" t="e">
        <f t="shared" si="21"/>
        <v>#N/A</v>
      </c>
      <c r="X51" s="50" t="e">
        <f t="shared" si="22"/>
        <v>#N/A</v>
      </c>
      <c r="Y51" s="46" t="e">
        <f t="shared" si="23"/>
        <v>#N/A</v>
      </c>
      <c r="Z51" s="50" t="e">
        <f t="shared" si="24"/>
        <v>#N/A</v>
      </c>
      <c r="AA51" s="13"/>
      <c r="AB51" s="15" t="e">
        <f t="shared" si="1"/>
        <v>#N/A</v>
      </c>
      <c r="AC51" s="15" t="e">
        <f t="shared" si="2"/>
        <v>#N/A</v>
      </c>
      <c r="AD51" s="9" t="e">
        <f>ROUND(IF(A51="","",IF(AC51="  ",AB51-Date!$B$3,AB51-AC51)),0)</f>
        <v>#N/A</v>
      </c>
      <c r="AE51" s="12"/>
    </row>
    <row r="52" spans="1:31" ht="23.25" x14ac:dyDescent="0.25">
      <c r="A52" s="9" t="s">
        <v>183</v>
      </c>
      <c r="B52" s="8" t="e">
        <f t="shared" si="0"/>
        <v>#N/A</v>
      </c>
      <c r="C52" s="13"/>
      <c r="D52" s="46" t="e">
        <f t="shared" si="3"/>
        <v>#N/A</v>
      </c>
      <c r="E52" s="50" t="e">
        <f t="shared" si="4"/>
        <v>#N/A</v>
      </c>
      <c r="F52" s="46" t="e">
        <f t="shared" si="5"/>
        <v>#N/A</v>
      </c>
      <c r="G52" s="50" t="e">
        <f t="shared" si="6"/>
        <v>#N/A</v>
      </c>
      <c r="H52" s="46" t="e">
        <f t="shared" si="7"/>
        <v>#N/A</v>
      </c>
      <c r="I52" s="50" t="e">
        <f t="shared" si="8"/>
        <v>#N/A</v>
      </c>
      <c r="J52" s="13"/>
      <c r="K52" s="46" t="e">
        <f t="shared" si="9"/>
        <v>#N/A</v>
      </c>
      <c r="L52" s="50" t="e">
        <f t="shared" si="10"/>
        <v>#N/A</v>
      </c>
      <c r="M52" s="46" t="e">
        <f t="shared" si="11"/>
        <v>#N/A</v>
      </c>
      <c r="N52" s="50" t="e">
        <f t="shared" si="12"/>
        <v>#N/A</v>
      </c>
      <c r="O52" s="46" t="e">
        <f t="shared" si="13"/>
        <v>#N/A</v>
      </c>
      <c r="P52" s="50" t="e">
        <f t="shared" si="14"/>
        <v>#N/A</v>
      </c>
      <c r="Q52" s="46" t="e">
        <f t="shared" si="15"/>
        <v>#N/A</v>
      </c>
      <c r="R52" s="50" t="e">
        <f t="shared" si="16"/>
        <v>#N/A</v>
      </c>
      <c r="S52" s="46" t="e">
        <f t="shared" si="17"/>
        <v>#N/A</v>
      </c>
      <c r="T52" s="50" t="e">
        <f t="shared" si="18"/>
        <v>#N/A</v>
      </c>
      <c r="U52" s="46" t="e">
        <f t="shared" si="19"/>
        <v>#N/A</v>
      </c>
      <c r="V52" s="50" t="e">
        <f t="shared" si="20"/>
        <v>#N/A</v>
      </c>
      <c r="W52" s="46" t="e">
        <f t="shared" si="21"/>
        <v>#N/A</v>
      </c>
      <c r="X52" s="50" t="e">
        <f t="shared" si="22"/>
        <v>#N/A</v>
      </c>
      <c r="Y52" s="46" t="e">
        <f t="shared" si="23"/>
        <v>#N/A</v>
      </c>
      <c r="Z52" s="50" t="e">
        <f t="shared" si="24"/>
        <v>#N/A</v>
      </c>
      <c r="AA52" s="13"/>
      <c r="AB52" s="15" t="e">
        <f t="shared" si="1"/>
        <v>#N/A</v>
      </c>
      <c r="AC52" s="15" t="e">
        <f t="shared" si="2"/>
        <v>#N/A</v>
      </c>
      <c r="AD52" s="9" t="e">
        <f>ROUND(IF(A52="","",IF(AC52="  ",AB52-Date!$B$3,AB52-AC52)),0)</f>
        <v>#N/A</v>
      </c>
      <c r="AE52" s="12"/>
    </row>
    <row r="53" spans="1:31" ht="23.25" x14ac:dyDescent="0.25">
      <c r="A53" s="9" t="s">
        <v>184</v>
      </c>
      <c r="B53" s="8" t="e">
        <f t="shared" si="0"/>
        <v>#N/A</v>
      </c>
      <c r="C53" s="13"/>
      <c r="D53" s="46" t="e">
        <f t="shared" si="3"/>
        <v>#N/A</v>
      </c>
      <c r="E53" s="50" t="e">
        <f t="shared" si="4"/>
        <v>#N/A</v>
      </c>
      <c r="F53" s="46" t="e">
        <f t="shared" si="5"/>
        <v>#N/A</v>
      </c>
      <c r="G53" s="50" t="e">
        <f t="shared" si="6"/>
        <v>#N/A</v>
      </c>
      <c r="H53" s="46" t="e">
        <f t="shared" si="7"/>
        <v>#N/A</v>
      </c>
      <c r="I53" s="50" t="e">
        <f t="shared" si="8"/>
        <v>#N/A</v>
      </c>
      <c r="J53" s="13"/>
      <c r="K53" s="46" t="e">
        <f t="shared" si="9"/>
        <v>#N/A</v>
      </c>
      <c r="L53" s="50" t="e">
        <f t="shared" si="10"/>
        <v>#N/A</v>
      </c>
      <c r="M53" s="46" t="e">
        <f t="shared" si="11"/>
        <v>#N/A</v>
      </c>
      <c r="N53" s="50" t="e">
        <f t="shared" si="12"/>
        <v>#N/A</v>
      </c>
      <c r="O53" s="46" t="e">
        <f t="shared" si="13"/>
        <v>#N/A</v>
      </c>
      <c r="P53" s="50" t="e">
        <f t="shared" si="14"/>
        <v>#N/A</v>
      </c>
      <c r="Q53" s="46" t="e">
        <f t="shared" si="15"/>
        <v>#N/A</v>
      </c>
      <c r="R53" s="50" t="e">
        <f t="shared" si="16"/>
        <v>#N/A</v>
      </c>
      <c r="S53" s="46" t="e">
        <f t="shared" si="17"/>
        <v>#N/A</v>
      </c>
      <c r="T53" s="50" t="e">
        <f t="shared" si="18"/>
        <v>#N/A</v>
      </c>
      <c r="U53" s="46" t="e">
        <f t="shared" si="19"/>
        <v>#N/A</v>
      </c>
      <c r="V53" s="50" t="e">
        <f t="shared" si="20"/>
        <v>#N/A</v>
      </c>
      <c r="W53" s="46" t="e">
        <f t="shared" si="21"/>
        <v>#N/A</v>
      </c>
      <c r="X53" s="50" t="e">
        <f t="shared" si="22"/>
        <v>#N/A</v>
      </c>
      <c r="Y53" s="46" t="e">
        <f t="shared" si="23"/>
        <v>#N/A</v>
      </c>
      <c r="Z53" s="50" t="e">
        <f t="shared" si="24"/>
        <v>#N/A</v>
      </c>
      <c r="AA53" s="13"/>
      <c r="AB53" s="15" t="e">
        <f t="shared" si="1"/>
        <v>#N/A</v>
      </c>
      <c r="AC53" s="15" t="e">
        <f t="shared" si="2"/>
        <v>#N/A</v>
      </c>
      <c r="AD53" s="9" t="e">
        <f>ROUND(IF(A53="","",IF(AC53="  ",AB53-Date!$B$3,AB53-AC53)),0)</f>
        <v>#N/A</v>
      </c>
      <c r="AE53" s="12"/>
    </row>
    <row r="54" spans="1:31" ht="23.25" x14ac:dyDescent="0.25">
      <c r="A54" s="9" t="s">
        <v>185</v>
      </c>
      <c r="B54" s="8" t="e">
        <f t="shared" si="0"/>
        <v>#N/A</v>
      </c>
      <c r="C54" s="13"/>
      <c r="D54" s="46" t="e">
        <f t="shared" si="3"/>
        <v>#N/A</v>
      </c>
      <c r="E54" s="50" t="e">
        <f t="shared" si="4"/>
        <v>#N/A</v>
      </c>
      <c r="F54" s="46" t="e">
        <f t="shared" si="5"/>
        <v>#N/A</v>
      </c>
      <c r="G54" s="50" t="e">
        <f t="shared" si="6"/>
        <v>#N/A</v>
      </c>
      <c r="H54" s="46" t="e">
        <f t="shared" si="7"/>
        <v>#N/A</v>
      </c>
      <c r="I54" s="50" t="e">
        <f t="shared" si="8"/>
        <v>#N/A</v>
      </c>
      <c r="J54" s="13"/>
      <c r="K54" s="46" t="e">
        <f t="shared" si="9"/>
        <v>#N/A</v>
      </c>
      <c r="L54" s="50" t="e">
        <f t="shared" si="10"/>
        <v>#N/A</v>
      </c>
      <c r="M54" s="46" t="e">
        <f t="shared" si="11"/>
        <v>#N/A</v>
      </c>
      <c r="N54" s="50" t="e">
        <f t="shared" si="12"/>
        <v>#N/A</v>
      </c>
      <c r="O54" s="46" t="e">
        <f t="shared" si="13"/>
        <v>#N/A</v>
      </c>
      <c r="P54" s="50" t="e">
        <f t="shared" si="14"/>
        <v>#N/A</v>
      </c>
      <c r="Q54" s="46" t="e">
        <f t="shared" si="15"/>
        <v>#N/A</v>
      </c>
      <c r="R54" s="50" t="e">
        <f t="shared" si="16"/>
        <v>#N/A</v>
      </c>
      <c r="S54" s="46" t="e">
        <f t="shared" si="17"/>
        <v>#N/A</v>
      </c>
      <c r="T54" s="50" t="e">
        <f t="shared" si="18"/>
        <v>#N/A</v>
      </c>
      <c r="U54" s="46" t="e">
        <f t="shared" si="19"/>
        <v>#N/A</v>
      </c>
      <c r="V54" s="50" t="e">
        <f t="shared" si="20"/>
        <v>#N/A</v>
      </c>
      <c r="W54" s="46" t="e">
        <f t="shared" si="21"/>
        <v>#N/A</v>
      </c>
      <c r="X54" s="50" t="e">
        <f t="shared" si="22"/>
        <v>#N/A</v>
      </c>
      <c r="Y54" s="46" t="e">
        <f t="shared" si="23"/>
        <v>#N/A</v>
      </c>
      <c r="Z54" s="50" t="e">
        <f t="shared" si="24"/>
        <v>#N/A</v>
      </c>
      <c r="AA54" s="13"/>
      <c r="AB54" s="15" t="e">
        <f t="shared" si="1"/>
        <v>#N/A</v>
      </c>
      <c r="AC54" s="15" t="e">
        <f t="shared" si="2"/>
        <v>#N/A</v>
      </c>
      <c r="AD54" s="9" t="e">
        <f>ROUND(IF(A54="","",IF(AC54="  ",AB54-Date!$B$3,AB54-AC54)),0)</f>
        <v>#N/A</v>
      </c>
      <c r="AE54" s="12"/>
    </row>
    <row r="55" spans="1:31" ht="23.25" x14ac:dyDescent="0.25">
      <c r="A55" s="9" t="s">
        <v>186</v>
      </c>
      <c r="B55" s="8" t="e">
        <f t="shared" si="0"/>
        <v>#N/A</v>
      </c>
      <c r="C55" s="13"/>
      <c r="D55" s="46" t="e">
        <f t="shared" si="3"/>
        <v>#N/A</v>
      </c>
      <c r="E55" s="50" t="e">
        <f t="shared" si="4"/>
        <v>#N/A</v>
      </c>
      <c r="F55" s="46" t="e">
        <f t="shared" si="5"/>
        <v>#N/A</v>
      </c>
      <c r="G55" s="50" t="e">
        <f t="shared" si="6"/>
        <v>#N/A</v>
      </c>
      <c r="H55" s="46" t="e">
        <f t="shared" si="7"/>
        <v>#N/A</v>
      </c>
      <c r="I55" s="50" t="e">
        <f t="shared" si="8"/>
        <v>#N/A</v>
      </c>
      <c r="J55" s="13"/>
      <c r="K55" s="46" t="e">
        <f t="shared" si="9"/>
        <v>#N/A</v>
      </c>
      <c r="L55" s="50" t="e">
        <f t="shared" si="10"/>
        <v>#N/A</v>
      </c>
      <c r="M55" s="46" t="e">
        <f t="shared" si="11"/>
        <v>#N/A</v>
      </c>
      <c r="N55" s="50" t="e">
        <f t="shared" si="12"/>
        <v>#N/A</v>
      </c>
      <c r="O55" s="46" t="e">
        <f t="shared" si="13"/>
        <v>#N/A</v>
      </c>
      <c r="P55" s="50" t="e">
        <f t="shared" si="14"/>
        <v>#N/A</v>
      </c>
      <c r="Q55" s="46" t="e">
        <f t="shared" si="15"/>
        <v>#N/A</v>
      </c>
      <c r="R55" s="50" t="e">
        <f t="shared" si="16"/>
        <v>#N/A</v>
      </c>
      <c r="S55" s="46" t="e">
        <f t="shared" si="17"/>
        <v>#N/A</v>
      </c>
      <c r="T55" s="50" t="e">
        <f t="shared" si="18"/>
        <v>#N/A</v>
      </c>
      <c r="U55" s="46" t="e">
        <f t="shared" si="19"/>
        <v>#N/A</v>
      </c>
      <c r="V55" s="50" t="e">
        <f t="shared" si="20"/>
        <v>#N/A</v>
      </c>
      <c r="W55" s="46" t="e">
        <f t="shared" si="21"/>
        <v>#N/A</v>
      </c>
      <c r="X55" s="50" t="e">
        <f t="shared" si="22"/>
        <v>#N/A</v>
      </c>
      <c r="Y55" s="46" t="e">
        <f t="shared" si="23"/>
        <v>#N/A</v>
      </c>
      <c r="Z55" s="50" t="e">
        <f t="shared" si="24"/>
        <v>#N/A</v>
      </c>
      <c r="AA55" s="13"/>
      <c r="AB55" s="15" t="e">
        <f t="shared" si="1"/>
        <v>#N/A</v>
      </c>
      <c r="AC55" s="15" t="e">
        <f t="shared" si="2"/>
        <v>#N/A</v>
      </c>
      <c r="AD55" s="9" t="e">
        <f>ROUND(IF(A55="","",IF(AC55="  ",AB55-Date!$B$3,AB55-AC55)),0)</f>
        <v>#N/A</v>
      </c>
      <c r="AE55" s="12"/>
    </row>
    <row r="56" spans="1:31" ht="23.25" x14ac:dyDescent="0.25">
      <c r="A56" s="9" t="s">
        <v>187</v>
      </c>
      <c r="B56" s="8" t="e">
        <f t="shared" si="0"/>
        <v>#N/A</v>
      </c>
      <c r="C56" s="13"/>
      <c r="D56" s="46" t="e">
        <f t="shared" si="3"/>
        <v>#N/A</v>
      </c>
      <c r="E56" s="50" t="e">
        <f t="shared" si="4"/>
        <v>#N/A</v>
      </c>
      <c r="F56" s="46" t="e">
        <f t="shared" si="5"/>
        <v>#N/A</v>
      </c>
      <c r="G56" s="50" t="e">
        <f t="shared" si="6"/>
        <v>#N/A</v>
      </c>
      <c r="H56" s="46" t="e">
        <f t="shared" si="7"/>
        <v>#N/A</v>
      </c>
      <c r="I56" s="50" t="e">
        <f t="shared" si="8"/>
        <v>#N/A</v>
      </c>
      <c r="J56" s="13"/>
      <c r="K56" s="46" t="e">
        <f t="shared" si="9"/>
        <v>#N/A</v>
      </c>
      <c r="L56" s="50" t="e">
        <f t="shared" si="10"/>
        <v>#N/A</v>
      </c>
      <c r="M56" s="46" t="e">
        <f t="shared" si="11"/>
        <v>#N/A</v>
      </c>
      <c r="N56" s="50" t="e">
        <f t="shared" si="12"/>
        <v>#N/A</v>
      </c>
      <c r="O56" s="46" t="e">
        <f t="shared" si="13"/>
        <v>#N/A</v>
      </c>
      <c r="P56" s="50" t="e">
        <f t="shared" si="14"/>
        <v>#N/A</v>
      </c>
      <c r="Q56" s="46" t="e">
        <f t="shared" si="15"/>
        <v>#N/A</v>
      </c>
      <c r="R56" s="50" t="e">
        <f t="shared" si="16"/>
        <v>#N/A</v>
      </c>
      <c r="S56" s="46" t="e">
        <f t="shared" si="17"/>
        <v>#N/A</v>
      </c>
      <c r="T56" s="50" t="e">
        <f t="shared" si="18"/>
        <v>#N/A</v>
      </c>
      <c r="U56" s="46" t="e">
        <f t="shared" si="19"/>
        <v>#N/A</v>
      </c>
      <c r="V56" s="50" t="e">
        <f t="shared" si="20"/>
        <v>#N/A</v>
      </c>
      <c r="W56" s="46" t="e">
        <f t="shared" si="21"/>
        <v>#N/A</v>
      </c>
      <c r="X56" s="50" t="e">
        <f t="shared" si="22"/>
        <v>#N/A</v>
      </c>
      <c r="Y56" s="46" t="e">
        <f t="shared" si="23"/>
        <v>#N/A</v>
      </c>
      <c r="Z56" s="50" t="e">
        <f t="shared" si="24"/>
        <v>#N/A</v>
      </c>
      <c r="AA56" s="13"/>
      <c r="AB56" s="15" t="e">
        <f t="shared" si="1"/>
        <v>#N/A</v>
      </c>
      <c r="AC56" s="15" t="e">
        <f t="shared" si="2"/>
        <v>#N/A</v>
      </c>
      <c r="AD56" s="9" t="e">
        <f>ROUND(IF(A56="","",IF(AC56="  ",AB56-Date!$B$3,AB56-AC56)),0)</f>
        <v>#N/A</v>
      </c>
      <c r="AE56" s="12"/>
    </row>
    <row r="57" spans="1:31" ht="23.25" x14ac:dyDescent="0.25">
      <c r="A57" s="9" t="s">
        <v>188</v>
      </c>
      <c r="B57" s="8" t="e">
        <f t="shared" si="0"/>
        <v>#N/A</v>
      </c>
      <c r="C57" s="13"/>
      <c r="D57" s="46" t="e">
        <f t="shared" si="3"/>
        <v>#N/A</v>
      </c>
      <c r="E57" s="50" t="e">
        <f t="shared" si="4"/>
        <v>#N/A</v>
      </c>
      <c r="F57" s="46" t="e">
        <f t="shared" si="5"/>
        <v>#N/A</v>
      </c>
      <c r="G57" s="50" t="e">
        <f t="shared" si="6"/>
        <v>#N/A</v>
      </c>
      <c r="H57" s="46" t="e">
        <f t="shared" si="7"/>
        <v>#N/A</v>
      </c>
      <c r="I57" s="50" t="e">
        <f t="shared" si="8"/>
        <v>#N/A</v>
      </c>
      <c r="J57" s="13"/>
      <c r="K57" s="46" t="e">
        <f t="shared" si="9"/>
        <v>#N/A</v>
      </c>
      <c r="L57" s="50" t="e">
        <f t="shared" si="10"/>
        <v>#N/A</v>
      </c>
      <c r="M57" s="46" t="e">
        <f t="shared" si="11"/>
        <v>#N/A</v>
      </c>
      <c r="N57" s="50" t="e">
        <f t="shared" si="12"/>
        <v>#N/A</v>
      </c>
      <c r="O57" s="46" t="e">
        <f t="shared" si="13"/>
        <v>#N/A</v>
      </c>
      <c r="P57" s="50" t="e">
        <f t="shared" si="14"/>
        <v>#N/A</v>
      </c>
      <c r="Q57" s="46" t="e">
        <f t="shared" si="15"/>
        <v>#N/A</v>
      </c>
      <c r="R57" s="50" t="e">
        <f t="shared" si="16"/>
        <v>#N/A</v>
      </c>
      <c r="S57" s="46" t="e">
        <f t="shared" si="17"/>
        <v>#N/A</v>
      </c>
      <c r="T57" s="50" t="e">
        <f t="shared" si="18"/>
        <v>#N/A</v>
      </c>
      <c r="U57" s="46" t="e">
        <f t="shared" si="19"/>
        <v>#N/A</v>
      </c>
      <c r="V57" s="50" t="e">
        <f t="shared" si="20"/>
        <v>#N/A</v>
      </c>
      <c r="W57" s="46" t="e">
        <f t="shared" si="21"/>
        <v>#N/A</v>
      </c>
      <c r="X57" s="50" t="e">
        <f t="shared" si="22"/>
        <v>#N/A</v>
      </c>
      <c r="Y57" s="46" t="e">
        <f t="shared" si="23"/>
        <v>#N/A</v>
      </c>
      <c r="Z57" s="50" t="e">
        <f t="shared" si="24"/>
        <v>#N/A</v>
      </c>
      <c r="AA57" s="13"/>
      <c r="AB57" s="15" t="e">
        <f t="shared" si="1"/>
        <v>#N/A</v>
      </c>
      <c r="AC57" s="15" t="e">
        <f t="shared" si="2"/>
        <v>#N/A</v>
      </c>
      <c r="AD57" s="9" t="e">
        <f>ROUND(IF(A57="","",IF(AC57="  ",AB57-Date!$B$3,AB57-AC57)),0)</f>
        <v>#N/A</v>
      </c>
      <c r="AE57" s="12"/>
    </row>
    <row r="58" spans="1:31" ht="23.25" x14ac:dyDescent="0.25">
      <c r="A58" s="9" t="s">
        <v>189</v>
      </c>
      <c r="B58" s="8" t="e">
        <f t="shared" si="0"/>
        <v>#N/A</v>
      </c>
      <c r="C58" s="13"/>
      <c r="D58" s="46" t="e">
        <f t="shared" si="3"/>
        <v>#N/A</v>
      </c>
      <c r="E58" s="50" t="e">
        <f t="shared" si="4"/>
        <v>#N/A</v>
      </c>
      <c r="F58" s="46" t="e">
        <f t="shared" si="5"/>
        <v>#N/A</v>
      </c>
      <c r="G58" s="50" t="e">
        <f t="shared" si="6"/>
        <v>#N/A</v>
      </c>
      <c r="H58" s="46" t="e">
        <f t="shared" si="7"/>
        <v>#N/A</v>
      </c>
      <c r="I58" s="50" t="e">
        <f t="shared" si="8"/>
        <v>#N/A</v>
      </c>
      <c r="J58" s="13"/>
      <c r="K58" s="46" t="e">
        <f t="shared" si="9"/>
        <v>#N/A</v>
      </c>
      <c r="L58" s="50" t="e">
        <f t="shared" si="10"/>
        <v>#N/A</v>
      </c>
      <c r="M58" s="46" t="e">
        <f t="shared" si="11"/>
        <v>#N/A</v>
      </c>
      <c r="N58" s="50" t="e">
        <f t="shared" si="12"/>
        <v>#N/A</v>
      </c>
      <c r="O58" s="46" t="e">
        <f t="shared" si="13"/>
        <v>#N/A</v>
      </c>
      <c r="P58" s="50" t="e">
        <f t="shared" si="14"/>
        <v>#N/A</v>
      </c>
      <c r="Q58" s="46" t="e">
        <f t="shared" si="15"/>
        <v>#N/A</v>
      </c>
      <c r="R58" s="50" t="e">
        <f t="shared" si="16"/>
        <v>#N/A</v>
      </c>
      <c r="S58" s="46" t="e">
        <f t="shared" si="17"/>
        <v>#N/A</v>
      </c>
      <c r="T58" s="50" t="e">
        <f t="shared" si="18"/>
        <v>#N/A</v>
      </c>
      <c r="U58" s="46" t="e">
        <f t="shared" si="19"/>
        <v>#N/A</v>
      </c>
      <c r="V58" s="50" t="e">
        <f t="shared" si="20"/>
        <v>#N/A</v>
      </c>
      <c r="W58" s="46" t="e">
        <f t="shared" si="21"/>
        <v>#N/A</v>
      </c>
      <c r="X58" s="50" t="e">
        <f t="shared" si="22"/>
        <v>#N/A</v>
      </c>
      <c r="Y58" s="46" t="e">
        <f t="shared" si="23"/>
        <v>#N/A</v>
      </c>
      <c r="Z58" s="50" t="e">
        <f t="shared" si="24"/>
        <v>#N/A</v>
      </c>
      <c r="AA58" s="13"/>
      <c r="AB58" s="15" t="e">
        <f t="shared" si="1"/>
        <v>#N/A</v>
      </c>
      <c r="AC58" s="15" t="e">
        <f t="shared" si="2"/>
        <v>#N/A</v>
      </c>
      <c r="AD58" s="9" t="e">
        <f>ROUND(IF(A58="","",IF(AC58="  ",AB58-Date!$B$3,AB58-AC58)),0)</f>
        <v>#N/A</v>
      </c>
      <c r="AE58" s="12"/>
    </row>
    <row r="59" spans="1:31" ht="23.25" x14ac:dyDescent="0.25">
      <c r="A59" s="9" t="s">
        <v>190</v>
      </c>
      <c r="B59" s="8" t="e">
        <f t="shared" si="0"/>
        <v>#N/A</v>
      </c>
      <c r="C59" s="13"/>
      <c r="D59" s="46" t="e">
        <f t="shared" si="3"/>
        <v>#N/A</v>
      </c>
      <c r="E59" s="50" t="e">
        <f t="shared" si="4"/>
        <v>#N/A</v>
      </c>
      <c r="F59" s="46" t="e">
        <f t="shared" si="5"/>
        <v>#N/A</v>
      </c>
      <c r="G59" s="50" t="e">
        <f t="shared" si="6"/>
        <v>#N/A</v>
      </c>
      <c r="H59" s="46" t="e">
        <f t="shared" si="7"/>
        <v>#N/A</v>
      </c>
      <c r="I59" s="50" t="e">
        <f t="shared" si="8"/>
        <v>#N/A</v>
      </c>
      <c r="J59" s="13"/>
      <c r="K59" s="46" t="e">
        <f t="shared" si="9"/>
        <v>#N/A</v>
      </c>
      <c r="L59" s="50" t="e">
        <f t="shared" si="10"/>
        <v>#N/A</v>
      </c>
      <c r="M59" s="46" t="e">
        <f t="shared" si="11"/>
        <v>#N/A</v>
      </c>
      <c r="N59" s="50" t="e">
        <f t="shared" si="12"/>
        <v>#N/A</v>
      </c>
      <c r="O59" s="46" t="e">
        <f t="shared" si="13"/>
        <v>#N/A</v>
      </c>
      <c r="P59" s="50" t="e">
        <f t="shared" si="14"/>
        <v>#N/A</v>
      </c>
      <c r="Q59" s="46" t="e">
        <f t="shared" si="15"/>
        <v>#N/A</v>
      </c>
      <c r="R59" s="50" t="e">
        <f t="shared" si="16"/>
        <v>#N/A</v>
      </c>
      <c r="S59" s="46" t="e">
        <f t="shared" si="17"/>
        <v>#N/A</v>
      </c>
      <c r="T59" s="50" t="e">
        <f t="shared" si="18"/>
        <v>#N/A</v>
      </c>
      <c r="U59" s="46" t="e">
        <f t="shared" si="19"/>
        <v>#N/A</v>
      </c>
      <c r="V59" s="50" t="e">
        <f t="shared" si="20"/>
        <v>#N/A</v>
      </c>
      <c r="W59" s="46" t="e">
        <f t="shared" si="21"/>
        <v>#N/A</v>
      </c>
      <c r="X59" s="50" t="e">
        <f t="shared" si="22"/>
        <v>#N/A</v>
      </c>
      <c r="Y59" s="46" t="e">
        <f t="shared" si="23"/>
        <v>#N/A</v>
      </c>
      <c r="Z59" s="50" t="e">
        <f t="shared" si="24"/>
        <v>#N/A</v>
      </c>
      <c r="AA59" s="13"/>
      <c r="AB59" s="15" t="e">
        <f t="shared" si="1"/>
        <v>#N/A</v>
      </c>
      <c r="AC59" s="15" t="e">
        <f t="shared" si="2"/>
        <v>#N/A</v>
      </c>
      <c r="AD59" s="9" t="e">
        <f>ROUND(IF(A59="","",IF(AC59="  ",AB59-Date!$B$3,AB59-AC59)),0)</f>
        <v>#N/A</v>
      </c>
      <c r="AE59" s="12"/>
    </row>
    <row r="60" spans="1:31" ht="23.25" x14ac:dyDescent="0.25">
      <c r="A60" s="9" t="s">
        <v>191</v>
      </c>
      <c r="B60" s="8" t="e">
        <f t="shared" si="0"/>
        <v>#N/A</v>
      </c>
      <c r="C60" s="13"/>
      <c r="D60" s="46" t="e">
        <f t="shared" si="3"/>
        <v>#N/A</v>
      </c>
      <c r="E60" s="50" t="e">
        <f t="shared" si="4"/>
        <v>#N/A</v>
      </c>
      <c r="F60" s="46" t="e">
        <f t="shared" si="5"/>
        <v>#N/A</v>
      </c>
      <c r="G60" s="50" t="e">
        <f t="shared" si="6"/>
        <v>#N/A</v>
      </c>
      <c r="H60" s="46" t="e">
        <f t="shared" si="7"/>
        <v>#N/A</v>
      </c>
      <c r="I60" s="50" t="e">
        <f t="shared" si="8"/>
        <v>#N/A</v>
      </c>
      <c r="J60" s="13"/>
      <c r="K60" s="46" t="e">
        <f t="shared" si="9"/>
        <v>#N/A</v>
      </c>
      <c r="L60" s="50" t="e">
        <f t="shared" si="10"/>
        <v>#N/A</v>
      </c>
      <c r="M60" s="46" t="e">
        <f t="shared" si="11"/>
        <v>#N/A</v>
      </c>
      <c r="N60" s="50" t="e">
        <f t="shared" si="12"/>
        <v>#N/A</v>
      </c>
      <c r="O60" s="46" t="e">
        <f t="shared" si="13"/>
        <v>#N/A</v>
      </c>
      <c r="P60" s="50" t="e">
        <f t="shared" si="14"/>
        <v>#N/A</v>
      </c>
      <c r="Q60" s="46" t="e">
        <f t="shared" si="15"/>
        <v>#N/A</v>
      </c>
      <c r="R60" s="50" t="e">
        <f t="shared" si="16"/>
        <v>#N/A</v>
      </c>
      <c r="S60" s="46" t="e">
        <f t="shared" si="17"/>
        <v>#N/A</v>
      </c>
      <c r="T60" s="50" t="e">
        <f t="shared" si="18"/>
        <v>#N/A</v>
      </c>
      <c r="U60" s="46" t="e">
        <f t="shared" si="19"/>
        <v>#N/A</v>
      </c>
      <c r="V60" s="50" t="e">
        <f t="shared" si="20"/>
        <v>#N/A</v>
      </c>
      <c r="W60" s="46" t="e">
        <f t="shared" si="21"/>
        <v>#N/A</v>
      </c>
      <c r="X60" s="50" t="e">
        <f t="shared" si="22"/>
        <v>#N/A</v>
      </c>
      <c r="Y60" s="46" t="e">
        <f t="shared" si="23"/>
        <v>#N/A</v>
      </c>
      <c r="Z60" s="50" t="e">
        <f t="shared" si="24"/>
        <v>#N/A</v>
      </c>
      <c r="AA60" s="13"/>
      <c r="AB60" s="15" t="e">
        <f t="shared" si="1"/>
        <v>#N/A</v>
      </c>
      <c r="AC60" s="15" t="e">
        <f t="shared" si="2"/>
        <v>#N/A</v>
      </c>
      <c r="AD60" s="9" t="e">
        <f>ROUND(IF(A60="","",IF(AC60="  ",AB60-Date!$B$3,AB60-AC60)),0)</f>
        <v>#N/A</v>
      </c>
      <c r="AE60" s="12"/>
    </row>
    <row r="61" spans="1:31" ht="23.25" x14ac:dyDescent="0.25">
      <c r="A61" s="9" t="s">
        <v>192</v>
      </c>
      <c r="B61" s="8" t="e">
        <f t="shared" si="0"/>
        <v>#N/A</v>
      </c>
      <c r="C61" s="13"/>
      <c r="D61" s="46" t="e">
        <f t="shared" si="3"/>
        <v>#N/A</v>
      </c>
      <c r="E61" s="50" t="e">
        <f t="shared" si="4"/>
        <v>#N/A</v>
      </c>
      <c r="F61" s="46" t="e">
        <f t="shared" si="5"/>
        <v>#N/A</v>
      </c>
      <c r="G61" s="50" t="e">
        <f t="shared" si="6"/>
        <v>#N/A</v>
      </c>
      <c r="H61" s="46" t="e">
        <f t="shared" si="7"/>
        <v>#N/A</v>
      </c>
      <c r="I61" s="50" t="e">
        <f t="shared" si="8"/>
        <v>#N/A</v>
      </c>
      <c r="J61" s="13"/>
      <c r="K61" s="46" t="e">
        <f t="shared" si="9"/>
        <v>#N/A</v>
      </c>
      <c r="L61" s="50" t="e">
        <f t="shared" si="10"/>
        <v>#N/A</v>
      </c>
      <c r="M61" s="46" t="e">
        <f t="shared" si="11"/>
        <v>#N/A</v>
      </c>
      <c r="N61" s="50" t="e">
        <f t="shared" si="12"/>
        <v>#N/A</v>
      </c>
      <c r="O61" s="46" t="e">
        <f t="shared" si="13"/>
        <v>#N/A</v>
      </c>
      <c r="P61" s="50" t="e">
        <f t="shared" si="14"/>
        <v>#N/A</v>
      </c>
      <c r="Q61" s="46" t="e">
        <f t="shared" si="15"/>
        <v>#N/A</v>
      </c>
      <c r="R61" s="50" t="e">
        <f t="shared" si="16"/>
        <v>#N/A</v>
      </c>
      <c r="S61" s="46" t="e">
        <f t="shared" si="17"/>
        <v>#N/A</v>
      </c>
      <c r="T61" s="50" t="e">
        <f t="shared" si="18"/>
        <v>#N/A</v>
      </c>
      <c r="U61" s="46" t="e">
        <f t="shared" si="19"/>
        <v>#N/A</v>
      </c>
      <c r="V61" s="50" t="e">
        <f t="shared" si="20"/>
        <v>#N/A</v>
      </c>
      <c r="W61" s="46" t="e">
        <f t="shared" si="21"/>
        <v>#N/A</v>
      </c>
      <c r="X61" s="50" t="e">
        <f t="shared" si="22"/>
        <v>#N/A</v>
      </c>
      <c r="Y61" s="46" t="e">
        <f t="shared" si="23"/>
        <v>#N/A</v>
      </c>
      <c r="Z61" s="50" t="e">
        <f t="shared" si="24"/>
        <v>#N/A</v>
      </c>
      <c r="AA61" s="13"/>
      <c r="AB61" s="15" t="e">
        <f t="shared" si="1"/>
        <v>#N/A</v>
      </c>
      <c r="AC61" s="15" t="e">
        <f t="shared" si="2"/>
        <v>#N/A</v>
      </c>
      <c r="AD61" s="9" t="e">
        <f>ROUND(IF(A61="","",IF(AC61="  ",AB61-Date!$B$3,AB61-AC61)),0)</f>
        <v>#N/A</v>
      </c>
      <c r="AE61" s="12"/>
    </row>
    <row r="62" spans="1:31" ht="23.25" x14ac:dyDescent="0.25">
      <c r="A62" s="9" t="s">
        <v>193</v>
      </c>
      <c r="B62" s="8" t="e">
        <f t="shared" si="0"/>
        <v>#N/A</v>
      </c>
      <c r="C62" s="13"/>
      <c r="D62" s="46" t="e">
        <f t="shared" si="3"/>
        <v>#N/A</v>
      </c>
      <c r="E62" s="50" t="e">
        <f t="shared" si="4"/>
        <v>#N/A</v>
      </c>
      <c r="F62" s="46" t="e">
        <f t="shared" si="5"/>
        <v>#N/A</v>
      </c>
      <c r="G62" s="50" t="e">
        <f t="shared" si="6"/>
        <v>#N/A</v>
      </c>
      <c r="H62" s="46" t="e">
        <f t="shared" si="7"/>
        <v>#N/A</v>
      </c>
      <c r="I62" s="50" t="e">
        <f t="shared" si="8"/>
        <v>#N/A</v>
      </c>
      <c r="J62" s="13"/>
      <c r="K62" s="46" t="e">
        <f t="shared" si="9"/>
        <v>#N/A</v>
      </c>
      <c r="L62" s="50" t="e">
        <f t="shared" si="10"/>
        <v>#N/A</v>
      </c>
      <c r="M62" s="46" t="e">
        <f t="shared" si="11"/>
        <v>#N/A</v>
      </c>
      <c r="N62" s="50" t="e">
        <f t="shared" si="12"/>
        <v>#N/A</v>
      </c>
      <c r="O62" s="46" t="e">
        <f t="shared" si="13"/>
        <v>#N/A</v>
      </c>
      <c r="P62" s="50" t="e">
        <f t="shared" si="14"/>
        <v>#N/A</v>
      </c>
      <c r="Q62" s="46" t="e">
        <f t="shared" si="15"/>
        <v>#N/A</v>
      </c>
      <c r="R62" s="50" t="e">
        <f t="shared" si="16"/>
        <v>#N/A</v>
      </c>
      <c r="S62" s="46" t="e">
        <f t="shared" si="17"/>
        <v>#N/A</v>
      </c>
      <c r="T62" s="50" t="e">
        <f t="shared" si="18"/>
        <v>#N/A</v>
      </c>
      <c r="U62" s="46" t="e">
        <f t="shared" si="19"/>
        <v>#N/A</v>
      </c>
      <c r="V62" s="50" t="e">
        <f t="shared" si="20"/>
        <v>#N/A</v>
      </c>
      <c r="W62" s="46" t="e">
        <f t="shared" si="21"/>
        <v>#N/A</v>
      </c>
      <c r="X62" s="50" t="e">
        <f t="shared" si="22"/>
        <v>#N/A</v>
      </c>
      <c r="Y62" s="46" t="e">
        <f t="shared" si="23"/>
        <v>#N/A</v>
      </c>
      <c r="Z62" s="50" t="e">
        <f t="shared" si="24"/>
        <v>#N/A</v>
      </c>
      <c r="AA62" s="13"/>
      <c r="AB62" s="15" t="e">
        <f t="shared" si="1"/>
        <v>#N/A</v>
      </c>
      <c r="AC62" s="15" t="e">
        <f t="shared" si="2"/>
        <v>#N/A</v>
      </c>
      <c r="AD62" s="9" t="e">
        <f>ROUND(IF(A62="","",IF(AC62="  ",AB62-Date!$B$3,AB62-AC62)),0)</f>
        <v>#N/A</v>
      </c>
      <c r="AE62" s="12"/>
    </row>
    <row r="63" spans="1:31" ht="23.25" x14ac:dyDescent="0.25">
      <c r="A63" s="9" t="s">
        <v>194</v>
      </c>
      <c r="B63" s="8" t="e">
        <f t="shared" si="0"/>
        <v>#N/A</v>
      </c>
      <c r="C63" s="13"/>
      <c r="D63" s="46" t="e">
        <f t="shared" si="3"/>
        <v>#N/A</v>
      </c>
      <c r="E63" s="50" t="e">
        <f t="shared" si="4"/>
        <v>#N/A</v>
      </c>
      <c r="F63" s="46" t="e">
        <f t="shared" si="5"/>
        <v>#N/A</v>
      </c>
      <c r="G63" s="50" t="e">
        <f t="shared" si="6"/>
        <v>#N/A</v>
      </c>
      <c r="H63" s="46" t="e">
        <f t="shared" si="7"/>
        <v>#N/A</v>
      </c>
      <c r="I63" s="50" t="e">
        <f t="shared" si="8"/>
        <v>#N/A</v>
      </c>
      <c r="J63" s="13"/>
      <c r="K63" s="46" t="e">
        <f t="shared" si="9"/>
        <v>#N/A</v>
      </c>
      <c r="L63" s="50" t="e">
        <f t="shared" si="10"/>
        <v>#N/A</v>
      </c>
      <c r="M63" s="46" t="e">
        <f t="shared" si="11"/>
        <v>#N/A</v>
      </c>
      <c r="N63" s="50" t="e">
        <f t="shared" si="12"/>
        <v>#N/A</v>
      </c>
      <c r="O63" s="46" t="e">
        <f t="shared" si="13"/>
        <v>#N/A</v>
      </c>
      <c r="P63" s="50" t="e">
        <f t="shared" si="14"/>
        <v>#N/A</v>
      </c>
      <c r="Q63" s="46" t="e">
        <f t="shared" si="15"/>
        <v>#N/A</v>
      </c>
      <c r="R63" s="50" t="e">
        <f t="shared" si="16"/>
        <v>#N/A</v>
      </c>
      <c r="S63" s="46" t="e">
        <f t="shared" si="17"/>
        <v>#N/A</v>
      </c>
      <c r="T63" s="50" t="e">
        <f t="shared" si="18"/>
        <v>#N/A</v>
      </c>
      <c r="U63" s="46" t="e">
        <f t="shared" si="19"/>
        <v>#N/A</v>
      </c>
      <c r="V63" s="50" t="e">
        <f t="shared" si="20"/>
        <v>#N/A</v>
      </c>
      <c r="W63" s="46" t="e">
        <f t="shared" si="21"/>
        <v>#N/A</v>
      </c>
      <c r="X63" s="50" t="e">
        <f t="shared" si="22"/>
        <v>#N/A</v>
      </c>
      <c r="Y63" s="46" t="e">
        <f t="shared" si="23"/>
        <v>#N/A</v>
      </c>
      <c r="Z63" s="50" t="e">
        <f t="shared" si="24"/>
        <v>#N/A</v>
      </c>
      <c r="AA63" s="13"/>
      <c r="AB63" s="15" t="e">
        <f t="shared" si="1"/>
        <v>#N/A</v>
      </c>
      <c r="AC63" s="15" t="e">
        <f t="shared" si="2"/>
        <v>#N/A</v>
      </c>
      <c r="AD63" s="9" t="e">
        <f>ROUND(IF(A63="","",IF(AC63="  ",AB63-Date!$B$3,AB63-AC63)),0)</f>
        <v>#N/A</v>
      </c>
      <c r="AE63" s="12"/>
    </row>
    <row r="64" spans="1:31" ht="23.25" x14ac:dyDescent="0.25">
      <c r="A64" s="9" t="s">
        <v>195</v>
      </c>
      <c r="B64" s="8" t="e">
        <f t="shared" si="0"/>
        <v>#N/A</v>
      </c>
      <c r="C64" s="13"/>
      <c r="D64" s="46" t="e">
        <f t="shared" si="3"/>
        <v>#N/A</v>
      </c>
      <c r="E64" s="50" t="e">
        <f t="shared" si="4"/>
        <v>#N/A</v>
      </c>
      <c r="F64" s="46" t="e">
        <f t="shared" si="5"/>
        <v>#N/A</v>
      </c>
      <c r="G64" s="50" t="e">
        <f t="shared" si="6"/>
        <v>#N/A</v>
      </c>
      <c r="H64" s="46" t="e">
        <f t="shared" si="7"/>
        <v>#N/A</v>
      </c>
      <c r="I64" s="50" t="e">
        <f t="shared" si="8"/>
        <v>#N/A</v>
      </c>
      <c r="J64" s="13"/>
      <c r="K64" s="46" t="e">
        <f t="shared" si="9"/>
        <v>#N/A</v>
      </c>
      <c r="L64" s="50" t="e">
        <f t="shared" si="10"/>
        <v>#N/A</v>
      </c>
      <c r="M64" s="46" t="e">
        <f t="shared" si="11"/>
        <v>#N/A</v>
      </c>
      <c r="N64" s="50" t="e">
        <f t="shared" si="12"/>
        <v>#N/A</v>
      </c>
      <c r="O64" s="46" t="e">
        <f t="shared" si="13"/>
        <v>#N/A</v>
      </c>
      <c r="P64" s="50" t="e">
        <f t="shared" si="14"/>
        <v>#N/A</v>
      </c>
      <c r="Q64" s="46" t="e">
        <f t="shared" si="15"/>
        <v>#N/A</v>
      </c>
      <c r="R64" s="50" t="e">
        <f t="shared" si="16"/>
        <v>#N/A</v>
      </c>
      <c r="S64" s="46" t="e">
        <f t="shared" si="17"/>
        <v>#N/A</v>
      </c>
      <c r="T64" s="50" t="e">
        <f t="shared" si="18"/>
        <v>#N/A</v>
      </c>
      <c r="U64" s="46" t="e">
        <f t="shared" si="19"/>
        <v>#N/A</v>
      </c>
      <c r="V64" s="50" t="e">
        <f t="shared" si="20"/>
        <v>#N/A</v>
      </c>
      <c r="W64" s="46" t="e">
        <f t="shared" si="21"/>
        <v>#N/A</v>
      </c>
      <c r="X64" s="50" t="e">
        <f t="shared" si="22"/>
        <v>#N/A</v>
      </c>
      <c r="Y64" s="46" t="e">
        <f t="shared" si="23"/>
        <v>#N/A</v>
      </c>
      <c r="Z64" s="50" t="e">
        <f t="shared" si="24"/>
        <v>#N/A</v>
      </c>
      <c r="AA64" s="13"/>
      <c r="AB64" s="15" t="e">
        <f t="shared" si="1"/>
        <v>#N/A</v>
      </c>
      <c r="AC64" s="15" t="e">
        <f t="shared" si="2"/>
        <v>#N/A</v>
      </c>
      <c r="AD64" s="9" t="e">
        <f>ROUND(IF(A64="","",IF(AC64="  ",AB64-Date!$B$3,AB64-AC64)),0)</f>
        <v>#N/A</v>
      </c>
      <c r="AE64" s="12"/>
    </row>
    <row r="65" spans="1:31" ht="23.25" x14ac:dyDescent="0.25">
      <c r="A65" s="9" t="s">
        <v>196</v>
      </c>
      <c r="B65" s="8" t="e">
        <f t="shared" si="0"/>
        <v>#N/A</v>
      </c>
      <c r="C65" s="13"/>
      <c r="D65" s="46" t="e">
        <f t="shared" si="3"/>
        <v>#N/A</v>
      </c>
      <c r="E65" s="50" t="e">
        <f t="shared" si="4"/>
        <v>#N/A</v>
      </c>
      <c r="F65" s="46" t="e">
        <f t="shared" si="5"/>
        <v>#N/A</v>
      </c>
      <c r="G65" s="50" t="e">
        <f t="shared" si="6"/>
        <v>#N/A</v>
      </c>
      <c r="H65" s="46" t="e">
        <f t="shared" si="7"/>
        <v>#N/A</v>
      </c>
      <c r="I65" s="50" t="e">
        <f t="shared" si="8"/>
        <v>#N/A</v>
      </c>
      <c r="J65" s="13"/>
      <c r="K65" s="46" t="e">
        <f t="shared" si="9"/>
        <v>#N/A</v>
      </c>
      <c r="L65" s="50" t="e">
        <f t="shared" si="10"/>
        <v>#N/A</v>
      </c>
      <c r="M65" s="46" t="e">
        <f t="shared" si="11"/>
        <v>#N/A</v>
      </c>
      <c r="N65" s="50" t="e">
        <f t="shared" si="12"/>
        <v>#N/A</v>
      </c>
      <c r="O65" s="46" t="e">
        <f t="shared" si="13"/>
        <v>#N/A</v>
      </c>
      <c r="P65" s="50" t="e">
        <f t="shared" si="14"/>
        <v>#N/A</v>
      </c>
      <c r="Q65" s="46" t="e">
        <f t="shared" si="15"/>
        <v>#N/A</v>
      </c>
      <c r="R65" s="50" t="e">
        <f t="shared" si="16"/>
        <v>#N/A</v>
      </c>
      <c r="S65" s="46" t="e">
        <f t="shared" si="17"/>
        <v>#N/A</v>
      </c>
      <c r="T65" s="50" t="e">
        <f t="shared" si="18"/>
        <v>#N/A</v>
      </c>
      <c r="U65" s="46" t="e">
        <f t="shared" si="19"/>
        <v>#N/A</v>
      </c>
      <c r="V65" s="50" t="e">
        <f t="shared" si="20"/>
        <v>#N/A</v>
      </c>
      <c r="W65" s="46" t="e">
        <f t="shared" si="21"/>
        <v>#N/A</v>
      </c>
      <c r="X65" s="50" t="e">
        <f t="shared" si="22"/>
        <v>#N/A</v>
      </c>
      <c r="Y65" s="46" t="e">
        <f t="shared" si="23"/>
        <v>#N/A</v>
      </c>
      <c r="Z65" s="50" t="e">
        <f t="shared" si="24"/>
        <v>#N/A</v>
      </c>
      <c r="AA65" s="13"/>
      <c r="AB65" s="15" t="e">
        <f t="shared" si="1"/>
        <v>#N/A</v>
      </c>
      <c r="AC65" s="15" t="e">
        <f t="shared" si="2"/>
        <v>#N/A</v>
      </c>
      <c r="AD65" s="9" t="e">
        <f>ROUND(IF(A65="","",IF(AC65="  ",AB65-Date!$B$3,AB65-AC65)),0)</f>
        <v>#N/A</v>
      </c>
      <c r="AE65" s="12"/>
    </row>
    <row r="66" spans="1:31" ht="23.25" x14ac:dyDescent="0.25">
      <c r="A66" s="9" t="s">
        <v>197</v>
      </c>
      <c r="B66" s="8" t="e">
        <f t="shared" si="0"/>
        <v>#N/A</v>
      </c>
      <c r="C66" s="13"/>
      <c r="D66" s="46" t="e">
        <f t="shared" si="3"/>
        <v>#N/A</v>
      </c>
      <c r="E66" s="50" t="e">
        <f t="shared" si="4"/>
        <v>#N/A</v>
      </c>
      <c r="F66" s="46" t="e">
        <f t="shared" si="5"/>
        <v>#N/A</v>
      </c>
      <c r="G66" s="50" t="e">
        <f t="shared" si="6"/>
        <v>#N/A</v>
      </c>
      <c r="H66" s="46" t="e">
        <f t="shared" si="7"/>
        <v>#N/A</v>
      </c>
      <c r="I66" s="50" t="e">
        <f t="shared" si="8"/>
        <v>#N/A</v>
      </c>
      <c r="J66" s="13"/>
      <c r="K66" s="46" t="e">
        <f t="shared" si="9"/>
        <v>#N/A</v>
      </c>
      <c r="L66" s="50" t="e">
        <f t="shared" si="10"/>
        <v>#N/A</v>
      </c>
      <c r="M66" s="46" t="e">
        <f t="shared" si="11"/>
        <v>#N/A</v>
      </c>
      <c r="N66" s="50" t="e">
        <f t="shared" si="12"/>
        <v>#N/A</v>
      </c>
      <c r="O66" s="46" t="e">
        <f t="shared" si="13"/>
        <v>#N/A</v>
      </c>
      <c r="P66" s="50" t="e">
        <f t="shared" si="14"/>
        <v>#N/A</v>
      </c>
      <c r="Q66" s="46" t="e">
        <f t="shared" si="15"/>
        <v>#N/A</v>
      </c>
      <c r="R66" s="50" t="e">
        <f t="shared" si="16"/>
        <v>#N/A</v>
      </c>
      <c r="S66" s="46" t="e">
        <f t="shared" si="17"/>
        <v>#N/A</v>
      </c>
      <c r="T66" s="50" t="e">
        <f t="shared" si="18"/>
        <v>#N/A</v>
      </c>
      <c r="U66" s="46" t="e">
        <f t="shared" si="19"/>
        <v>#N/A</v>
      </c>
      <c r="V66" s="50" t="e">
        <f t="shared" si="20"/>
        <v>#N/A</v>
      </c>
      <c r="W66" s="46" t="e">
        <f t="shared" si="21"/>
        <v>#N/A</v>
      </c>
      <c r="X66" s="50" t="e">
        <f t="shared" si="22"/>
        <v>#N/A</v>
      </c>
      <c r="Y66" s="46" t="e">
        <f t="shared" si="23"/>
        <v>#N/A</v>
      </c>
      <c r="Z66" s="50" t="e">
        <f t="shared" si="24"/>
        <v>#N/A</v>
      </c>
      <c r="AA66" s="13"/>
      <c r="AB66" s="15" t="e">
        <f t="shared" si="1"/>
        <v>#N/A</v>
      </c>
      <c r="AC66" s="15" t="e">
        <f t="shared" si="2"/>
        <v>#N/A</v>
      </c>
      <c r="AD66" s="9" t="e">
        <f>ROUND(IF(A66="","",IF(AC66="  ",AB66-Date!$B$3,AB66-AC66)),0)</f>
        <v>#N/A</v>
      </c>
      <c r="AE66" s="12"/>
    </row>
    <row r="67" spans="1:31" ht="23.25" x14ac:dyDescent="0.25">
      <c r="A67" s="9" t="s">
        <v>198</v>
      </c>
      <c r="B67" s="8" t="e">
        <f t="shared" si="0"/>
        <v>#N/A</v>
      </c>
      <c r="C67" s="13"/>
      <c r="D67" s="46" t="e">
        <f t="shared" si="3"/>
        <v>#N/A</v>
      </c>
      <c r="E67" s="50" t="e">
        <f t="shared" si="4"/>
        <v>#N/A</v>
      </c>
      <c r="F67" s="46" t="e">
        <f t="shared" si="5"/>
        <v>#N/A</v>
      </c>
      <c r="G67" s="50" t="e">
        <f t="shared" si="6"/>
        <v>#N/A</v>
      </c>
      <c r="H67" s="46" t="e">
        <f t="shared" si="7"/>
        <v>#N/A</v>
      </c>
      <c r="I67" s="50" t="e">
        <f t="shared" si="8"/>
        <v>#N/A</v>
      </c>
      <c r="J67" s="13"/>
      <c r="K67" s="46" t="e">
        <f t="shared" si="9"/>
        <v>#N/A</v>
      </c>
      <c r="L67" s="50" t="e">
        <f t="shared" si="10"/>
        <v>#N/A</v>
      </c>
      <c r="M67" s="46" t="e">
        <f t="shared" si="11"/>
        <v>#N/A</v>
      </c>
      <c r="N67" s="50" t="e">
        <f t="shared" si="12"/>
        <v>#N/A</v>
      </c>
      <c r="O67" s="46" t="e">
        <f t="shared" si="13"/>
        <v>#N/A</v>
      </c>
      <c r="P67" s="50" t="e">
        <f t="shared" si="14"/>
        <v>#N/A</v>
      </c>
      <c r="Q67" s="46" t="e">
        <f t="shared" si="15"/>
        <v>#N/A</v>
      </c>
      <c r="R67" s="50" t="e">
        <f t="shared" si="16"/>
        <v>#N/A</v>
      </c>
      <c r="S67" s="46" t="e">
        <f t="shared" si="17"/>
        <v>#N/A</v>
      </c>
      <c r="T67" s="50" t="e">
        <f t="shared" si="18"/>
        <v>#N/A</v>
      </c>
      <c r="U67" s="46" t="e">
        <f t="shared" si="19"/>
        <v>#N/A</v>
      </c>
      <c r="V67" s="50" t="e">
        <f t="shared" si="20"/>
        <v>#N/A</v>
      </c>
      <c r="W67" s="46" t="e">
        <f t="shared" si="21"/>
        <v>#N/A</v>
      </c>
      <c r="X67" s="50" t="e">
        <f t="shared" si="22"/>
        <v>#N/A</v>
      </c>
      <c r="Y67" s="46" t="e">
        <f t="shared" si="23"/>
        <v>#N/A</v>
      </c>
      <c r="Z67" s="50" t="e">
        <f t="shared" si="24"/>
        <v>#N/A</v>
      </c>
      <c r="AA67" s="13"/>
      <c r="AB67" s="15" t="e">
        <f t="shared" si="1"/>
        <v>#N/A</v>
      </c>
      <c r="AC67" s="15" t="e">
        <f t="shared" si="2"/>
        <v>#N/A</v>
      </c>
      <c r="AD67" s="9" t="e">
        <f>ROUND(IF(A67="","",IF(AC67="  ",AB67-Date!$B$3,AB67-AC67)),0)</f>
        <v>#N/A</v>
      </c>
      <c r="AE67" s="12"/>
    </row>
    <row r="68" spans="1:31" ht="23.25" x14ac:dyDescent="0.25">
      <c r="A68" s="9" t="s">
        <v>199</v>
      </c>
      <c r="B68" s="8" t="e">
        <f t="shared" si="0"/>
        <v>#N/A</v>
      </c>
      <c r="C68" s="13"/>
      <c r="D68" s="46" t="e">
        <f t="shared" si="3"/>
        <v>#N/A</v>
      </c>
      <c r="E68" s="50" t="e">
        <f t="shared" si="4"/>
        <v>#N/A</v>
      </c>
      <c r="F68" s="46" t="e">
        <f t="shared" si="5"/>
        <v>#N/A</v>
      </c>
      <c r="G68" s="50" t="e">
        <f t="shared" si="6"/>
        <v>#N/A</v>
      </c>
      <c r="H68" s="46" t="e">
        <f t="shared" si="7"/>
        <v>#N/A</v>
      </c>
      <c r="I68" s="50" t="e">
        <f t="shared" si="8"/>
        <v>#N/A</v>
      </c>
      <c r="J68" s="13"/>
      <c r="K68" s="46" t="e">
        <f t="shared" si="9"/>
        <v>#N/A</v>
      </c>
      <c r="L68" s="50" t="e">
        <f t="shared" si="10"/>
        <v>#N/A</v>
      </c>
      <c r="M68" s="46" t="e">
        <f t="shared" si="11"/>
        <v>#N/A</v>
      </c>
      <c r="N68" s="50" t="e">
        <f t="shared" si="12"/>
        <v>#N/A</v>
      </c>
      <c r="O68" s="46" t="e">
        <f t="shared" si="13"/>
        <v>#N/A</v>
      </c>
      <c r="P68" s="50" t="e">
        <f t="shared" si="14"/>
        <v>#N/A</v>
      </c>
      <c r="Q68" s="46" t="e">
        <f t="shared" si="15"/>
        <v>#N/A</v>
      </c>
      <c r="R68" s="50" t="e">
        <f t="shared" si="16"/>
        <v>#N/A</v>
      </c>
      <c r="S68" s="46" t="e">
        <f t="shared" si="17"/>
        <v>#N/A</v>
      </c>
      <c r="T68" s="50" t="e">
        <f t="shared" si="18"/>
        <v>#N/A</v>
      </c>
      <c r="U68" s="46" t="e">
        <f t="shared" si="19"/>
        <v>#N/A</v>
      </c>
      <c r="V68" s="50" t="e">
        <f t="shared" si="20"/>
        <v>#N/A</v>
      </c>
      <c r="W68" s="46" t="e">
        <f t="shared" si="21"/>
        <v>#N/A</v>
      </c>
      <c r="X68" s="50" t="e">
        <f t="shared" si="22"/>
        <v>#N/A</v>
      </c>
      <c r="Y68" s="46" t="e">
        <f t="shared" si="23"/>
        <v>#N/A</v>
      </c>
      <c r="Z68" s="50" t="e">
        <f t="shared" si="24"/>
        <v>#N/A</v>
      </c>
      <c r="AA68" s="13"/>
      <c r="AB68" s="15" t="e">
        <f t="shared" si="1"/>
        <v>#N/A</v>
      </c>
      <c r="AC68" s="15" t="e">
        <f t="shared" si="2"/>
        <v>#N/A</v>
      </c>
      <c r="AD68" s="9" t="e">
        <f>ROUND(IF(A68="","",IF(AC68="  ",AB68-Date!$B$3,AB68-AC68)),0)</f>
        <v>#N/A</v>
      </c>
      <c r="AE68" s="12"/>
    </row>
    <row r="69" spans="1:31" ht="23.25" x14ac:dyDescent="0.25">
      <c r="A69" s="9" t="s">
        <v>200</v>
      </c>
      <c r="B69" s="8" t="e">
        <f t="shared" si="0"/>
        <v>#N/A</v>
      </c>
      <c r="C69" s="13"/>
      <c r="D69" s="46" t="e">
        <f t="shared" si="3"/>
        <v>#N/A</v>
      </c>
      <c r="E69" s="50" t="e">
        <f t="shared" si="4"/>
        <v>#N/A</v>
      </c>
      <c r="F69" s="46" t="e">
        <f t="shared" si="5"/>
        <v>#N/A</v>
      </c>
      <c r="G69" s="50" t="e">
        <f t="shared" si="6"/>
        <v>#N/A</v>
      </c>
      <c r="H69" s="46" t="e">
        <f t="shared" si="7"/>
        <v>#N/A</v>
      </c>
      <c r="I69" s="50" t="e">
        <f t="shared" si="8"/>
        <v>#N/A</v>
      </c>
      <c r="J69" s="13"/>
      <c r="K69" s="46" t="e">
        <f t="shared" si="9"/>
        <v>#N/A</v>
      </c>
      <c r="L69" s="50" t="e">
        <f t="shared" si="10"/>
        <v>#N/A</v>
      </c>
      <c r="M69" s="46" t="e">
        <f t="shared" si="11"/>
        <v>#N/A</v>
      </c>
      <c r="N69" s="50" t="e">
        <f t="shared" si="12"/>
        <v>#N/A</v>
      </c>
      <c r="O69" s="46" t="e">
        <f t="shared" si="13"/>
        <v>#N/A</v>
      </c>
      <c r="P69" s="50" t="e">
        <f t="shared" si="14"/>
        <v>#N/A</v>
      </c>
      <c r="Q69" s="46" t="e">
        <f t="shared" si="15"/>
        <v>#N/A</v>
      </c>
      <c r="R69" s="50" t="e">
        <f t="shared" si="16"/>
        <v>#N/A</v>
      </c>
      <c r="S69" s="46" t="e">
        <f t="shared" si="17"/>
        <v>#N/A</v>
      </c>
      <c r="T69" s="50" t="e">
        <f t="shared" si="18"/>
        <v>#N/A</v>
      </c>
      <c r="U69" s="46" t="e">
        <f t="shared" si="19"/>
        <v>#N/A</v>
      </c>
      <c r="V69" s="50" t="e">
        <f t="shared" si="20"/>
        <v>#N/A</v>
      </c>
      <c r="W69" s="46" t="e">
        <f t="shared" si="21"/>
        <v>#N/A</v>
      </c>
      <c r="X69" s="50" t="e">
        <f t="shared" si="22"/>
        <v>#N/A</v>
      </c>
      <c r="Y69" s="46" t="e">
        <f t="shared" si="23"/>
        <v>#N/A</v>
      </c>
      <c r="Z69" s="50" t="e">
        <f t="shared" si="24"/>
        <v>#N/A</v>
      </c>
      <c r="AA69" s="13"/>
      <c r="AB69" s="15" t="e">
        <f t="shared" si="1"/>
        <v>#N/A</v>
      </c>
      <c r="AC69" s="15" t="e">
        <f t="shared" si="2"/>
        <v>#N/A</v>
      </c>
      <c r="AD69" s="9" t="e">
        <f>ROUND(IF(A69="","",IF(AC69="  ",AB69-Date!$B$3,AB69-AC69)),0)</f>
        <v>#N/A</v>
      </c>
      <c r="AE69" s="12"/>
    </row>
    <row r="70" spans="1:31" ht="23.25" x14ac:dyDescent="0.25">
      <c r="A70" s="9" t="s">
        <v>201</v>
      </c>
      <c r="B70" s="8" t="e">
        <f t="shared" ref="B70:B101" si="25">VLOOKUP(A70,Jobs,2,)</f>
        <v>#N/A</v>
      </c>
      <c r="C70" s="13"/>
      <c r="D70" s="46" t="e">
        <f t="shared" si="3"/>
        <v>#N/A</v>
      </c>
      <c r="E70" s="50" t="e">
        <f t="shared" si="4"/>
        <v>#N/A</v>
      </c>
      <c r="F70" s="46" t="e">
        <f t="shared" si="5"/>
        <v>#N/A</v>
      </c>
      <c r="G70" s="50" t="e">
        <f t="shared" si="6"/>
        <v>#N/A</v>
      </c>
      <c r="H70" s="46" t="e">
        <f t="shared" si="7"/>
        <v>#N/A</v>
      </c>
      <c r="I70" s="50" t="e">
        <f t="shared" si="8"/>
        <v>#N/A</v>
      </c>
      <c r="J70" s="13"/>
      <c r="K70" s="46" t="e">
        <f t="shared" si="9"/>
        <v>#N/A</v>
      </c>
      <c r="L70" s="50" t="e">
        <f t="shared" si="10"/>
        <v>#N/A</v>
      </c>
      <c r="M70" s="46" t="e">
        <f t="shared" si="11"/>
        <v>#N/A</v>
      </c>
      <c r="N70" s="50" t="e">
        <f t="shared" si="12"/>
        <v>#N/A</v>
      </c>
      <c r="O70" s="46" t="e">
        <f t="shared" si="13"/>
        <v>#N/A</v>
      </c>
      <c r="P70" s="50" t="e">
        <f t="shared" si="14"/>
        <v>#N/A</v>
      </c>
      <c r="Q70" s="46" t="e">
        <f t="shared" si="15"/>
        <v>#N/A</v>
      </c>
      <c r="R70" s="50" t="e">
        <f t="shared" si="16"/>
        <v>#N/A</v>
      </c>
      <c r="S70" s="46" t="e">
        <f t="shared" si="17"/>
        <v>#N/A</v>
      </c>
      <c r="T70" s="50" t="e">
        <f t="shared" si="18"/>
        <v>#N/A</v>
      </c>
      <c r="U70" s="46" t="e">
        <f t="shared" si="19"/>
        <v>#N/A</v>
      </c>
      <c r="V70" s="50" t="e">
        <f t="shared" si="20"/>
        <v>#N/A</v>
      </c>
      <c r="W70" s="46" t="e">
        <f t="shared" si="21"/>
        <v>#N/A</v>
      </c>
      <c r="X70" s="50" t="e">
        <f t="shared" si="22"/>
        <v>#N/A</v>
      </c>
      <c r="Y70" s="46" t="e">
        <f t="shared" si="23"/>
        <v>#N/A</v>
      </c>
      <c r="Z70" s="50" t="e">
        <f t="shared" si="24"/>
        <v>#N/A</v>
      </c>
      <c r="AA70" s="13"/>
      <c r="AB70" s="15" t="e">
        <f t="shared" ref="AB70:AB101" si="26">VLOOKUP(A70,Jobs,27,)</f>
        <v>#N/A</v>
      </c>
      <c r="AC70" s="15" t="e">
        <f t="shared" ref="AC70:AC101" si="27">IF(VLOOKUP(A70,Dates,27,)&gt;0,VLOOKUP(A70,Dates,27,),"  ")</f>
        <v>#N/A</v>
      </c>
      <c r="AD70" s="9" t="e">
        <f>ROUND(IF(A70="","",IF(AC70="  ",AB70-Date!$B$3,AB70-AC70)),0)</f>
        <v>#N/A</v>
      </c>
      <c r="AE70" s="12"/>
    </row>
    <row r="71" spans="1:31" ht="23.25" x14ac:dyDescent="0.25">
      <c r="A71" s="9" t="s">
        <v>202</v>
      </c>
      <c r="B71" s="8" t="e">
        <f t="shared" si="25"/>
        <v>#N/A</v>
      </c>
      <c r="C71" s="13"/>
      <c r="D71" s="46" t="e">
        <f t="shared" si="3"/>
        <v>#N/A</v>
      </c>
      <c r="E71" s="50" t="e">
        <f t="shared" si="4"/>
        <v>#N/A</v>
      </c>
      <c r="F71" s="46" t="e">
        <f t="shared" si="5"/>
        <v>#N/A</v>
      </c>
      <c r="G71" s="50" t="e">
        <f t="shared" si="6"/>
        <v>#N/A</v>
      </c>
      <c r="H71" s="46" t="e">
        <f t="shared" si="7"/>
        <v>#N/A</v>
      </c>
      <c r="I71" s="50" t="e">
        <f t="shared" si="8"/>
        <v>#N/A</v>
      </c>
      <c r="J71" s="13"/>
      <c r="K71" s="46" t="e">
        <f t="shared" si="9"/>
        <v>#N/A</v>
      </c>
      <c r="L71" s="50" t="e">
        <f t="shared" si="10"/>
        <v>#N/A</v>
      </c>
      <c r="M71" s="46" t="e">
        <f t="shared" si="11"/>
        <v>#N/A</v>
      </c>
      <c r="N71" s="50" t="e">
        <f t="shared" si="12"/>
        <v>#N/A</v>
      </c>
      <c r="O71" s="46" t="e">
        <f t="shared" si="13"/>
        <v>#N/A</v>
      </c>
      <c r="P71" s="50" t="e">
        <f t="shared" si="14"/>
        <v>#N/A</v>
      </c>
      <c r="Q71" s="46" t="e">
        <f t="shared" si="15"/>
        <v>#N/A</v>
      </c>
      <c r="R71" s="50" t="e">
        <f t="shared" si="16"/>
        <v>#N/A</v>
      </c>
      <c r="S71" s="46" t="e">
        <f t="shared" si="17"/>
        <v>#N/A</v>
      </c>
      <c r="T71" s="50" t="e">
        <f t="shared" si="18"/>
        <v>#N/A</v>
      </c>
      <c r="U71" s="46" t="e">
        <f t="shared" si="19"/>
        <v>#N/A</v>
      </c>
      <c r="V71" s="50" t="e">
        <f t="shared" si="20"/>
        <v>#N/A</v>
      </c>
      <c r="W71" s="46" t="e">
        <f t="shared" si="21"/>
        <v>#N/A</v>
      </c>
      <c r="X71" s="50" t="e">
        <f t="shared" si="22"/>
        <v>#N/A</v>
      </c>
      <c r="Y71" s="46" t="e">
        <f t="shared" si="23"/>
        <v>#N/A</v>
      </c>
      <c r="Z71" s="50" t="e">
        <f t="shared" si="24"/>
        <v>#N/A</v>
      </c>
      <c r="AA71" s="13"/>
      <c r="AB71" s="15" t="e">
        <f t="shared" si="26"/>
        <v>#N/A</v>
      </c>
      <c r="AC71" s="15" t="e">
        <f t="shared" si="27"/>
        <v>#N/A</v>
      </c>
      <c r="AD71" s="9" t="e">
        <f>ROUND(IF(A71="","",IF(AC71="  ",AB71-Date!$B$3,AB71-AC71)),0)</f>
        <v>#N/A</v>
      </c>
      <c r="AE71" s="12"/>
    </row>
    <row r="72" spans="1:31" ht="23.25" x14ac:dyDescent="0.25">
      <c r="A72" s="9" t="s">
        <v>203</v>
      </c>
      <c r="B72" s="8" t="e">
        <f t="shared" si="25"/>
        <v>#N/A</v>
      </c>
      <c r="C72" s="13"/>
      <c r="D72" s="46" t="e">
        <f t="shared" si="3"/>
        <v>#N/A</v>
      </c>
      <c r="E72" s="50" t="e">
        <f t="shared" si="4"/>
        <v>#N/A</v>
      </c>
      <c r="F72" s="46" t="e">
        <f t="shared" si="5"/>
        <v>#N/A</v>
      </c>
      <c r="G72" s="50" t="e">
        <f t="shared" si="6"/>
        <v>#N/A</v>
      </c>
      <c r="H72" s="46" t="e">
        <f t="shared" si="7"/>
        <v>#N/A</v>
      </c>
      <c r="I72" s="50" t="e">
        <f t="shared" si="8"/>
        <v>#N/A</v>
      </c>
      <c r="J72" s="13"/>
      <c r="K72" s="46" t="e">
        <f t="shared" si="9"/>
        <v>#N/A</v>
      </c>
      <c r="L72" s="50" t="e">
        <f t="shared" si="10"/>
        <v>#N/A</v>
      </c>
      <c r="M72" s="46" t="e">
        <f t="shared" si="11"/>
        <v>#N/A</v>
      </c>
      <c r="N72" s="50" t="e">
        <f t="shared" si="12"/>
        <v>#N/A</v>
      </c>
      <c r="O72" s="46" t="e">
        <f t="shared" si="13"/>
        <v>#N/A</v>
      </c>
      <c r="P72" s="50" t="e">
        <f t="shared" si="14"/>
        <v>#N/A</v>
      </c>
      <c r="Q72" s="46" t="e">
        <f t="shared" si="15"/>
        <v>#N/A</v>
      </c>
      <c r="R72" s="50" t="e">
        <f t="shared" si="16"/>
        <v>#N/A</v>
      </c>
      <c r="S72" s="46" t="e">
        <f t="shared" si="17"/>
        <v>#N/A</v>
      </c>
      <c r="T72" s="50" t="e">
        <f t="shared" si="18"/>
        <v>#N/A</v>
      </c>
      <c r="U72" s="46" t="e">
        <f t="shared" si="19"/>
        <v>#N/A</v>
      </c>
      <c r="V72" s="50" t="e">
        <f t="shared" si="20"/>
        <v>#N/A</v>
      </c>
      <c r="W72" s="46" t="e">
        <f t="shared" si="21"/>
        <v>#N/A</v>
      </c>
      <c r="X72" s="50" t="e">
        <f t="shared" si="22"/>
        <v>#N/A</v>
      </c>
      <c r="Y72" s="46" t="e">
        <f t="shared" si="23"/>
        <v>#N/A</v>
      </c>
      <c r="Z72" s="50" t="e">
        <f t="shared" si="24"/>
        <v>#N/A</v>
      </c>
      <c r="AA72" s="13"/>
      <c r="AB72" s="15" t="e">
        <f t="shared" si="26"/>
        <v>#N/A</v>
      </c>
      <c r="AC72" s="15" t="e">
        <f t="shared" si="27"/>
        <v>#N/A</v>
      </c>
      <c r="AD72" s="9" t="e">
        <f>ROUND(IF(A72="","",IF(AC72="  ",AB72-Date!$B$3,AB72-AC72)),0)</f>
        <v>#N/A</v>
      </c>
      <c r="AE72" s="12"/>
    </row>
    <row r="73" spans="1:31" ht="23.25" x14ac:dyDescent="0.25">
      <c r="A73" s="9" t="s">
        <v>204</v>
      </c>
      <c r="B73" s="8" t="e">
        <f t="shared" si="25"/>
        <v>#N/A</v>
      </c>
      <c r="C73" s="13"/>
      <c r="D73" s="46" t="e">
        <f t="shared" si="3"/>
        <v>#N/A</v>
      </c>
      <c r="E73" s="50" t="e">
        <f t="shared" si="4"/>
        <v>#N/A</v>
      </c>
      <c r="F73" s="46" t="e">
        <f t="shared" si="5"/>
        <v>#N/A</v>
      </c>
      <c r="G73" s="50" t="e">
        <f t="shared" si="6"/>
        <v>#N/A</v>
      </c>
      <c r="H73" s="46" t="e">
        <f t="shared" si="7"/>
        <v>#N/A</v>
      </c>
      <c r="I73" s="50" t="e">
        <f t="shared" si="8"/>
        <v>#N/A</v>
      </c>
      <c r="J73" s="13"/>
      <c r="K73" s="46" t="e">
        <f t="shared" si="9"/>
        <v>#N/A</v>
      </c>
      <c r="L73" s="50" t="e">
        <f t="shared" si="10"/>
        <v>#N/A</v>
      </c>
      <c r="M73" s="46" t="e">
        <f t="shared" si="11"/>
        <v>#N/A</v>
      </c>
      <c r="N73" s="50" t="e">
        <f t="shared" si="12"/>
        <v>#N/A</v>
      </c>
      <c r="O73" s="46" t="e">
        <f t="shared" si="13"/>
        <v>#N/A</v>
      </c>
      <c r="P73" s="50" t="e">
        <f t="shared" si="14"/>
        <v>#N/A</v>
      </c>
      <c r="Q73" s="46" t="e">
        <f t="shared" si="15"/>
        <v>#N/A</v>
      </c>
      <c r="R73" s="50" t="e">
        <f t="shared" si="16"/>
        <v>#N/A</v>
      </c>
      <c r="S73" s="46" t="e">
        <f t="shared" si="17"/>
        <v>#N/A</v>
      </c>
      <c r="T73" s="50" t="e">
        <f t="shared" si="18"/>
        <v>#N/A</v>
      </c>
      <c r="U73" s="46" t="e">
        <f t="shared" si="19"/>
        <v>#N/A</v>
      </c>
      <c r="V73" s="50" t="e">
        <f t="shared" si="20"/>
        <v>#N/A</v>
      </c>
      <c r="W73" s="46" t="e">
        <f t="shared" si="21"/>
        <v>#N/A</v>
      </c>
      <c r="X73" s="50" t="e">
        <f t="shared" si="22"/>
        <v>#N/A</v>
      </c>
      <c r="Y73" s="46" t="e">
        <f t="shared" si="23"/>
        <v>#N/A</v>
      </c>
      <c r="Z73" s="50" t="e">
        <f t="shared" si="24"/>
        <v>#N/A</v>
      </c>
      <c r="AA73" s="13"/>
      <c r="AB73" s="15" t="e">
        <f t="shared" si="26"/>
        <v>#N/A</v>
      </c>
      <c r="AC73" s="15" t="e">
        <f t="shared" si="27"/>
        <v>#N/A</v>
      </c>
      <c r="AD73" s="9" t="e">
        <f>ROUND(IF(A73="","",IF(AC73="  ",AB73-Date!$B$3,AB73-AC73)),0)</f>
        <v>#N/A</v>
      </c>
      <c r="AE73" s="12"/>
    </row>
    <row r="74" spans="1:31" ht="23.25" x14ac:dyDescent="0.25">
      <c r="A74" s="9" t="s">
        <v>205</v>
      </c>
      <c r="B74" s="8" t="e">
        <f t="shared" si="25"/>
        <v>#N/A</v>
      </c>
      <c r="C74" s="13"/>
      <c r="D74" s="46" t="e">
        <f t="shared" si="3"/>
        <v>#N/A</v>
      </c>
      <c r="E74" s="50" t="e">
        <f t="shared" si="4"/>
        <v>#N/A</v>
      </c>
      <c r="F74" s="46" t="e">
        <f t="shared" si="5"/>
        <v>#N/A</v>
      </c>
      <c r="G74" s="50" t="e">
        <f t="shared" si="6"/>
        <v>#N/A</v>
      </c>
      <c r="H74" s="46" t="e">
        <f t="shared" si="7"/>
        <v>#N/A</v>
      </c>
      <c r="I74" s="50" t="e">
        <f t="shared" si="8"/>
        <v>#N/A</v>
      </c>
      <c r="J74" s="13"/>
      <c r="K74" s="46" t="e">
        <f t="shared" si="9"/>
        <v>#N/A</v>
      </c>
      <c r="L74" s="50" t="e">
        <f t="shared" si="10"/>
        <v>#N/A</v>
      </c>
      <c r="M74" s="46" t="e">
        <f t="shared" si="11"/>
        <v>#N/A</v>
      </c>
      <c r="N74" s="50" t="e">
        <f t="shared" si="12"/>
        <v>#N/A</v>
      </c>
      <c r="O74" s="46" t="e">
        <f t="shared" si="13"/>
        <v>#N/A</v>
      </c>
      <c r="P74" s="50" t="e">
        <f t="shared" si="14"/>
        <v>#N/A</v>
      </c>
      <c r="Q74" s="46" t="e">
        <f t="shared" si="15"/>
        <v>#N/A</v>
      </c>
      <c r="R74" s="50" t="e">
        <f t="shared" si="16"/>
        <v>#N/A</v>
      </c>
      <c r="S74" s="46" t="e">
        <f t="shared" si="17"/>
        <v>#N/A</v>
      </c>
      <c r="T74" s="50" t="e">
        <f t="shared" si="18"/>
        <v>#N/A</v>
      </c>
      <c r="U74" s="46" t="e">
        <f t="shared" si="19"/>
        <v>#N/A</v>
      </c>
      <c r="V74" s="50" t="e">
        <f t="shared" si="20"/>
        <v>#N/A</v>
      </c>
      <c r="W74" s="46" t="e">
        <f t="shared" si="21"/>
        <v>#N/A</v>
      </c>
      <c r="X74" s="50" t="e">
        <f t="shared" si="22"/>
        <v>#N/A</v>
      </c>
      <c r="Y74" s="46" t="e">
        <f t="shared" si="23"/>
        <v>#N/A</v>
      </c>
      <c r="Z74" s="50" t="e">
        <f t="shared" si="24"/>
        <v>#N/A</v>
      </c>
      <c r="AA74" s="13"/>
      <c r="AB74" s="15" t="e">
        <f t="shared" si="26"/>
        <v>#N/A</v>
      </c>
      <c r="AC74" s="15" t="e">
        <f t="shared" si="27"/>
        <v>#N/A</v>
      </c>
      <c r="AD74" s="9" t="e">
        <f>ROUND(IF(A74="","",IF(AC74="  ",AB74-Date!$B$3,AB74-AC74)),0)</f>
        <v>#N/A</v>
      </c>
      <c r="AE74" s="12"/>
    </row>
    <row r="75" spans="1:31" ht="23.25" x14ac:dyDescent="0.25">
      <c r="A75" s="9" t="s">
        <v>206</v>
      </c>
      <c r="B75" s="8" t="e">
        <f t="shared" si="25"/>
        <v>#N/A</v>
      </c>
      <c r="C75" s="13"/>
      <c r="D75" s="46" t="e">
        <f t="shared" si="3"/>
        <v>#N/A</v>
      </c>
      <c r="E75" s="50" t="e">
        <f t="shared" si="4"/>
        <v>#N/A</v>
      </c>
      <c r="F75" s="46" t="e">
        <f t="shared" si="5"/>
        <v>#N/A</v>
      </c>
      <c r="G75" s="50" t="e">
        <f t="shared" si="6"/>
        <v>#N/A</v>
      </c>
      <c r="H75" s="46" t="e">
        <f t="shared" si="7"/>
        <v>#N/A</v>
      </c>
      <c r="I75" s="50" t="e">
        <f t="shared" si="8"/>
        <v>#N/A</v>
      </c>
      <c r="J75" s="13"/>
      <c r="K75" s="46" t="e">
        <f t="shared" si="9"/>
        <v>#N/A</v>
      </c>
      <c r="L75" s="50" t="e">
        <f t="shared" si="10"/>
        <v>#N/A</v>
      </c>
      <c r="M75" s="46" t="e">
        <f t="shared" si="11"/>
        <v>#N/A</v>
      </c>
      <c r="N75" s="50" t="e">
        <f t="shared" si="12"/>
        <v>#N/A</v>
      </c>
      <c r="O75" s="46" t="e">
        <f t="shared" si="13"/>
        <v>#N/A</v>
      </c>
      <c r="P75" s="50" t="e">
        <f t="shared" si="14"/>
        <v>#N/A</v>
      </c>
      <c r="Q75" s="46" t="e">
        <f t="shared" si="15"/>
        <v>#N/A</v>
      </c>
      <c r="R75" s="50" t="e">
        <f t="shared" si="16"/>
        <v>#N/A</v>
      </c>
      <c r="S75" s="46" t="e">
        <f t="shared" si="17"/>
        <v>#N/A</v>
      </c>
      <c r="T75" s="50" t="e">
        <f t="shared" si="18"/>
        <v>#N/A</v>
      </c>
      <c r="U75" s="46" t="e">
        <f t="shared" si="19"/>
        <v>#N/A</v>
      </c>
      <c r="V75" s="50" t="e">
        <f t="shared" si="20"/>
        <v>#N/A</v>
      </c>
      <c r="W75" s="46" t="e">
        <f t="shared" si="21"/>
        <v>#N/A</v>
      </c>
      <c r="X75" s="50" t="e">
        <f t="shared" si="22"/>
        <v>#N/A</v>
      </c>
      <c r="Y75" s="46" t="e">
        <f t="shared" si="23"/>
        <v>#N/A</v>
      </c>
      <c r="Z75" s="50" t="e">
        <f t="shared" si="24"/>
        <v>#N/A</v>
      </c>
      <c r="AA75" s="13"/>
      <c r="AB75" s="15" t="e">
        <f t="shared" si="26"/>
        <v>#N/A</v>
      </c>
      <c r="AC75" s="15" t="e">
        <f t="shared" si="27"/>
        <v>#N/A</v>
      </c>
      <c r="AD75" s="9" t="e">
        <f>ROUND(IF(A75="","",IF(AC75="  ",AB75-Date!$B$3,AB75-AC75)),0)</f>
        <v>#N/A</v>
      </c>
      <c r="AE75" s="12"/>
    </row>
    <row r="76" spans="1:31" ht="23.25" x14ac:dyDescent="0.25">
      <c r="A76" s="9" t="s">
        <v>207</v>
      </c>
      <c r="B76" s="8" t="e">
        <f t="shared" si="25"/>
        <v>#N/A</v>
      </c>
      <c r="C76" s="13"/>
      <c r="D76" s="46" t="e">
        <f t="shared" si="3"/>
        <v>#N/A</v>
      </c>
      <c r="E76" s="50" t="e">
        <f t="shared" si="4"/>
        <v>#N/A</v>
      </c>
      <c r="F76" s="46" t="e">
        <f t="shared" si="5"/>
        <v>#N/A</v>
      </c>
      <c r="G76" s="50" t="e">
        <f t="shared" si="6"/>
        <v>#N/A</v>
      </c>
      <c r="H76" s="46" t="e">
        <f t="shared" si="7"/>
        <v>#N/A</v>
      </c>
      <c r="I76" s="50" t="e">
        <f t="shared" si="8"/>
        <v>#N/A</v>
      </c>
      <c r="J76" s="13"/>
      <c r="K76" s="46" t="e">
        <f t="shared" si="9"/>
        <v>#N/A</v>
      </c>
      <c r="L76" s="50" t="e">
        <f t="shared" si="10"/>
        <v>#N/A</v>
      </c>
      <c r="M76" s="46" t="e">
        <f t="shared" si="11"/>
        <v>#N/A</v>
      </c>
      <c r="N76" s="50" t="e">
        <f t="shared" si="12"/>
        <v>#N/A</v>
      </c>
      <c r="O76" s="46" t="e">
        <f t="shared" si="13"/>
        <v>#N/A</v>
      </c>
      <c r="P76" s="50" t="e">
        <f t="shared" si="14"/>
        <v>#N/A</v>
      </c>
      <c r="Q76" s="46" t="e">
        <f t="shared" si="15"/>
        <v>#N/A</v>
      </c>
      <c r="R76" s="50" t="e">
        <f t="shared" si="16"/>
        <v>#N/A</v>
      </c>
      <c r="S76" s="46" t="e">
        <f t="shared" si="17"/>
        <v>#N/A</v>
      </c>
      <c r="T76" s="50" t="e">
        <f t="shared" si="18"/>
        <v>#N/A</v>
      </c>
      <c r="U76" s="46" t="e">
        <f t="shared" si="19"/>
        <v>#N/A</v>
      </c>
      <c r="V76" s="50" t="e">
        <f t="shared" si="20"/>
        <v>#N/A</v>
      </c>
      <c r="W76" s="46" t="e">
        <f t="shared" si="21"/>
        <v>#N/A</v>
      </c>
      <c r="X76" s="50" t="e">
        <f t="shared" si="22"/>
        <v>#N/A</v>
      </c>
      <c r="Y76" s="46" t="e">
        <f t="shared" si="23"/>
        <v>#N/A</v>
      </c>
      <c r="Z76" s="50" t="e">
        <f t="shared" si="24"/>
        <v>#N/A</v>
      </c>
      <c r="AA76" s="13"/>
      <c r="AB76" s="15" t="e">
        <f t="shared" si="26"/>
        <v>#N/A</v>
      </c>
      <c r="AC76" s="15" t="e">
        <f t="shared" si="27"/>
        <v>#N/A</v>
      </c>
      <c r="AD76" s="9" t="e">
        <f>ROUND(IF(A76="","",IF(AC76="  ",AB76-Date!$B$3,AB76-AC76)),0)</f>
        <v>#N/A</v>
      </c>
      <c r="AE76" s="12"/>
    </row>
    <row r="77" spans="1:31" ht="23.25" x14ac:dyDescent="0.25">
      <c r="A77" s="9" t="s">
        <v>208</v>
      </c>
      <c r="B77" s="8" t="e">
        <f t="shared" si="25"/>
        <v>#N/A</v>
      </c>
      <c r="C77" s="13"/>
      <c r="D77" s="46" t="e">
        <f t="shared" si="3"/>
        <v>#N/A</v>
      </c>
      <c r="E77" s="50" t="e">
        <f t="shared" si="4"/>
        <v>#N/A</v>
      </c>
      <c r="F77" s="46" t="e">
        <f t="shared" si="5"/>
        <v>#N/A</v>
      </c>
      <c r="G77" s="50" t="e">
        <f t="shared" si="6"/>
        <v>#N/A</v>
      </c>
      <c r="H77" s="46" t="e">
        <f t="shared" si="7"/>
        <v>#N/A</v>
      </c>
      <c r="I77" s="50" t="e">
        <f t="shared" si="8"/>
        <v>#N/A</v>
      </c>
      <c r="J77" s="13"/>
      <c r="K77" s="46" t="e">
        <f t="shared" si="9"/>
        <v>#N/A</v>
      </c>
      <c r="L77" s="50" t="e">
        <f t="shared" si="10"/>
        <v>#N/A</v>
      </c>
      <c r="M77" s="46" t="e">
        <f t="shared" si="11"/>
        <v>#N/A</v>
      </c>
      <c r="N77" s="50" t="e">
        <f t="shared" si="12"/>
        <v>#N/A</v>
      </c>
      <c r="O77" s="46" t="e">
        <f t="shared" si="13"/>
        <v>#N/A</v>
      </c>
      <c r="P77" s="50" t="e">
        <f t="shared" si="14"/>
        <v>#N/A</v>
      </c>
      <c r="Q77" s="46" t="e">
        <f t="shared" si="15"/>
        <v>#N/A</v>
      </c>
      <c r="R77" s="50" t="e">
        <f t="shared" si="16"/>
        <v>#N/A</v>
      </c>
      <c r="S77" s="46" t="e">
        <f t="shared" si="17"/>
        <v>#N/A</v>
      </c>
      <c r="T77" s="50" t="e">
        <f t="shared" si="18"/>
        <v>#N/A</v>
      </c>
      <c r="U77" s="46" t="e">
        <f t="shared" si="19"/>
        <v>#N/A</v>
      </c>
      <c r="V77" s="50" t="e">
        <f t="shared" si="20"/>
        <v>#N/A</v>
      </c>
      <c r="W77" s="46" t="e">
        <f t="shared" si="21"/>
        <v>#N/A</v>
      </c>
      <c r="X77" s="50" t="e">
        <f t="shared" si="22"/>
        <v>#N/A</v>
      </c>
      <c r="Y77" s="46" t="e">
        <f t="shared" si="23"/>
        <v>#N/A</v>
      </c>
      <c r="Z77" s="50" t="e">
        <f t="shared" si="24"/>
        <v>#N/A</v>
      </c>
      <c r="AA77" s="13"/>
      <c r="AB77" s="15" t="e">
        <f t="shared" si="26"/>
        <v>#N/A</v>
      </c>
      <c r="AC77" s="15" t="e">
        <f t="shared" si="27"/>
        <v>#N/A</v>
      </c>
      <c r="AD77" s="9" t="e">
        <f>ROUND(IF(A77="","",IF(AC77="  ",AB77-Date!$B$3,AB77-AC77)),0)</f>
        <v>#N/A</v>
      </c>
      <c r="AE77" s="12"/>
    </row>
    <row r="78" spans="1:31" ht="23.25" x14ac:dyDescent="0.25">
      <c r="A78" s="9" t="s">
        <v>209</v>
      </c>
      <c r="B78" s="8" t="e">
        <f t="shared" si="25"/>
        <v>#N/A</v>
      </c>
      <c r="C78" s="13"/>
      <c r="D78" s="46" t="e">
        <f t="shared" si="3"/>
        <v>#N/A</v>
      </c>
      <c r="E78" s="50" t="e">
        <f t="shared" si="4"/>
        <v>#N/A</v>
      </c>
      <c r="F78" s="46" t="e">
        <f t="shared" si="5"/>
        <v>#N/A</v>
      </c>
      <c r="G78" s="50" t="e">
        <f t="shared" si="6"/>
        <v>#N/A</v>
      </c>
      <c r="H78" s="46" t="e">
        <f t="shared" si="7"/>
        <v>#N/A</v>
      </c>
      <c r="I78" s="50" t="e">
        <f t="shared" si="8"/>
        <v>#N/A</v>
      </c>
      <c r="J78" s="13"/>
      <c r="K78" s="46" t="e">
        <f t="shared" si="9"/>
        <v>#N/A</v>
      </c>
      <c r="L78" s="50" t="e">
        <f t="shared" si="10"/>
        <v>#N/A</v>
      </c>
      <c r="M78" s="46" t="e">
        <f t="shared" si="11"/>
        <v>#N/A</v>
      </c>
      <c r="N78" s="50" t="e">
        <f t="shared" si="12"/>
        <v>#N/A</v>
      </c>
      <c r="O78" s="46" t="e">
        <f t="shared" si="13"/>
        <v>#N/A</v>
      </c>
      <c r="P78" s="50" t="e">
        <f t="shared" si="14"/>
        <v>#N/A</v>
      </c>
      <c r="Q78" s="46" t="e">
        <f t="shared" si="15"/>
        <v>#N/A</v>
      </c>
      <c r="R78" s="50" t="e">
        <f t="shared" si="16"/>
        <v>#N/A</v>
      </c>
      <c r="S78" s="46" t="e">
        <f t="shared" si="17"/>
        <v>#N/A</v>
      </c>
      <c r="T78" s="50" t="e">
        <f t="shared" si="18"/>
        <v>#N/A</v>
      </c>
      <c r="U78" s="46" t="e">
        <f t="shared" si="19"/>
        <v>#N/A</v>
      </c>
      <c r="V78" s="50" t="e">
        <f t="shared" si="20"/>
        <v>#N/A</v>
      </c>
      <c r="W78" s="46" t="e">
        <f t="shared" si="21"/>
        <v>#N/A</v>
      </c>
      <c r="X78" s="50" t="e">
        <f t="shared" si="22"/>
        <v>#N/A</v>
      </c>
      <c r="Y78" s="46" t="e">
        <f t="shared" si="23"/>
        <v>#N/A</v>
      </c>
      <c r="Z78" s="50" t="e">
        <f t="shared" si="24"/>
        <v>#N/A</v>
      </c>
      <c r="AA78" s="13"/>
      <c r="AB78" s="15" t="e">
        <f t="shared" si="26"/>
        <v>#N/A</v>
      </c>
      <c r="AC78" s="15" t="e">
        <f t="shared" si="27"/>
        <v>#N/A</v>
      </c>
      <c r="AD78" s="9" t="e">
        <f>ROUND(IF(A78="","",IF(AC78="  ",AB78-Date!$B$3,AB78-AC78)),0)</f>
        <v>#N/A</v>
      </c>
      <c r="AE78" s="12"/>
    </row>
    <row r="79" spans="1:31" ht="23.25" x14ac:dyDescent="0.25">
      <c r="A79" s="9" t="s">
        <v>210</v>
      </c>
      <c r="B79" s="8" t="e">
        <f t="shared" si="25"/>
        <v>#N/A</v>
      </c>
      <c r="C79" s="13"/>
      <c r="D79" s="46" t="e">
        <f t="shared" si="3"/>
        <v>#N/A</v>
      </c>
      <c r="E79" s="50" t="e">
        <f t="shared" si="4"/>
        <v>#N/A</v>
      </c>
      <c r="F79" s="46" t="e">
        <f t="shared" si="5"/>
        <v>#N/A</v>
      </c>
      <c r="G79" s="50" t="e">
        <f t="shared" si="6"/>
        <v>#N/A</v>
      </c>
      <c r="H79" s="46" t="e">
        <f t="shared" si="7"/>
        <v>#N/A</v>
      </c>
      <c r="I79" s="50" t="e">
        <f t="shared" si="8"/>
        <v>#N/A</v>
      </c>
      <c r="J79" s="13"/>
      <c r="K79" s="46" t="e">
        <f t="shared" si="9"/>
        <v>#N/A</v>
      </c>
      <c r="L79" s="50" t="e">
        <f t="shared" si="10"/>
        <v>#N/A</v>
      </c>
      <c r="M79" s="46" t="e">
        <f t="shared" si="11"/>
        <v>#N/A</v>
      </c>
      <c r="N79" s="50" t="e">
        <f t="shared" si="12"/>
        <v>#N/A</v>
      </c>
      <c r="O79" s="46" t="e">
        <f t="shared" si="13"/>
        <v>#N/A</v>
      </c>
      <c r="P79" s="50" t="e">
        <f t="shared" si="14"/>
        <v>#N/A</v>
      </c>
      <c r="Q79" s="46" t="e">
        <f t="shared" si="15"/>
        <v>#N/A</v>
      </c>
      <c r="R79" s="50" t="e">
        <f t="shared" si="16"/>
        <v>#N/A</v>
      </c>
      <c r="S79" s="46" t="e">
        <f t="shared" si="17"/>
        <v>#N/A</v>
      </c>
      <c r="T79" s="50" t="e">
        <f t="shared" si="18"/>
        <v>#N/A</v>
      </c>
      <c r="U79" s="46" t="e">
        <f t="shared" si="19"/>
        <v>#N/A</v>
      </c>
      <c r="V79" s="50" t="e">
        <f t="shared" si="20"/>
        <v>#N/A</v>
      </c>
      <c r="W79" s="46" t="e">
        <f t="shared" si="21"/>
        <v>#N/A</v>
      </c>
      <c r="X79" s="50" t="e">
        <f t="shared" si="22"/>
        <v>#N/A</v>
      </c>
      <c r="Y79" s="46" t="e">
        <f t="shared" si="23"/>
        <v>#N/A</v>
      </c>
      <c r="Z79" s="50" t="e">
        <f t="shared" si="24"/>
        <v>#N/A</v>
      </c>
      <c r="AA79" s="13"/>
      <c r="AB79" s="15" t="e">
        <f t="shared" si="26"/>
        <v>#N/A</v>
      </c>
      <c r="AC79" s="15" t="e">
        <f t="shared" si="27"/>
        <v>#N/A</v>
      </c>
      <c r="AD79" s="9" t="e">
        <f>ROUND(IF(A79="","",IF(AC79="  ",AB79-Date!$B$3,AB79-AC79)),0)</f>
        <v>#N/A</v>
      </c>
      <c r="AE79" s="12"/>
    </row>
    <row r="80" spans="1:31" ht="23.25" x14ac:dyDescent="0.25">
      <c r="A80" s="9" t="s">
        <v>211</v>
      </c>
      <c r="B80" s="8" t="e">
        <f t="shared" si="25"/>
        <v>#N/A</v>
      </c>
      <c r="C80" s="13"/>
      <c r="D80" s="46" t="e">
        <f t="shared" si="3"/>
        <v>#N/A</v>
      </c>
      <c r="E80" s="50" t="e">
        <f t="shared" si="4"/>
        <v>#N/A</v>
      </c>
      <c r="F80" s="46" t="e">
        <f t="shared" si="5"/>
        <v>#N/A</v>
      </c>
      <c r="G80" s="50" t="e">
        <f t="shared" si="6"/>
        <v>#N/A</v>
      </c>
      <c r="H80" s="46" t="e">
        <f t="shared" si="7"/>
        <v>#N/A</v>
      </c>
      <c r="I80" s="50" t="e">
        <f t="shared" si="8"/>
        <v>#N/A</v>
      </c>
      <c r="J80" s="13"/>
      <c r="K80" s="46" t="e">
        <f t="shared" si="9"/>
        <v>#N/A</v>
      </c>
      <c r="L80" s="50" t="e">
        <f t="shared" si="10"/>
        <v>#N/A</v>
      </c>
      <c r="M80" s="46" t="e">
        <f t="shared" si="11"/>
        <v>#N/A</v>
      </c>
      <c r="N80" s="50" t="e">
        <f t="shared" si="12"/>
        <v>#N/A</v>
      </c>
      <c r="O80" s="46" t="e">
        <f t="shared" si="13"/>
        <v>#N/A</v>
      </c>
      <c r="P80" s="50" t="e">
        <f t="shared" si="14"/>
        <v>#N/A</v>
      </c>
      <c r="Q80" s="46" t="e">
        <f t="shared" si="15"/>
        <v>#N/A</v>
      </c>
      <c r="R80" s="50" t="e">
        <f t="shared" si="16"/>
        <v>#N/A</v>
      </c>
      <c r="S80" s="46" t="e">
        <f t="shared" si="17"/>
        <v>#N/A</v>
      </c>
      <c r="T80" s="50" t="e">
        <f t="shared" si="18"/>
        <v>#N/A</v>
      </c>
      <c r="U80" s="46" t="e">
        <f t="shared" si="19"/>
        <v>#N/A</v>
      </c>
      <c r="V80" s="50" t="e">
        <f t="shared" si="20"/>
        <v>#N/A</v>
      </c>
      <c r="W80" s="46" t="e">
        <f t="shared" si="21"/>
        <v>#N/A</v>
      </c>
      <c r="X80" s="50" t="e">
        <f t="shared" si="22"/>
        <v>#N/A</v>
      </c>
      <c r="Y80" s="46" t="e">
        <f t="shared" si="23"/>
        <v>#N/A</v>
      </c>
      <c r="Z80" s="50" t="e">
        <f t="shared" si="24"/>
        <v>#N/A</v>
      </c>
      <c r="AA80" s="13"/>
      <c r="AB80" s="15" t="e">
        <f t="shared" si="26"/>
        <v>#N/A</v>
      </c>
      <c r="AC80" s="15" t="e">
        <f t="shared" si="27"/>
        <v>#N/A</v>
      </c>
      <c r="AD80" s="9" t="e">
        <f>ROUND(IF(A80="","",IF(AC80="  ",AB80-Date!$B$3,AB80-AC80)),0)</f>
        <v>#N/A</v>
      </c>
      <c r="AE80" s="12"/>
    </row>
    <row r="81" spans="1:31" ht="23.25" x14ac:dyDescent="0.25">
      <c r="A81" s="9" t="s">
        <v>212</v>
      </c>
      <c r="B81" s="8" t="e">
        <f t="shared" si="25"/>
        <v>#N/A</v>
      </c>
      <c r="C81" s="13"/>
      <c r="D81" s="46" t="e">
        <f t="shared" si="3"/>
        <v>#N/A</v>
      </c>
      <c r="E81" s="50" t="e">
        <f t="shared" si="4"/>
        <v>#N/A</v>
      </c>
      <c r="F81" s="46" t="e">
        <f t="shared" si="5"/>
        <v>#N/A</v>
      </c>
      <c r="G81" s="50" t="e">
        <f t="shared" si="6"/>
        <v>#N/A</v>
      </c>
      <c r="H81" s="46" t="e">
        <f t="shared" si="7"/>
        <v>#N/A</v>
      </c>
      <c r="I81" s="50" t="e">
        <f t="shared" si="8"/>
        <v>#N/A</v>
      </c>
      <c r="J81" s="13"/>
      <c r="K81" s="46" t="e">
        <f t="shared" si="9"/>
        <v>#N/A</v>
      </c>
      <c r="L81" s="50" t="e">
        <f t="shared" si="10"/>
        <v>#N/A</v>
      </c>
      <c r="M81" s="46" t="e">
        <f t="shared" si="11"/>
        <v>#N/A</v>
      </c>
      <c r="N81" s="50" t="e">
        <f t="shared" si="12"/>
        <v>#N/A</v>
      </c>
      <c r="O81" s="46" t="e">
        <f t="shared" si="13"/>
        <v>#N/A</v>
      </c>
      <c r="P81" s="50" t="e">
        <f t="shared" si="14"/>
        <v>#N/A</v>
      </c>
      <c r="Q81" s="46" t="e">
        <f t="shared" si="15"/>
        <v>#N/A</v>
      </c>
      <c r="R81" s="50" t="e">
        <f t="shared" si="16"/>
        <v>#N/A</v>
      </c>
      <c r="S81" s="46" t="e">
        <f t="shared" si="17"/>
        <v>#N/A</v>
      </c>
      <c r="T81" s="50" t="e">
        <f t="shared" si="18"/>
        <v>#N/A</v>
      </c>
      <c r="U81" s="46" t="e">
        <f t="shared" si="19"/>
        <v>#N/A</v>
      </c>
      <c r="V81" s="50" t="e">
        <f t="shared" si="20"/>
        <v>#N/A</v>
      </c>
      <c r="W81" s="46" t="e">
        <f t="shared" si="21"/>
        <v>#N/A</v>
      </c>
      <c r="X81" s="50" t="e">
        <f t="shared" si="22"/>
        <v>#N/A</v>
      </c>
      <c r="Y81" s="46" t="e">
        <f t="shared" si="23"/>
        <v>#N/A</v>
      </c>
      <c r="Z81" s="50" t="e">
        <f t="shared" si="24"/>
        <v>#N/A</v>
      </c>
      <c r="AA81" s="13"/>
      <c r="AB81" s="15" t="e">
        <f t="shared" si="26"/>
        <v>#N/A</v>
      </c>
      <c r="AC81" s="15" t="e">
        <f t="shared" si="27"/>
        <v>#N/A</v>
      </c>
      <c r="AD81" s="9" t="e">
        <f>ROUND(IF(A81="","",IF(AC81="  ",AB81-Date!$B$3,AB81-AC81)),0)</f>
        <v>#N/A</v>
      </c>
      <c r="AE81" s="12"/>
    </row>
    <row r="82" spans="1:31" ht="23.25" x14ac:dyDescent="0.25">
      <c r="A82" s="9" t="s">
        <v>213</v>
      </c>
      <c r="B82" s="8" t="e">
        <f t="shared" si="25"/>
        <v>#N/A</v>
      </c>
      <c r="C82" s="13"/>
      <c r="D82" s="46" t="e">
        <f t="shared" si="3"/>
        <v>#N/A</v>
      </c>
      <c r="E82" s="50" t="e">
        <f t="shared" si="4"/>
        <v>#N/A</v>
      </c>
      <c r="F82" s="46" t="e">
        <f t="shared" si="5"/>
        <v>#N/A</v>
      </c>
      <c r="G82" s="50" t="e">
        <f t="shared" si="6"/>
        <v>#N/A</v>
      </c>
      <c r="H82" s="46" t="e">
        <f t="shared" si="7"/>
        <v>#N/A</v>
      </c>
      <c r="I82" s="50" t="e">
        <f t="shared" si="8"/>
        <v>#N/A</v>
      </c>
      <c r="J82" s="13"/>
      <c r="K82" s="46" t="e">
        <f t="shared" si="9"/>
        <v>#N/A</v>
      </c>
      <c r="L82" s="50" t="e">
        <f t="shared" si="10"/>
        <v>#N/A</v>
      </c>
      <c r="M82" s="46" t="e">
        <f t="shared" si="11"/>
        <v>#N/A</v>
      </c>
      <c r="N82" s="50" t="e">
        <f t="shared" si="12"/>
        <v>#N/A</v>
      </c>
      <c r="O82" s="46" t="e">
        <f t="shared" si="13"/>
        <v>#N/A</v>
      </c>
      <c r="P82" s="50" t="e">
        <f t="shared" si="14"/>
        <v>#N/A</v>
      </c>
      <c r="Q82" s="46" t="e">
        <f t="shared" si="15"/>
        <v>#N/A</v>
      </c>
      <c r="R82" s="50" t="e">
        <f t="shared" si="16"/>
        <v>#N/A</v>
      </c>
      <c r="S82" s="46" t="e">
        <f t="shared" si="17"/>
        <v>#N/A</v>
      </c>
      <c r="T82" s="50" t="e">
        <f t="shared" si="18"/>
        <v>#N/A</v>
      </c>
      <c r="U82" s="46" t="e">
        <f t="shared" si="19"/>
        <v>#N/A</v>
      </c>
      <c r="V82" s="50" t="e">
        <f t="shared" si="20"/>
        <v>#N/A</v>
      </c>
      <c r="W82" s="46" t="e">
        <f t="shared" si="21"/>
        <v>#N/A</v>
      </c>
      <c r="X82" s="50" t="e">
        <f t="shared" si="22"/>
        <v>#N/A</v>
      </c>
      <c r="Y82" s="46" t="e">
        <f t="shared" si="23"/>
        <v>#N/A</v>
      </c>
      <c r="Z82" s="50" t="e">
        <f t="shared" si="24"/>
        <v>#N/A</v>
      </c>
      <c r="AA82" s="13"/>
      <c r="AB82" s="15" t="e">
        <f t="shared" si="26"/>
        <v>#N/A</v>
      </c>
      <c r="AC82" s="15" t="e">
        <f t="shared" si="27"/>
        <v>#N/A</v>
      </c>
      <c r="AD82" s="9" t="e">
        <f>ROUND(IF(A82="","",IF(AC82="  ",AB82-Date!$B$3,AB82-AC82)),0)</f>
        <v>#N/A</v>
      </c>
      <c r="AE82" s="12"/>
    </row>
    <row r="83" spans="1:31" ht="23.25" x14ac:dyDescent="0.25">
      <c r="A83" s="9" t="s">
        <v>214</v>
      </c>
      <c r="B83" s="8" t="e">
        <f t="shared" si="25"/>
        <v>#N/A</v>
      </c>
      <c r="C83" s="13"/>
      <c r="D83" s="46" t="e">
        <f t="shared" si="3"/>
        <v>#N/A</v>
      </c>
      <c r="E83" s="50" t="e">
        <f t="shared" si="4"/>
        <v>#N/A</v>
      </c>
      <c r="F83" s="46" t="e">
        <f t="shared" si="5"/>
        <v>#N/A</v>
      </c>
      <c r="G83" s="50" t="e">
        <f t="shared" si="6"/>
        <v>#N/A</v>
      </c>
      <c r="H83" s="46" t="e">
        <f t="shared" si="7"/>
        <v>#N/A</v>
      </c>
      <c r="I83" s="50" t="e">
        <f t="shared" si="8"/>
        <v>#N/A</v>
      </c>
      <c r="J83" s="13"/>
      <c r="K83" s="46" t="e">
        <f t="shared" si="9"/>
        <v>#N/A</v>
      </c>
      <c r="L83" s="50" t="e">
        <f t="shared" si="10"/>
        <v>#N/A</v>
      </c>
      <c r="M83" s="46" t="e">
        <f t="shared" si="11"/>
        <v>#N/A</v>
      </c>
      <c r="N83" s="50" t="e">
        <f t="shared" si="12"/>
        <v>#N/A</v>
      </c>
      <c r="O83" s="46" t="e">
        <f t="shared" si="13"/>
        <v>#N/A</v>
      </c>
      <c r="P83" s="50" t="e">
        <f t="shared" si="14"/>
        <v>#N/A</v>
      </c>
      <c r="Q83" s="46" t="e">
        <f t="shared" si="15"/>
        <v>#N/A</v>
      </c>
      <c r="R83" s="50" t="e">
        <f t="shared" si="16"/>
        <v>#N/A</v>
      </c>
      <c r="S83" s="46" t="e">
        <f t="shared" si="17"/>
        <v>#N/A</v>
      </c>
      <c r="T83" s="50" t="e">
        <f t="shared" si="18"/>
        <v>#N/A</v>
      </c>
      <c r="U83" s="46" t="e">
        <f t="shared" si="19"/>
        <v>#N/A</v>
      </c>
      <c r="V83" s="50" t="e">
        <f t="shared" si="20"/>
        <v>#N/A</v>
      </c>
      <c r="W83" s="46" t="e">
        <f t="shared" si="21"/>
        <v>#N/A</v>
      </c>
      <c r="X83" s="50" t="e">
        <f t="shared" si="22"/>
        <v>#N/A</v>
      </c>
      <c r="Y83" s="46" t="e">
        <f t="shared" si="23"/>
        <v>#N/A</v>
      </c>
      <c r="Z83" s="50" t="e">
        <f t="shared" si="24"/>
        <v>#N/A</v>
      </c>
      <c r="AA83" s="13"/>
      <c r="AB83" s="15" t="e">
        <f t="shared" si="26"/>
        <v>#N/A</v>
      </c>
      <c r="AC83" s="15" t="e">
        <f t="shared" si="27"/>
        <v>#N/A</v>
      </c>
      <c r="AD83" s="9" t="e">
        <f>ROUND(IF(A83="","",IF(AC83="  ",AB83-Date!$B$3,AB83-AC83)),0)</f>
        <v>#N/A</v>
      </c>
      <c r="AE83" s="12"/>
    </row>
    <row r="84" spans="1:31" ht="23.25" x14ac:dyDescent="0.25">
      <c r="A84" s="9" t="s">
        <v>215</v>
      </c>
      <c r="B84" s="8" t="e">
        <f t="shared" si="25"/>
        <v>#N/A</v>
      </c>
      <c r="C84" s="13"/>
      <c r="D84" s="46" t="e">
        <f t="shared" si="3"/>
        <v>#N/A</v>
      </c>
      <c r="E84" s="50" t="e">
        <f t="shared" si="4"/>
        <v>#N/A</v>
      </c>
      <c r="F84" s="46" t="e">
        <f t="shared" si="5"/>
        <v>#N/A</v>
      </c>
      <c r="G84" s="50" t="e">
        <f t="shared" si="6"/>
        <v>#N/A</v>
      </c>
      <c r="H84" s="46" t="e">
        <f t="shared" si="7"/>
        <v>#N/A</v>
      </c>
      <c r="I84" s="50" t="e">
        <f t="shared" si="8"/>
        <v>#N/A</v>
      </c>
      <c r="J84" s="13"/>
      <c r="K84" s="46" t="e">
        <f t="shared" si="9"/>
        <v>#N/A</v>
      </c>
      <c r="L84" s="50" t="e">
        <f t="shared" si="10"/>
        <v>#N/A</v>
      </c>
      <c r="M84" s="46" t="e">
        <f t="shared" si="11"/>
        <v>#N/A</v>
      </c>
      <c r="N84" s="50" t="e">
        <f t="shared" si="12"/>
        <v>#N/A</v>
      </c>
      <c r="O84" s="46" t="e">
        <f t="shared" si="13"/>
        <v>#N/A</v>
      </c>
      <c r="P84" s="50" t="e">
        <f t="shared" si="14"/>
        <v>#N/A</v>
      </c>
      <c r="Q84" s="46" t="e">
        <f t="shared" si="15"/>
        <v>#N/A</v>
      </c>
      <c r="R84" s="50" t="e">
        <f t="shared" si="16"/>
        <v>#N/A</v>
      </c>
      <c r="S84" s="46" t="e">
        <f t="shared" si="17"/>
        <v>#N/A</v>
      </c>
      <c r="T84" s="50" t="e">
        <f t="shared" si="18"/>
        <v>#N/A</v>
      </c>
      <c r="U84" s="46" t="e">
        <f t="shared" si="19"/>
        <v>#N/A</v>
      </c>
      <c r="V84" s="50" t="e">
        <f t="shared" si="20"/>
        <v>#N/A</v>
      </c>
      <c r="W84" s="46" t="e">
        <f t="shared" si="21"/>
        <v>#N/A</v>
      </c>
      <c r="X84" s="50" t="e">
        <f t="shared" si="22"/>
        <v>#N/A</v>
      </c>
      <c r="Y84" s="46" t="e">
        <f t="shared" si="23"/>
        <v>#N/A</v>
      </c>
      <c r="Z84" s="50" t="e">
        <f t="shared" si="24"/>
        <v>#N/A</v>
      </c>
      <c r="AA84" s="13"/>
      <c r="AB84" s="15" t="e">
        <f t="shared" si="26"/>
        <v>#N/A</v>
      </c>
      <c r="AC84" s="15" t="e">
        <f t="shared" si="27"/>
        <v>#N/A</v>
      </c>
      <c r="AD84" s="9" t="e">
        <f>ROUND(IF(A84="","",IF(AC84="  ",AB84-Date!$B$3,AB84-AC84)),0)</f>
        <v>#N/A</v>
      </c>
      <c r="AE84" s="12"/>
    </row>
    <row r="85" spans="1:31" ht="23.25" x14ac:dyDescent="0.25">
      <c r="A85" s="9" t="s">
        <v>216</v>
      </c>
      <c r="B85" s="8" t="e">
        <f t="shared" si="25"/>
        <v>#N/A</v>
      </c>
      <c r="C85" s="13"/>
      <c r="D85" s="46" t="e">
        <f t="shared" si="3"/>
        <v>#N/A</v>
      </c>
      <c r="E85" s="50" t="e">
        <f t="shared" si="4"/>
        <v>#N/A</v>
      </c>
      <c r="F85" s="46" t="e">
        <f t="shared" si="5"/>
        <v>#N/A</v>
      </c>
      <c r="G85" s="50" t="e">
        <f t="shared" si="6"/>
        <v>#N/A</v>
      </c>
      <c r="H85" s="46" t="e">
        <f t="shared" si="7"/>
        <v>#N/A</v>
      </c>
      <c r="I85" s="50" t="e">
        <f t="shared" si="8"/>
        <v>#N/A</v>
      </c>
      <c r="J85" s="13"/>
      <c r="K85" s="46" t="e">
        <f t="shared" si="9"/>
        <v>#N/A</v>
      </c>
      <c r="L85" s="50" t="e">
        <f t="shared" si="10"/>
        <v>#N/A</v>
      </c>
      <c r="M85" s="46" t="e">
        <f t="shared" si="11"/>
        <v>#N/A</v>
      </c>
      <c r="N85" s="50" t="e">
        <f t="shared" si="12"/>
        <v>#N/A</v>
      </c>
      <c r="O85" s="46" t="e">
        <f t="shared" si="13"/>
        <v>#N/A</v>
      </c>
      <c r="P85" s="50" t="e">
        <f t="shared" si="14"/>
        <v>#N/A</v>
      </c>
      <c r="Q85" s="46" t="e">
        <f t="shared" si="15"/>
        <v>#N/A</v>
      </c>
      <c r="R85" s="50" t="e">
        <f t="shared" si="16"/>
        <v>#N/A</v>
      </c>
      <c r="S85" s="46" t="e">
        <f t="shared" si="17"/>
        <v>#N/A</v>
      </c>
      <c r="T85" s="50" t="e">
        <f t="shared" si="18"/>
        <v>#N/A</v>
      </c>
      <c r="U85" s="46" t="e">
        <f t="shared" si="19"/>
        <v>#N/A</v>
      </c>
      <c r="V85" s="50" t="e">
        <f t="shared" si="20"/>
        <v>#N/A</v>
      </c>
      <c r="W85" s="46" t="e">
        <f t="shared" si="21"/>
        <v>#N/A</v>
      </c>
      <c r="X85" s="50" t="e">
        <f t="shared" si="22"/>
        <v>#N/A</v>
      </c>
      <c r="Y85" s="46" t="e">
        <f t="shared" si="23"/>
        <v>#N/A</v>
      </c>
      <c r="Z85" s="50" t="e">
        <f t="shared" si="24"/>
        <v>#N/A</v>
      </c>
      <c r="AA85" s="13"/>
      <c r="AB85" s="15" t="e">
        <f t="shared" si="26"/>
        <v>#N/A</v>
      </c>
      <c r="AC85" s="15" t="e">
        <f t="shared" si="27"/>
        <v>#N/A</v>
      </c>
      <c r="AD85" s="9" t="e">
        <f>ROUND(IF(A85="","",IF(AC85="  ",AB85-Date!$B$3,AB85-AC85)),0)</f>
        <v>#N/A</v>
      </c>
      <c r="AE85" s="12"/>
    </row>
    <row r="86" spans="1:31" ht="23.25" x14ac:dyDescent="0.25">
      <c r="A86" s="9" t="s">
        <v>217</v>
      </c>
      <c r="B86" s="8" t="e">
        <f t="shared" si="25"/>
        <v>#N/A</v>
      </c>
      <c r="C86" s="13"/>
      <c r="D86" s="46" t="e">
        <f t="shared" si="3"/>
        <v>#N/A</v>
      </c>
      <c r="E86" s="50" t="e">
        <f t="shared" si="4"/>
        <v>#N/A</v>
      </c>
      <c r="F86" s="46" t="e">
        <f t="shared" si="5"/>
        <v>#N/A</v>
      </c>
      <c r="G86" s="50" t="e">
        <f t="shared" si="6"/>
        <v>#N/A</v>
      </c>
      <c r="H86" s="46" t="e">
        <f t="shared" si="7"/>
        <v>#N/A</v>
      </c>
      <c r="I86" s="50" t="e">
        <f t="shared" si="8"/>
        <v>#N/A</v>
      </c>
      <c r="J86" s="13"/>
      <c r="K86" s="46" t="e">
        <f t="shared" si="9"/>
        <v>#N/A</v>
      </c>
      <c r="L86" s="50" t="e">
        <f t="shared" si="10"/>
        <v>#N/A</v>
      </c>
      <c r="M86" s="46" t="e">
        <f t="shared" si="11"/>
        <v>#N/A</v>
      </c>
      <c r="N86" s="50" t="e">
        <f t="shared" si="12"/>
        <v>#N/A</v>
      </c>
      <c r="O86" s="46" t="e">
        <f t="shared" si="13"/>
        <v>#N/A</v>
      </c>
      <c r="P86" s="50" t="e">
        <f t="shared" si="14"/>
        <v>#N/A</v>
      </c>
      <c r="Q86" s="46" t="e">
        <f t="shared" si="15"/>
        <v>#N/A</v>
      </c>
      <c r="R86" s="50" t="e">
        <f t="shared" si="16"/>
        <v>#N/A</v>
      </c>
      <c r="S86" s="46" t="e">
        <f t="shared" si="17"/>
        <v>#N/A</v>
      </c>
      <c r="T86" s="50" t="e">
        <f t="shared" si="18"/>
        <v>#N/A</v>
      </c>
      <c r="U86" s="46" t="e">
        <f t="shared" si="19"/>
        <v>#N/A</v>
      </c>
      <c r="V86" s="50" t="e">
        <f t="shared" si="20"/>
        <v>#N/A</v>
      </c>
      <c r="W86" s="46" t="e">
        <f t="shared" si="21"/>
        <v>#N/A</v>
      </c>
      <c r="X86" s="50" t="e">
        <f t="shared" si="22"/>
        <v>#N/A</v>
      </c>
      <c r="Y86" s="46" t="e">
        <f t="shared" si="23"/>
        <v>#N/A</v>
      </c>
      <c r="Z86" s="50" t="e">
        <f t="shared" si="24"/>
        <v>#N/A</v>
      </c>
      <c r="AA86" s="13"/>
      <c r="AB86" s="15" t="e">
        <f t="shared" si="26"/>
        <v>#N/A</v>
      </c>
      <c r="AC86" s="15" t="e">
        <f t="shared" si="27"/>
        <v>#N/A</v>
      </c>
      <c r="AD86" s="9" t="e">
        <f>ROUND(IF(A86="","",IF(AC86="  ",AB86-Date!$B$3,AB86-AC86)),0)</f>
        <v>#N/A</v>
      </c>
      <c r="AE86" s="12"/>
    </row>
    <row r="87" spans="1:31" ht="23.25" x14ac:dyDescent="0.25">
      <c r="A87" s="9" t="s">
        <v>218</v>
      </c>
      <c r="B87" s="8" t="e">
        <f t="shared" si="25"/>
        <v>#N/A</v>
      </c>
      <c r="C87" s="13"/>
      <c r="D87" s="46" t="e">
        <f t="shared" si="3"/>
        <v>#N/A</v>
      </c>
      <c r="E87" s="50" t="e">
        <f t="shared" si="4"/>
        <v>#N/A</v>
      </c>
      <c r="F87" s="46" t="e">
        <f t="shared" si="5"/>
        <v>#N/A</v>
      </c>
      <c r="G87" s="50" t="e">
        <f t="shared" si="6"/>
        <v>#N/A</v>
      </c>
      <c r="H87" s="46" t="e">
        <f t="shared" si="7"/>
        <v>#N/A</v>
      </c>
      <c r="I87" s="50" t="e">
        <f t="shared" si="8"/>
        <v>#N/A</v>
      </c>
      <c r="J87" s="13"/>
      <c r="K87" s="46" t="e">
        <f t="shared" si="9"/>
        <v>#N/A</v>
      </c>
      <c r="L87" s="50" t="e">
        <f t="shared" si="10"/>
        <v>#N/A</v>
      </c>
      <c r="M87" s="46" t="e">
        <f t="shared" si="11"/>
        <v>#N/A</v>
      </c>
      <c r="N87" s="50" t="e">
        <f t="shared" si="12"/>
        <v>#N/A</v>
      </c>
      <c r="O87" s="46" t="e">
        <f t="shared" si="13"/>
        <v>#N/A</v>
      </c>
      <c r="P87" s="50" t="e">
        <f t="shared" si="14"/>
        <v>#N/A</v>
      </c>
      <c r="Q87" s="46" t="e">
        <f t="shared" si="15"/>
        <v>#N/A</v>
      </c>
      <c r="R87" s="50" t="e">
        <f t="shared" si="16"/>
        <v>#N/A</v>
      </c>
      <c r="S87" s="46" t="e">
        <f t="shared" si="17"/>
        <v>#N/A</v>
      </c>
      <c r="T87" s="50" t="e">
        <f t="shared" si="18"/>
        <v>#N/A</v>
      </c>
      <c r="U87" s="46" t="e">
        <f t="shared" si="19"/>
        <v>#N/A</v>
      </c>
      <c r="V87" s="50" t="e">
        <f t="shared" si="20"/>
        <v>#N/A</v>
      </c>
      <c r="W87" s="46" t="e">
        <f t="shared" si="21"/>
        <v>#N/A</v>
      </c>
      <c r="X87" s="50" t="e">
        <f t="shared" si="22"/>
        <v>#N/A</v>
      </c>
      <c r="Y87" s="46" t="e">
        <f t="shared" si="23"/>
        <v>#N/A</v>
      </c>
      <c r="Z87" s="50" t="e">
        <f t="shared" si="24"/>
        <v>#N/A</v>
      </c>
      <c r="AA87" s="13"/>
      <c r="AB87" s="15" t="e">
        <f t="shared" si="26"/>
        <v>#N/A</v>
      </c>
      <c r="AC87" s="15" t="e">
        <f t="shared" si="27"/>
        <v>#N/A</v>
      </c>
      <c r="AD87" s="9" t="e">
        <f>ROUND(IF(A87="","",IF(AC87="  ",AB87-Date!$B$3,AB87-AC87)),0)</f>
        <v>#N/A</v>
      </c>
      <c r="AE87" s="12"/>
    </row>
    <row r="88" spans="1:31" ht="23.25" x14ac:dyDescent="0.25">
      <c r="A88" s="9" t="s">
        <v>219</v>
      </c>
      <c r="B88" s="8" t="e">
        <f t="shared" si="25"/>
        <v>#N/A</v>
      </c>
      <c r="C88" s="13"/>
      <c r="D88" s="46" t="e">
        <f t="shared" si="3"/>
        <v>#N/A</v>
      </c>
      <c r="E88" s="50" t="e">
        <f t="shared" si="4"/>
        <v>#N/A</v>
      </c>
      <c r="F88" s="46" t="e">
        <f t="shared" si="5"/>
        <v>#N/A</v>
      </c>
      <c r="G88" s="50" t="e">
        <f t="shared" si="6"/>
        <v>#N/A</v>
      </c>
      <c r="H88" s="46" t="e">
        <f t="shared" si="7"/>
        <v>#N/A</v>
      </c>
      <c r="I88" s="50" t="e">
        <f t="shared" si="8"/>
        <v>#N/A</v>
      </c>
      <c r="J88" s="13"/>
      <c r="K88" s="46" t="e">
        <f t="shared" si="9"/>
        <v>#N/A</v>
      </c>
      <c r="L88" s="50" t="e">
        <f t="shared" si="10"/>
        <v>#N/A</v>
      </c>
      <c r="M88" s="46" t="e">
        <f t="shared" si="11"/>
        <v>#N/A</v>
      </c>
      <c r="N88" s="50" t="e">
        <f t="shared" si="12"/>
        <v>#N/A</v>
      </c>
      <c r="O88" s="46" t="e">
        <f t="shared" si="13"/>
        <v>#N/A</v>
      </c>
      <c r="P88" s="50" t="e">
        <f t="shared" si="14"/>
        <v>#N/A</v>
      </c>
      <c r="Q88" s="46" t="e">
        <f t="shared" si="15"/>
        <v>#N/A</v>
      </c>
      <c r="R88" s="50" t="e">
        <f t="shared" si="16"/>
        <v>#N/A</v>
      </c>
      <c r="S88" s="46" t="e">
        <f t="shared" si="17"/>
        <v>#N/A</v>
      </c>
      <c r="T88" s="50" t="e">
        <f t="shared" si="18"/>
        <v>#N/A</v>
      </c>
      <c r="U88" s="46" t="e">
        <f t="shared" si="19"/>
        <v>#N/A</v>
      </c>
      <c r="V88" s="50" t="e">
        <f t="shared" si="20"/>
        <v>#N/A</v>
      </c>
      <c r="W88" s="46" t="e">
        <f t="shared" si="21"/>
        <v>#N/A</v>
      </c>
      <c r="X88" s="50" t="e">
        <f t="shared" si="22"/>
        <v>#N/A</v>
      </c>
      <c r="Y88" s="46" t="e">
        <f t="shared" si="23"/>
        <v>#N/A</v>
      </c>
      <c r="Z88" s="50" t="e">
        <f t="shared" si="24"/>
        <v>#N/A</v>
      </c>
      <c r="AA88" s="13"/>
      <c r="AB88" s="15" t="e">
        <f t="shared" si="26"/>
        <v>#N/A</v>
      </c>
      <c r="AC88" s="15" t="e">
        <f t="shared" si="27"/>
        <v>#N/A</v>
      </c>
      <c r="AD88" s="9" t="e">
        <f>ROUND(IF(A88="","",IF(AC88="  ",AB88-Date!$B$3,AB88-AC88)),0)</f>
        <v>#N/A</v>
      </c>
      <c r="AE88" s="12"/>
    </row>
    <row r="89" spans="1:31" ht="23.25" x14ac:dyDescent="0.25">
      <c r="A89" s="9" t="s">
        <v>220</v>
      </c>
      <c r="B89" s="8" t="e">
        <f t="shared" si="25"/>
        <v>#N/A</v>
      </c>
      <c r="C89" s="13"/>
      <c r="D89" s="46" t="e">
        <f t="shared" si="3"/>
        <v>#N/A</v>
      </c>
      <c r="E89" s="50" t="e">
        <f t="shared" si="4"/>
        <v>#N/A</v>
      </c>
      <c r="F89" s="46" t="e">
        <f t="shared" si="5"/>
        <v>#N/A</v>
      </c>
      <c r="G89" s="50" t="e">
        <f t="shared" si="6"/>
        <v>#N/A</v>
      </c>
      <c r="H89" s="46" t="e">
        <f t="shared" si="7"/>
        <v>#N/A</v>
      </c>
      <c r="I89" s="50" t="e">
        <f t="shared" si="8"/>
        <v>#N/A</v>
      </c>
      <c r="J89" s="13"/>
      <c r="K89" s="46" t="e">
        <f t="shared" si="9"/>
        <v>#N/A</v>
      </c>
      <c r="L89" s="50" t="e">
        <f t="shared" si="10"/>
        <v>#N/A</v>
      </c>
      <c r="M89" s="46" t="e">
        <f t="shared" si="11"/>
        <v>#N/A</v>
      </c>
      <c r="N89" s="50" t="e">
        <f t="shared" si="12"/>
        <v>#N/A</v>
      </c>
      <c r="O89" s="46" t="e">
        <f t="shared" si="13"/>
        <v>#N/A</v>
      </c>
      <c r="P89" s="50" t="e">
        <f t="shared" si="14"/>
        <v>#N/A</v>
      </c>
      <c r="Q89" s="46" t="e">
        <f t="shared" si="15"/>
        <v>#N/A</v>
      </c>
      <c r="R89" s="50" t="e">
        <f t="shared" si="16"/>
        <v>#N/A</v>
      </c>
      <c r="S89" s="46" t="e">
        <f t="shared" si="17"/>
        <v>#N/A</v>
      </c>
      <c r="T89" s="50" t="e">
        <f t="shared" si="18"/>
        <v>#N/A</v>
      </c>
      <c r="U89" s="46" t="e">
        <f t="shared" si="19"/>
        <v>#N/A</v>
      </c>
      <c r="V89" s="50" t="e">
        <f t="shared" si="20"/>
        <v>#N/A</v>
      </c>
      <c r="W89" s="46" t="e">
        <f t="shared" si="21"/>
        <v>#N/A</v>
      </c>
      <c r="X89" s="50" t="e">
        <f t="shared" si="22"/>
        <v>#N/A</v>
      </c>
      <c r="Y89" s="46" t="e">
        <f t="shared" si="23"/>
        <v>#N/A</v>
      </c>
      <c r="Z89" s="50" t="e">
        <f t="shared" si="24"/>
        <v>#N/A</v>
      </c>
      <c r="AA89" s="13"/>
      <c r="AB89" s="15" t="e">
        <f t="shared" si="26"/>
        <v>#N/A</v>
      </c>
      <c r="AC89" s="15" t="e">
        <f t="shared" si="27"/>
        <v>#N/A</v>
      </c>
      <c r="AD89" s="9" t="e">
        <f>ROUND(IF(A89="","",IF(AC89="  ",AB89-Date!$B$3,AB89-AC89)),0)</f>
        <v>#N/A</v>
      </c>
      <c r="AE89" s="12"/>
    </row>
    <row r="90" spans="1:31" ht="23.25" x14ac:dyDescent="0.25">
      <c r="A90" s="9" t="s">
        <v>221</v>
      </c>
      <c r="B90" s="8" t="e">
        <f t="shared" si="25"/>
        <v>#N/A</v>
      </c>
      <c r="C90" s="13"/>
      <c r="D90" s="46" t="e">
        <f t="shared" si="3"/>
        <v>#N/A</v>
      </c>
      <c r="E90" s="50" t="e">
        <f t="shared" si="4"/>
        <v>#N/A</v>
      </c>
      <c r="F90" s="46" t="e">
        <f t="shared" si="5"/>
        <v>#N/A</v>
      </c>
      <c r="G90" s="50" t="e">
        <f t="shared" si="6"/>
        <v>#N/A</v>
      </c>
      <c r="H90" s="46" t="e">
        <f t="shared" si="7"/>
        <v>#N/A</v>
      </c>
      <c r="I90" s="50" t="e">
        <f t="shared" si="8"/>
        <v>#N/A</v>
      </c>
      <c r="J90" s="13"/>
      <c r="K90" s="46" t="e">
        <f t="shared" si="9"/>
        <v>#N/A</v>
      </c>
      <c r="L90" s="50" t="e">
        <f t="shared" si="10"/>
        <v>#N/A</v>
      </c>
      <c r="M90" s="46" t="e">
        <f t="shared" si="11"/>
        <v>#N/A</v>
      </c>
      <c r="N90" s="50" t="e">
        <f t="shared" si="12"/>
        <v>#N/A</v>
      </c>
      <c r="O90" s="46" t="e">
        <f t="shared" si="13"/>
        <v>#N/A</v>
      </c>
      <c r="P90" s="50" t="e">
        <f t="shared" si="14"/>
        <v>#N/A</v>
      </c>
      <c r="Q90" s="46" t="e">
        <f t="shared" si="15"/>
        <v>#N/A</v>
      </c>
      <c r="R90" s="50" t="e">
        <f t="shared" si="16"/>
        <v>#N/A</v>
      </c>
      <c r="S90" s="46" t="e">
        <f t="shared" si="17"/>
        <v>#N/A</v>
      </c>
      <c r="T90" s="50" t="e">
        <f t="shared" si="18"/>
        <v>#N/A</v>
      </c>
      <c r="U90" s="46" t="e">
        <f t="shared" si="19"/>
        <v>#N/A</v>
      </c>
      <c r="V90" s="50" t="e">
        <f t="shared" si="20"/>
        <v>#N/A</v>
      </c>
      <c r="W90" s="46" t="e">
        <f t="shared" si="21"/>
        <v>#N/A</v>
      </c>
      <c r="X90" s="50" t="e">
        <f t="shared" si="22"/>
        <v>#N/A</v>
      </c>
      <c r="Y90" s="46" t="e">
        <f t="shared" si="23"/>
        <v>#N/A</v>
      </c>
      <c r="Z90" s="50" t="e">
        <f t="shared" si="24"/>
        <v>#N/A</v>
      </c>
      <c r="AA90" s="13"/>
      <c r="AB90" s="15" t="e">
        <f t="shared" si="26"/>
        <v>#N/A</v>
      </c>
      <c r="AC90" s="15" t="e">
        <f t="shared" si="27"/>
        <v>#N/A</v>
      </c>
      <c r="AD90" s="9" t="e">
        <f>ROUND(IF(A90="","",IF(AC90="  ",AB90-Date!$B$3,AB90-AC90)),0)</f>
        <v>#N/A</v>
      </c>
      <c r="AE90" s="12"/>
    </row>
    <row r="91" spans="1:31" ht="23.25" x14ac:dyDescent="0.25">
      <c r="A91" s="9" t="s">
        <v>222</v>
      </c>
      <c r="B91" s="8" t="e">
        <f t="shared" si="25"/>
        <v>#N/A</v>
      </c>
      <c r="C91" s="13"/>
      <c r="D91" s="46" t="e">
        <f t="shared" si="3"/>
        <v>#N/A</v>
      </c>
      <c r="E91" s="50" t="e">
        <f t="shared" si="4"/>
        <v>#N/A</v>
      </c>
      <c r="F91" s="46" t="e">
        <f t="shared" si="5"/>
        <v>#N/A</v>
      </c>
      <c r="G91" s="50" t="e">
        <f t="shared" si="6"/>
        <v>#N/A</v>
      </c>
      <c r="H91" s="46" t="e">
        <f t="shared" si="7"/>
        <v>#N/A</v>
      </c>
      <c r="I91" s="50" t="e">
        <f t="shared" si="8"/>
        <v>#N/A</v>
      </c>
      <c r="J91" s="13"/>
      <c r="K91" s="46" t="e">
        <f t="shared" si="9"/>
        <v>#N/A</v>
      </c>
      <c r="L91" s="50" t="e">
        <f t="shared" si="10"/>
        <v>#N/A</v>
      </c>
      <c r="M91" s="46" t="e">
        <f t="shared" si="11"/>
        <v>#N/A</v>
      </c>
      <c r="N91" s="50" t="e">
        <f t="shared" si="12"/>
        <v>#N/A</v>
      </c>
      <c r="O91" s="46" t="e">
        <f t="shared" si="13"/>
        <v>#N/A</v>
      </c>
      <c r="P91" s="50" t="e">
        <f t="shared" si="14"/>
        <v>#N/A</v>
      </c>
      <c r="Q91" s="46" t="e">
        <f t="shared" si="15"/>
        <v>#N/A</v>
      </c>
      <c r="R91" s="50" t="e">
        <f t="shared" si="16"/>
        <v>#N/A</v>
      </c>
      <c r="S91" s="46" t="e">
        <f t="shared" si="17"/>
        <v>#N/A</v>
      </c>
      <c r="T91" s="50" t="e">
        <f t="shared" si="18"/>
        <v>#N/A</v>
      </c>
      <c r="U91" s="46" t="e">
        <f t="shared" si="19"/>
        <v>#N/A</v>
      </c>
      <c r="V91" s="50" t="e">
        <f t="shared" si="20"/>
        <v>#N/A</v>
      </c>
      <c r="W91" s="46" t="e">
        <f t="shared" si="21"/>
        <v>#N/A</v>
      </c>
      <c r="X91" s="50" t="e">
        <f t="shared" si="22"/>
        <v>#N/A</v>
      </c>
      <c r="Y91" s="46" t="e">
        <f t="shared" si="23"/>
        <v>#N/A</v>
      </c>
      <c r="Z91" s="50" t="e">
        <f t="shared" si="24"/>
        <v>#N/A</v>
      </c>
      <c r="AA91" s="13"/>
      <c r="AB91" s="15" t="e">
        <f t="shared" si="26"/>
        <v>#N/A</v>
      </c>
      <c r="AC91" s="15" t="e">
        <f t="shared" si="27"/>
        <v>#N/A</v>
      </c>
      <c r="AD91" s="9" t="e">
        <f>ROUND(IF(A91="","",IF(AC91="  ",AB91-Date!$B$3,AB91-AC91)),0)</f>
        <v>#N/A</v>
      </c>
      <c r="AE91" s="12"/>
    </row>
    <row r="92" spans="1:31" ht="23.25" x14ac:dyDescent="0.25">
      <c r="A92" s="9" t="s">
        <v>223</v>
      </c>
      <c r="B92" s="8" t="e">
        <f t="shared" si="25"/>
        <v>#N/A</v>
      </c>
      <c r="C92" s="13"/>
      <c r="D92" s="46" t="e">
        <f t="shared" si="3"/>
        <v>#N/A</v>
      </c>
      <c r="E92" s="50" t="e">
        <f t="shared" si="4"/>
        <v>#N/A</v>
      </c>
      <c r="F92" s="46" t="e">
        <f t="shared" si="5"/>
        <v>#N/A</v>
      </c>
      <c r="G92" s="50" t="e">
        <f t="shared" si="6"/>
        <v>#N/A</v>
      </c>
      <c r="H92" s="46" t="e">
        <f t="shared" si="7"/>
        <v>#N/A</v>
      </c>
      <c r="I92" s="50" t="e">
        <f t="shared" si="8"/>
        <v>#N/A</v>
      </c>
      <c r="J92" s="13"/>
      <c r="K92" s="46" t="e">
        <f t="shared" si="9"/>
        <v>#N/A</v>
      </c>
      <c r="L92" s="50" t="e">
        <f t="shared" si="10"/>
        <v>#N/A</v>
      </c>
      <c r="M92" s="46" t="e">
        <f t="shared" si="11"/>
        <v>#N/A</v>
      </c>
      <c r="N92" s="50" t="e">
        <f t="shared" si="12"/>
        <v>#N/A</v>
      </c>
      <c r="O92" s="46" t="e">
        <f t="shared" si="13"/>
        <v>#N/A</v>
      </c>
      <c r="P92" s="50" t="e">
        <f t="shared" si="14"/>
        <v>#N/A</v>
      </c>
      <c r="Q92" s="46" t="e">
        <f t="shared" si="15"/>
        <v>#N/A</v>
      </c>
      <c r="R92" s="50" t="e">
        <f t="shared" si="16"/>
        <v>#N/A</v>
      </c>
      <c r="S92" s="46" t="e">
        <f t="shared" si="17"/>
        <v>#N/A</v>
      </c>
      <c r="T92" s="50" t="e">
        <f t="shared" si="18"/>
        <v>#N/A</v>
      </c>
      <c r="U92" s="46" t="e">
        <f t="shared" si="19"/>
        <v>#N/A</v>
      </c>
      <c r="V92" s="50" t="e">
        <f t="shared" si="20"/>
        <v>#N/A</v>
      </c>
      <c r="W92" s="46" t="e">
        <f t="shared" si="21"/>
        <v>#N/A</v>
      </c>
      <c r="X92" s="50" t="e">
        <f t="shared" si="22"/>
        <v>#N/A</v>
      </c>
      <c r="Y92" s="46" t="e">
        <f t="shared" si="23"/>
        <v>#N/A</v>
      </c>
      <c r="Z92" s="50" t="e">
        <f t="shared" si="24"/>
        <v>#N/A</v>
      </c>
      <c r="AA92" s="13"/>
      <c r="AB92" s="15" t="e">
        <f t="shared" si="26"/>
        <v>#N/A</v>
      </c>
      <c r="AC92" s="15" t="e">
        <f t="shared" si="27"/>
        <v>#N/A</v>
      </c>
      <c r="AD92" s="9" t="e">
        <f>ROUND(IF(A92="","",IF(AC92="  ",AB92-Date!$B$3,AB92-AC92)),0)</f>
        <v>#N/A</v>
      </c>
      <c r="AE92" s="12"/>
    </row>
    <row r="93" spans="1:31" ht="23.25" x14ac:dyDescent="0.25">
      <c r="A93" s="9" t="s">
        <v>224</v>
      </c>
      <c r="B93" s="8" t="e">
        <f t="shared" si="25"/>
        <v>#N/A</v>
      </c>
      <c r="C93" s="13"/>
      <c r="D93" s="46" t="e">
        <f t="shared" si="3"/>
        <v>#N/A</v>
      </c>
      <c r="E93" s="50" t="e">
        <f t="shared" si="4"/>
        <v>#N/A</v>
      </c>
      <c r="F93" s="46" t="e">
        <f t="shared" si="5"/>
        <v>#N/A</v>
      </c>
      <c r="G93" s="50" t="e">
        <f t="shared" si="6"/>
        <v>#N/A</v>
      </c>
      <c r="H93" s="46" t="e">
        <f t="shared" si="7"/>
        <v>#N/A</v>
      </c>
      <c r="I93" s="50" t="e">
        <f t="shared" si="8"/>
        <v>#N/A</v>
      </c>
      <c r="J93" s="13"/>
      <c r="K93" s="46" t="e">
        <f t="shared" si="9"/>
        <v>#N/A</v>
      </c>
      <c r="L93" s="50" t="e">
        <f t="shared" si="10"/>
        <v>#N/A</v>
      </c>
      <c r="M93" s="46" t="e">
        <f t="shared" si="11"/>
        <v>#N/A</v>
      </c>
      <c r="N93" s="50" t="e">
        <f t="shared" si="12"/>
        <v>#N/A</v>
      </c>
      <c r="O93" s="46" t="e">
        <f t="shared" si="13"/>
        <v>#N/A</v>
      </c>
      <c r="P93" s="50" t="e">
        <f t="shared" si="14"/>
        <v>#N/A</v>
      </c>
      <c r="Q93" s="46" t="e">
        <f t="shared" si="15"/>
        <v>#N/A</v>
      </c>
      <c r="R93" s="50" t="e">
        <f t="shared" si="16"/>
        <v>#N/A</v>
      </c>
      <c r="S93" s="46" t="e">
        <f t="shared" si="17"/>
        <v>#N/A</v>
      </c>
      <c r="T93" s="50" t="e">
        <f t="shared" si="18"/>
        <v>#N/A</v>
      </c>
      <c r="U93" s="46" t="e">
        <f t="shared" si="19"/>
        <v>#N/A</v>
      </c>
      <c r="V93" s="50" t="e">
        <f t="shared" si="20"/>
        <v>#N/A</v>
      </c>
      <c r="W93" s="46" t="e">
        <f t="shared" si="21"/>
        <v>#N/A</v>
      </c>
      <c r="X93" s="50" t="e">
        <f t="shared" si="22"/>
        <v>#N/A</v>
      </c>
      <c r="Y93" s="46" t="e">
        <f t="shared" si="23"/>
        <v>#N/A</v>
      </c>
      <c r="Z93" s="50" t="e">
        <f t="shared" si="24"/>
        <v>#N/A</v>
      </c>
      <c r="AA93" s="13"/>
      <c r="AB93" s="15" t="e">
        <f t="shared" si="26"/>
        <v>#N/A</v>
      </c>
      <c r="AC93" s="15" t="e">
        <f t="shared" si="27"/>
        <v>#N/A</v>
      </c>
      <c r="AD93" s="9" t="e">
        <f>ROUND(IF(A93="","",IF(AC93="  ",AB93-Date!$B$3,AB93-AC93)),0)</f>
        <v>#N/A</v>
      </c>
      <c r="AE93" s="12"/>
    </row>
    <row r="94" spans="1:31" ht="23.25" x14ac:dyDescent="0.25">
      <c r="A94" s="9" t="s">
        <v>225</v>
      </c>
      <c r="B94" s="8" t="e">
        <f t="shared" si="25"/>
        <v>#N/A</v>
      </c>
      <c r="C94" s="13"/>
      <c r="D94" s="46" t="e">
        <f t="shared" si="3"/>
        <v>#N/A</v>
      </c>
      <c r="E94" s="50" t="e">
        <f t="shared" si="4"/>
        <v>#N/A</v>
      </c>
      <c r="F94" s="46" t="e">
        <f t="shared" si="5"/>
        <v>#N/A</v>
      </c>
      <c r="G94" s="50" t="e">
        <f t="shared" si="6"/>
        <v>#N/A</v>
      </c>
      <c r="H94" s="46" t="e">
        <f t="shared" si="7"/>
        <v>#N/A</v>
      </c>
      <c r="I94" s="50" t="e">
        <f t="shared" si="8"/>
        <v>#N/A</v>
      </c>
      <c r="J94" s="13"/>
      <c r="K94" s="46" t="e">
        <f t="shared" si="9"/>
        <v>#N/A</v>
      </c>
      <c r="L94" s="50" t="e">
        <f t="shared" si="10"/>
        <v>#N/A</v>
      </c>
      <c r="M94" s="46" t="e">
        <f t="shared" si="11"/>
        <v>#N/A</v>
      </c>
      <c r="N94" s="50" t="e">
        <f t="shared" si="12"/>
        <v>#N/A</v>
      </c>
      <c r="O94" s="46" t="e">
        <f t="shared" si="13"/>
        <v>#N/A</v>
      </c>
      <c r="P94" s="50" t="e">
        <f t="shared" si="14"/>
        <v>#N/A</v>
      </c>
      <c r="Q94" s="46" t="e">
        <f t="shared" si="15"/>
        <v>#N/A</v>
      </c>
      <c r="R94" s="50" t="e">
        <f t="shared" si="16"/>
        <v>#N/A</v>
      </c>
      <c r="S94" s="46" t="e">
        <f t="shared" si="17"/>
        <v>#N/A</v>
      </c>
      <c r="T94" s="50" t="e">
        <f t="shared" si="18"/>
        <v>#N/A</v>
      </c>
      <c r="U94" s="46" t="e">
        <f t="shared" si="19"/>
        <v>#N/A</v>
      </c>
      <c r="V94" s="50" t="e">
        <f t="shared" si="20"/>
        <v>#N/A</v>
      </c>
      <c r="W94" s="46" t="e">
        <f t="shared" si="21"/>
        <v>#N/A</v>
      </c>
      <c r="X94" s="50" t="e">
        <f t="shared" si="22"/>
        <v>#N/A</v>
      </c>
      <c r="Y94" s="46" t="e">
        <f t="shared" si="23"/>
        <v>#N/A</v>
      </c>
      <c r="Z94" s="50" t="e">
        <f t="shared" si="24"/>
        <v>#N/A</v>
      </c>
      <c r="AA94" s="13"/>
      <c r="AB94" s="15" t="e">
        <f t="shared" si="26"/>
        <v>#N/A</v>
      </c>
      <c r="AC94" s="15" t="e">
        <f t="shared" si="27"/>
        <v>#N/A</v>
      </c>
      <c r="AD94" s="9" t="e">
        <f>ROUND(IF(A94="","",IF(AC94="  ",AB94-Date!$B$3,AB94-AC94)),0)</f>
        <v>#N/A</v>
      </c>
      <c r="AE94" s="12"/>
    </row>
    <row r="95" spans="1:31" ht="23.25" x14ac:dyDescent="0.25">
      <c r="A95" s="9" t="s">
        <v>226</v>
      </c>
      <c r="B95" s="8" t="e">
        <f t="shared" si="25"/>
        <v>#N/A</v>
      </c>
      <c r="C95" s="13"/>
      <c r="D95" s="46" t="e">
        <f t="shared" si="3"/>
        <v>#N/A</v>
      </c>
      <c r="E95" s="50" t="e">
        <f t="shared" si="4"/>
        <v>#N/A</v>
      </c>
      <c r="F95" s="46" t="e">
        <f t="shared" si="5"/>
        <v>#N/A</v>
      </c>
      <c r="G95" s="50" t="e">
        <f t="shared" si="6"/>
        <v>#N/A</v>
      </c>
      <c r="H95" s="46" t="e">
        <f t="shared" si="7"/>
        <v>#N/A</v>
      </c>
      <c r="I95" s="50" t="e">
        <f t="shared" si="8"/>
        <v>#N/A</v>
      </c>
      <c r="J95" s="13"/>
      <c r="K95" s="46" t="e">
        <f t="shared" si="9"/>
        <v>#N/A</v>
      </c>
      <c r="L95" s="50" t="e">
        <f t="shared" si="10"/>
        <v>#N/A</v>
      </c>
      <c r="M95" s="46" t="e">
        <f t="shared" si="11"/>
        <v>#N/A</v>
      </c>
      <c r="N95" s="50" t="e">
        <f t="shared" si="12"/>
        <v>#N/A</v>
      </c>
      <c r="O95" s="46" t="e">
        <f t="shared" si="13"/>
        <v>#N/A</v>
      </c>
      <c r="P95" s="50" t="e">
        <f t="shared" si="14"/>
        <v>#N/A</v>
      </c>
      <c r="Q95" s="46" t="e">
        <f t="shared" si="15"/>
        <v>#N/A</v>
      </c>
      <c r="R95" s="50" t="e">
        <f t="shared" si="16"/>
        <v>#N/A</v>
      </c>
      <c r="S95" s="46" t="e">
        <f t="shared" si="17"/>
        <v>#N/A</v>
      </c>
      <c r="T95" s="50" t="e">
        <f t="shared" si="18"/>
        <v>#N/A</v>
      </c>
      <c r="U95" s="46" t="e">
        <f t="shared" si="19"/>
        <v>#N/A</v>
      </c>
      <c r="V95" s="50" t="e">
        <f t="shared" si="20"/>
        <v>#N/A</v>
      </c>
      <c r="W95" s="46" t="e">
        <f t="shared" si="21"/>
        <v>#N/A</v>
      </c>
      <c r="X95" s="50" t="e">
        <f t="shared" si="22"/>
        <v>#N/A</v>
      </c>
      <c r="Y95" s="46" t="e">
        <f t="shared" si="23"/>
        <v>#N/A</v>
      </c>
      <c r="Z95" s="50" t="e">
        <f t="shared" si="24"/>
        <v>#N/A</v>
      </c>
      <c r="AA95" s="13"/>
      <c r="AB95" s="15" t="e">
        <f t="shared" si="26"/>
        <v>#N/A</v>
      </c>
      <c r="AC95" s="15" t="e">
        <f t="shared" si="27"/>
        <v>#N/A</v>
      </c>
      <c r="AD95" s="9" t="e">
        <f>ROUND(IF(A95="","",IF(AC95="  ",AB95-Date!$B$3,AB95-AC95)),0)</f>
        <v>#N/A</v>
      </c>
      <c r="AE95" s="12"/>
    </row>
    <row r="96" spans="1:31" ht="23.25" x14ac:dyDescent="0.25">
      <c r="A96" s="9" t="s">
        <v>227</v>
      </c>
      <c r="B96" s="8" t="e">
        <f t="shared" si="25"/>
        <v>#N/A</v>
      </c>
      <c r="C96" s="13"/>
      <c r="D96" s="46" t="e">
        <f t="shared" si="3"/>
        <v>#N/A</v>
      </c>
      <c r="E96" s="50" t="e">
        <f t="shared" si="4"/>
        <v>#N/A</v>
      </c>
      <c r="F96" s="46" t="e">
        <f t="shared" si="5"/>
        <v>#N/A</v>
      </c>
      <c r="G96" s="50" t="e">
        <f t="shared" si="6"/>
        <v>#N/A</v>
      </c>
      <c r="H96" s="46" t="e">
        <f t="shared" si="7"/>
        <v>#N/A</v>
      </c>
      <c r="I96" s="50" t="e">
        <f t="shared" si="8"/>
        <v>#N/A</v>
      </c>
      <c r="J96" s="13"/>
      <c r="K96" s="46" t="e">
        <f t="shared" si="9"/>
        <v>#N/A</v>
      </c>
      <c r="L96" s="50" t="e">
        <f t="shared" si="10"/>
        <v>#N/A</v>
      </c>
      <c r="M96" s="46" t="e">
        <f t="shared" si="11"/>
        <v>#N/A</v>
      </c>
      <c r="N96" s="50" t="e">
        <f t="shared" si="12"/>
        <v>#N/A</v>
      </c>
      <c r="O96" s="46" t="e">
        <f t="shared" si="13"/>
        <v>#N/A</v>
      </c>
      <c r="P96" s="50" t="e">
        <f t="shared" si="14"/>
        <v>#N/A</v>
      </c>
      <c r="Q96" s="46" t="e">
        <f t="shared" si="15"/>
        <v>#N/A</v>
      </c>
      <c r="R96" s="50" t="e">
        <f t="shared" si="16"/>
        <v>#N/A</v>
      </c>
      <c r="S96" s="46" t="e">
        <f t="shared" si="17"/>
        <v>#N/A</v>
      </c>
      <c r="T96" s="50" t="e">
        <f t="shared" si="18"/>
        <v>#N/A</v>
      </c>
      <c r="U96" s="46" t="e">
        <f t="shared" si="19"/>
        <v>#N/A</v>
      </c>
      <c r="V96" s="50" t="e">
        <f t="shared" si="20"/>
        <v>#N/A</v>
      </c>
      <c r="W96" s="46" t="e">
        <f t="shared" si="21"/>
        <v>#N/A</v>
      </c>
      <c r="X96" s="50" t="e">
        <f t="shared" si="22"/>
        <v>#N/A</v>
      </c>
      <c r="Y96" s="46" t="e">
        <f t="shared" si="23"/>
        <v>#N/A</v>
      </c>
      <c r="Z96" s="50" t="e">
        <f t="shared" si="24"/>
        <v>#N/A</v>
      </c>
      <c r="AA96" s="13"/>
      <c r="AB96" s="15" t="e">
        <f t="shared" si="26"/>
        <v>#N/A</v>
      </c>
      <c r="AC96" s="15" t="e">
        <f t="shared" si="27"/>
        <v>#N/A</v>
      </c>
      <c r="AD96" s="9" t="e">
        <f>ROUND(IF(A96="","",IF(AC96="  ",AB96-Date!$B$3,AB96-AC96)),0)</f>
        <v>#N/A</v>
      </c>
      <c r="AE96" s="12"/>
    </row>
    <row r="97" spans="1:31" ht="23.25" x14ac:dyDescent="0.25">
      <c r="A97" s="9" t="s">
        <v>228</v>
      </c>
      <c r="B97" s="8" t="e">
        <f t="shared" si="25"/>
        <v>#N/A</v>
      </c>
      <c r="C97" s="13"/>
      <c r="D97" s="46" t="e">
        <f t="shared" si="3"/>
        <v>#N/A</v>
      </c>
      <c r="E97" s="50" t="e">
        <f t="shared" si="4"/>
        <v>#N/A</v>
      </c>
      <c r="F97" s="46" t="e">
        <f t="shared" si="5"/>
        <v>#N/A</v>
      </c>
      <c r="G97" s="50" t="e">
        <f t="shared" si="6"/>
        <v>#N/A</v>
      </c>
      <c r="H97" s="46" t="e">
        <f t="shared" si="7"/>
        <v>#N/A</v>
      </c>
      <c r="I97" s="50" t="e">
        <f t="shared" si="8"/>
        <v>#N/A</v>
      </c>
      <c r="J97" s="13"/>
      <c r="K97" s="46" t="e">
        <f t="shared" si="9"/>
        <v>#N/A</v>
      </c>
      <c r="L97" s="50" t="e">
        <f t="shared" si="10"/>
        <v>#N/A</v>
      </c>
      <c r="M97" s="46" t="e">
        <f t="shared" si="11"/>
        <v>#N/A</v>
      </c>
      <c r="N97" s="50" t="e">
        <f t="shared" si="12"/>
        <v>#N/A</v>
      </c>
      <c r="O97" s="46" t="e">
        <f t="shared" si="13"/>
        <v>#N/A</v>
      </c>
      <c r="P97" s="50" t="e">
        <f t="shared" si="14"/>
        <v>#N/A</v>
      </c>
      <c r="Q97" s="46" t="e">
        <f t="shared" si="15"/>
        <v>#N/A</v>
      </c>
      <c r="R97" s="50" t="e">
        <f t="shared" si="16"/>
        <v>#N/A</v>
      </c>
      <c r="S97" s="46" t="e">
        <f t="shared" si="17"/>
        <v>#N/A</v>
      </c>
      <c r="T97" s="50" t="e">
        <f t="shared" si="18"/>
        <v>#N/A</v>
      </c>
      <c r="U97" s="46" t="e">
        <f t="shared" si="19"/>
        <v>#N/A</v>
      </c>
      <c r="V97" s="50" t="e">
        <f t="shared" si="20"/>
        <v>#N/A</v>
      </c>
      <c r="W97" s="46" t="e">
        <f t="shared" si="21"/>
        <v>#N/A</v>
      </c>
      <c r="X97" s="50" t="e">
        <f t="shared" si="22"/>
        <v>#N/A</v>
      </c>
      <c r="Y97" s="46" t="e">
        <f t="shared" si="23"/>
        <v>#N/A</v>
      </c>
      <c r="Z97" s="50" t="e">
        <f t="shared" si="24"/>
        <v>#N/A</v>
      </c>
      <c r="AA97" s="13"/>
      <c r="AB97" s="15" t="e">
        <f t="shared" si="26"/>
        <v>#N/A</v>
      </c>
      <c r="AC97" s="15" t="e">
        <f t="shared" si="27"/>
        <v>#N/A</v>
      </c>
      <c r="AD97" s="9" t="e">
        <f>ROUND(IF(A97="","",IF(AC97="  ",AB97-Date!$B$3,AB97-AC97)),0)</f>
        <v>#N/A</v>
      </c>
      <c r="AE97" s="12"/>
    </row>
    <row r="98" spans="1:31" ht="23.25" x14ac:dyDescent="0.25">
      <c r="A98" s="9" t="s">
        <v>229</v>
      </c>
      <c r="B98" s="8" t="e">
        <f t="shared" si="25"/>
        <v>#N/A</v>
      </c>
      <c r="C98" s="13"/>
      <c r="D98" s="46" t="e">
        <f t="shared" si="3"/>
        <v>#N/A</v>
      </c>
      <c r="E98" s="50" t="e">
        <f t="shared" si="4"/>
        <v>#N/A</v>
      </c>
      <c r="F98" s="46" t="e">
        <f t="shared" si="5"/>
        <v>#N/A</v>
      </c>
      <c r="G98" s="50" t="e">
        <f t="shared" si="6"/>
        <v>#N/A</v>
      </c>
      <c r="H98" s="46" t="e">
        <f t="shared" si="7"/>
        <v>#N/A</v>
      </c>
      <c r="I98" s="50" t="e">
        <f t="shared" si="8"/>
        <v>#N/A</v>
      </c>
      <c r="J98" s="13"/>
      <c r="K98" s="46" t="e">
        <f t="shared" si="9"/>
        <v>#N/A</v>
      </c>
      <c r="L98" s="50" t="e">
        <f t="shared" si="10"/>
        <v>#N/A</v>
      </c>
      <c r="M98" s="46" t="e">
        <f t="shared" si="11"/>
        <v>#N/A</v>
      </c>
      <c r="N98" s="50" t="e">
        <f t="shared" si="12"/>
        <v>#N/A</v>
      </c>
      <c r="O98" s="46" t="e">
        <f t="shared" si="13"/>
        <v>#N/A</v>
      </c>
      <c r="P98" s="50" t="e">
        <f t="shared" si="14"/>
        <v>#N/A</v>
      </c>
      <c r="Q98" s="46" t="e">
        <f t="shared" si="15"/>
        <v>#N/A</v>
      </c>
      <c r="R98" s="50" t="e">
        <f t="shared" si="16"/>
        <v>#N/A</v>
      </c>
      <c r="S98" s="46" t="e">
        <f t="shared" si="17"/>
        <v>#N/A</v>
      </c>
      <c r="T98" s="50" t="e">
        <f t="shared" si="18"/>
        <v>#N/A</v>
      </c>
      <c r="U98" s="46" t="e">
        <f t="shared" si="19"/>
        <v>#N/A</v>
      </c>
      <c r="V98" s="50" t="e">
        <f t="shared" si="20"/>
        <v>#N/A</v>
      </c>
      <c r="W98" s="46" t="e">
        <f t="shared" si="21"/>
        <v>#N/A</v>
      </c>
      <c r="X98" s="50" t="e">
        <f t="shared" si="22"/>
        <v>#N/A</v>
      </c>
      <c r="Y98" s="46" t="e">
        <f t="shared" si="23"/>
        <v>#N/A</v>
      </c>
      <c r="Z98" s="50" t="e">
        <f t="shared" si="24"/>
        <v>#N/A</v>
      </c>
      <c r="AA98" s="13"/>
      <c r="AB98" s="15" t="e">
        <f t="shared" si="26"/>
        <v>#N/A</v>
      </c>
      <c r="AC98" s="15" t="e">
        <f t="shared" si="27"/>
        <v>#N/A</v>
      </c>
      <c r="AD98" s="9" t="e">
        <f>ROUND(IF(A98="","",IF(AC98="  ",AB98-Date!$B$3,AB98-AC98)),0)</f>
        <v>#N/A</v>
      </c>
      <c r="AE98" s="12"/>
    </row>
    <row r="99" spans="1:31" ht="23.25" x14ac:dyDescent="0.25">
      <c r="A99" s="9" t="s">
        <v>230</v>
      </c>
      <c r="B99" s="8" t="e">
        <f t="shared" si="25"/>
        <v>#N/A</v>
      </c>
      <c r="C99" s="13"/>
      <c r="D99" s="46" t="e">
        <f t="shared" si="3"/>
        <v>#N/A</v>
      </c>
      <c r="E99" s="50" t="e">
        <f t="shared" si="4"/>
        <v>#N/A</v>
      </c>
      <c r="F99" s="46" t="e">
        <f t="shared" si="5"/>
        <v>#N/A</v>
      </c>
      <c r="G99" s="50" t="e">
        <f t="shared" si="6"/>
        <v>#N/A</v>
      </c>
      <c r="H99" s="46" t="e">
        <f t="shared" si="7"/>
        <v>#N/A</v>
      </c>
      <c r="I99" s="50" t="e">
        <f t="shared" si="8"/>
        <v>#N/A</v>
      </c>
      <c r="J99" s="13"/>
      <c r="K99" s="46" t="e">
        <f t="shared" si="9"/>
        <v>#N/A</v>
      </c>
      <c r="L99" s="50" t="e">
        <f t="shared" si="10"/>
        <v>#N/A</v>
      </c>
      <c r="M99" s="46" t="e">
        <f t="shared" si="11"/>
        <v>#N/A</v>
      </c>
      <c r="N99" s="50" t="e">
        <f t="shared" si="12"/>
        <v>#N/A</v>
      </c>
      <c r="O99" s="46" t="e">
        <f t="shared" si="13"/>
        <v>#N/A</v>
      </c>
      <c r="P99" s="50" t="e">
        <f t="shared" si="14"/>
        <v>#N/A</v>
      </c>
      <c r="Q99" s="46" t="e">
        <f t="shared" si="15"/>
        <v>#N/A</v>
      </c>
      <c r="R99" s="50" t="e">
        <f t="shared" si="16"/>
        <v>#N/A</v>
      </c>
      <c r="S99" s="46" t="e">
        <f t="shared" si="17"/>
        <v>#N/A</v>
      </c>
      <c r="T99" s="50" t="e">
        <f t="shared" si="18"/>
        <v>#N/A</v>
      </c>
      <c r="U99" s="46" t="e">
        <f t="shared" si="19"/>
        <v>#N/A</v>
      </c>
      <c r="V99" s="50" t="e">
        <f t="shared" si="20"/>
        <v>#N/A</v>
      </c>
      <c r="W99" s="46" t="e">
        <f t="shared" si="21"/>
        <v>#N/A</v>
      </c>
      <c r="X99" s="50" t="e">
        <f t="shared" si="22"/>
        <v>#N/A</v>
      </c>
      <c r="Y99" s="46" t="e">
        <f t="shared" si="23"/>
        <v>#N/A</v>
      </c>
      <c r="Z99" s="50" t="e">
        <f t="shared" si="24"/>
        <v>#N/A</v>
      </c>
      <c r="AA99" s="13"/>
      <c r="AB99" s="15" t="e">
        <f t="shared" si="26"/>
        <v>#N/A</v>
      </c>
      <c r="AC99" s="15" t="e">
        <f t="shared" si="27"/>
        <v>#N/A</v>
      </c>
      <c r="AD99" s="9" t="e">
        <f>ROUND(IF(A99="","",IF(AC99="  ",AB99-Date!$B$3,AB99-AC99)),0)</f>
        <v>#N/A</v>
      </c>
      <c r="AE99" s="12"/>
    </row>
    <row r="100" spans="1:31" ht="23.25" x14ac:dyDescent="0.25">
      <c r="A100" s="9" t="s">
        <v>231</v>
      </c>
      <c r="B100" s="8" t="e">
        <f t="shared" si="25"/>
        <v>#N/A</v>
      </c>
      <c r="C100" s="13"/>
      <c r="D100" s="46" t="e">
        <f t="shared" si="3"/>
        <v>#N/A</v>
      </c>
      <c r="E100" s="50" t="e">
        <f t="shared" si="4"/>
        <v>#N/A</v>
      </c>
      <c r="F100" s="46" t="e">
        <f t="shared" si="5"/>
        <v>#N/A</v>
      </c>
      <c r="G100" s="50" t="e">
        <f t="shared" si="6"/>
        <v>#N/A</v>
      </c>
      <c r="H100" s="46" t="e">
        <f t="shared" si="7"/>
        <v>#N/A</v>
      </c>
      <c r="I100" s="50" t="e">
        <f t="shared" si="8"/>
        <v>#N/A</v>
      </c>
      <c r="J100" s="13"/>
      <c r="K100" s="46" t="e">
        <f t="shared" si="9"/>
        <v>#N/A</v>
      </c>
      <c r="L100" s="50" t="e">
        <f t="shared" si="10"/>
        <v>#N/A</v>
      </c>
      <c r="M100" s="46" t="e">
        <f t="shared" si="11"/>
        <v>#N/A</v>
      </c>
      <c r="N100" s="50" t="e">
        <f t="shared" si="12"/>
        <v>#N/A</v>
      </c>
      <c r="O100" s="46" t="e">
        <f t="shared" si="13"/>
        <v>#N/A</v>
      </c>
      <c r="P100" s="50" t="e">
        <f t="shared" si="14"/>
        <v>#N/A</v>
      </c>
      <c r="Q100" s="46" t="e">
        <f t="shared" si="15"/>
        <v>#N/A</v>
      </c>
      <c r="R100" s="50" t="e">
        <f t="shared" si="16"/>
        <v>#N/A</v>
      </c>
      <c r="S100" s="46" t="e">
        <f t="shared" si="17"/>
        <v>#N/A</v>
      </c>
      <c r="T100" s="50" t="e">
        <f t="shared" si="18"/>
        <v>#N/A</v>
      </c>
      <c r="U100" s="46" t="e">
        <f t="shared" si="19"/>
        <v>#N/A</v>
      </c>
      <c r="V100" s="50" t="e">
        <f t="shared" si="20"/>
        <v>#N/A</v>
      </c>
      <c r="W100" s="46" t="e">
        <f t="shared" si="21"/>
        <v>#N/A</v>
      </c>
      <c r="X100" s="50" t="e">
        <f t="shared" si="22"/>
        <v>#N/A</v>
      </c>
      <c r="Y100" s="46" t="e">
        <f t="shared" si="23"/>
        <v>#N/A</v>
      </c>
      <c r="Z100" s="50" t="e">
        <f t="shared" si="24"/>
        <v>#N/A</v>
      </c>
      <c r="AA100" s="13"/>
      <c r="AB100" s="15" t="e">
        <f t="shared" si="26"/>
        <v>#N/A</v>
      </c>
      <c r="AC100" s="15" t="e">
        <f t="shared" si="27"/>
        <v>#N/A</v>
      </c>
      <c r="AD100" s="9" t="e">
        <f>ROUND(IF(A100="","",IF(AC100="  ",AB100-Date!$B$3,AB100-AC100)),0)</f>
        <v>#N/A</v>
      </c>
      <c r="AE100" s="12"/>
    </row>
    <row r="101" spans="1:31" ht="23.25" x14ac:dyDescent="0.25">
      <c r="A101" s="9" t="s">
        <v>232</v>
      </c>
      <c r="B101" s="8" t="e">
        <f t="shared" si="25"/>
        <v>#N/A</v>
      </c>
      <c r="C101" s="13"/>
      <c r="D101" s="46" t="e">
        <f t="shared" si="3"/>
        <v>#N/A</v>
      </c>
      <c r="E101" s="50" t="e">
        <f t="shared" si="4"/>
        <v>#N/A</v>
      </c>
      <c r="F101" s="46" t="e">
        <f t="shared" si="5"/>
        <v>#N/A</v>
      </c>
      <c r="G101" s="50" t="e">
        <f t="shared" si="6"/>
        <v>#N/A</v>
      </c>
      <c r="H101" s="46" t="e">
        <f t="shared" si="7"/>
        <v>#N/A</v>
      </c>
      <c r="I101" s="50" t="e">
        <f t="shared" si="8"/>
        <v>#N/A</v>
      </c>
      <c r="J101" s="13"/>
      <c r="K101" s="46" t="e">
        <f t="shared" si="9"/>
        <v>#N/A</v>
      </c>
      <c r="L101" s="50" t="e">
        <f t="shared" si="10"/>
        <v>#N/A</v>
      </c>
      <c r="M101" s="46" t="e">
        <f t="shared" si="11"/>
        <v>#N/A</v>
      </c>
      <c r="N101" s="50" t="e">
        <f t="shared" si="12"/>
        <v>#N/A</v>
      </c>
      <c r="O101" s="46" t="e">
        <f t="shared" si="13"/>
        <v>#N/A</v>
      </c>
      <c r="P101" s="50" t="e">
        <f t="shared" si="14"/>
        <v>#N/A</v>
      </c>
      <c r="Q101" s="46" t="e">
        <f t="shared" si="15"/>
        <v>#N/A</v>
      </c>
      <c r="R101" s="50" t="e">
        <f t="shared" si="16"/>
        <v>#N/A</v>
      </c>
      <c r="S101" s="46" t="e">
        <f t="shared" si="17"/>
        <v>#N/A</v>
      </c>
      <c r="T101" s="50" t="e">
        <f t="shared" si="18"/>
        <v>#N/A</v>
      </c>
      <c r="U101" s="46" t="e">
        <f t="shared" si="19"/>
        <v>#N/A</v>
      </c>
      <c r="V101" s="50" t="e">
        <f t="shared" si="20"/>
        <v>#N/A</v>
      </c>
      <c r="W101" s="46" t="e">
        <f t="shared" si="21"/>
        <v>#N/A</v>
      </c>
      <c r="X101" s="50" t="e">
        <f t="shared" si="22"/>
        <v>#N/A</v>
      </c>
      <c r="Y101" s="46" t="e">
        <f t="shared" si="23"/>
        <v>#N/A</v>
      </c>
      <c r="Z101" s="50" t="e">
        <f t="shared" si="24"/>
        <v>#N/A</v>
      </c>
      <c r="AA101" s="13"/>
      <c r="AB101" s="15" t="e">
        <f t="shared" si="26"/>
        <v>#N/A</v>
      </c>
      <c r="AC101" s="15" t="e">
        <f t="shared" si="27"/>
        <v>#N/A</v>
      </c>
      <c r="AD101" s="9" t="e">
        <f>ROUND(IF(A101="","",IF(AC101="  ",AB101-Date!$B$3,AB101-AC101)),0)</f>
        <v>#N/A</v>
      </c>
      <c r="AE101" s="12"/>
    </row>
  </sheetData>
  <mergeCells count="15">
    <mergeCell ref="A1:AE1"/>
    <mergeCell ref="D3:I3"/>
    <mergeCell ref="K3:Z3"/>
    <mergeCell ref="AB3:AE3"/>
    <mergeCell ref="D5:E5"/>
    <mergeCell ref="F5:G5"/>
    <mergeCell ref="H5:I5"/>
    <mergeCell ref="K5:L5"/>
    <mergeCell ref="M5:N5"/>
    <mergeCell ref="O5:P5"/>
    <mergeCell ref="Q5:R5"/>
    <mergeCell ref="S5:T5"/>
    <mergeCell ref="U5:V5"/>
    <mergeCell ref="W5:X5"/>
    <mergeCell ref="Y5:Z5"/>
  </mergeCells>
  <conditionalFormatting sqref="D6:D101 F10:F101 H10:H101">
    <cfRule type="expression" dxfId="17" priority="14">
      <formula>$E6&gt;0</formula>
    </cfRule>
  </conditionalFormatting>
  <conditionalFormatting sqref="F6:F101 H10:H101">
    <cfRule type="expression" dxfId="16" priority="13">
      <formula>$G6&gt;0</formula>
    </cfRule>
  </conditionalFormatting>
  <conditionalFormatting sqref="H6:H101">
    <cfRule type="expression" dxfId="15" priority="12">
      <formula>$I6&gt;0</formula>
    </cfRule>
  </conditionalFormatting>
  <conditionalFormatting sqref="K6:K101">
    <cfRule type="expression" dxfId="14" priority="11">
      <formula>$L6&gt;0</formula>
    </cfRule>
  </conditionalFormatting>
  <conditionalFormatting sqref="M6:M101">
    <cfRule type="expression" dxfId="13" priority="10">
      <formula>$N6&gt;0</formula>
    </cfRule>
  </conditionalFormatting>
  <conditionalFormatting sqref="O6:O101">
    <cfRule type="expression" dxfId="12" priority="9">
      <formula>$P6&gt;0</formula>
    </cfRule>
  </conditionalFormatting>
  <conditionalFormatting sqref="Q6:Q101">
    <cfRule type="expression" dxfId="11" priority="8">
      <formula>$R6&gt;0</formula>
    </cfRule>
  </conditionalFormatting>
  <conditionalFormatting sqref="S6:S101">
    <cfRule type="expression" dxfId="10" priority="7">
      <formula>$T6&gt;0</formula>
    </cfRule>
  </conditionalFormatting>
  <conditionalFormatting sqref="U6:U101">
    <cfRule type="expression" dxfId="9" priority="6">
      <formula>$V6&gt;0</formula>
    </cfRule>
  </conditionalFormatting>
  <conditionalFormatting sqref="W6:W101">
    <cfRule type="expression" dxfId="8" priority="5">
      <formula>$X6&gt;0</formula>
    </cfRule>
  </conditionalFormatting>
  <conditionalFormatting sqref="Y6:Y101">
    <cfRule type="expression" dxfId="7" priority="4">
      <formula>ZI6&gt;0</formula>
    </cfRule>
  </conditionalFormatting>
  <conditionalFormatting sqref="AE6:AE9">
    <cfRule type="expression" dxfId="6" priority="218">
      <formula>AND(#REF!&lt;2,#REF!&gt;-2)</formula>
    </cfRule>
  </conditionalFormatting>
  <conditionalFormatting sqref="AE6:AE101">
    <cfRule type="expression" dxfId="5" priority="1">
      <formula>#REF!&lt;-2</formula>
    </cfRule>
    <cfRule type="expression" dxfId="4" priority="3">
      <formula>#REF!&gt;1</formula>
    </cfRule>
    <cfRule type="expression" dxfId="3" priority="15">
      <formula>$AD6&lt;-2</formula>
    </cfRule>
    <cfRule type="expression" dxfId="2" priority="16">
      <formula>AND($AD6&lt;2,$AD6&gt;-2)</formula>
    </cfRule>
    <cfRule type="expression" dxfId="1" priority="17">
      <formula>$AD6&gt;1</formula>
    </cfRule>
  </conditionalFormatting>
  <conditionalFormatting sqref="AE10:AE101">
    <cfRule type="expression" dxfId="0" priority="2">
      <formula>AND(#REF!&lt;2,#REF!&gt;-2)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3"/>
  <sheetViews>
    <sheetView workbookViewId="0">
      <selection activeCell="F14" sqref="F14"/>
    </sheetView>
  </sheetViews>
  <sheetFormatPr defaultRowHeight="15" x14ac:dyDescent="0.25"/>
  <cols>
    <col min="2" max="2" width="10.7109375" bestFit="1" customWidth="1"/>
  </cols>
  <sheetData>
    <row r="3" spans="1:6" x14ac:dyDescent="0.25">
      <c r="A3" t="s">
        <v>13</v>
      </c>
      <c r="B3" s="11">
        <f ca="1">TODAY()</f>
        <v>46073</v>
      </c>
    </row>
    <row r="11" spans="1:6" x14ac:dyDescent="0.25">
      <c r="E11" t="s">
        <v>30</v>
      </c>
      <c r="F11" t="s">
        <v>76</v>
      </c>
    </row>
    <row r="12" spans="1:6" x14ac:dyDescent="0.25">
      <c r="E12" t="s">
        <v>77</v>
      </c>
      <c r="F12" t="s">
        <v>78</v>
      </c>
    </row>
    <row r="13" spans="1:6" x14ac:dyDescent="0.25">
      <c r="E13" t="s">
        <v>382</v>
      </c>
      <c r="F13" s="106" t="s">
        <v>383</v>
      </c>
    </row>
  </sheetData>
  <phoneticPr fontId="1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33"/>
  <sheetViews>
    <sheetView workbookViewId="0">
      <pane xSplit="3" ySplit="4" topLeftCell="J41" activePane="bottomRight" state="frozen"/>
      <selection pane="topRight" activeCell="D1" sqref="D1"/>
      <selection pane="bottomLeft" activeCell="A4" sqref="A4"/>
      <selection pane="bottomRight" activeCell="Z82" sqref="Z82"/>
    </sheetView>
  </sheetViews>
  <sheetFormatPr defaultRowHeight="15" x14ac:dyDescent="0.25"/>
  <cols>
    <col min="1" max="2" width="12.28515625" customWidth="1"/>
    <col min="3" max="7" width="9.28515625" bestFit="1" customWidth="1"/>
    <col min="8" max="8" width="12" customWidth="1"/>
    <col min="9" max="9" width="10.85546875" bestFit="1" customWidth="1"/>
    <col min="10" max="11" width="10.85546875" customWidth="1"/>
    <col min="12" max="12" width="10.28515625" customWidth="1"/>
    <col min="13" max="13" width="10.5703125" customWidth="1"/>
    <col min="14" max="14" width="10.28515625" customWidth="1"/>
    <col min="15" max="15" width="10.5703125" customWidth="1"/>
    <col min="16" max="17" width="10.42578125" bestFit="1" customWidth="1"/>
    <col min="18" max="18" width="2.7109375" customWidth="1"/>
    <col min="19" max="20" width="10.42578125" bestFit="1" customWidth="1"/>
    <col min="21" max="21" width="11" customWidth="1"/>
    <col min="22" max="22" width="11" style="113" customWidth="1"/>
    <col min="23" max="23" width="11" customWidth="1"/>
    <col min="24" max="24" width="10.85546875" customWidth="1"/>
    <col min="25" max="25" width="11.85546875" bestFit="1" customWidth="1"/>
    <col min="26" max="26" width="10.85546875" customWidth="1"/>
    <col min="27" max="27" width="10.42578125" customWidth="1"/>
    <col min="28" max="28" width="10.28515625" customWidth="1"/>
    <col min="29" max="30" width="10.42578125" customWidth="1"/>
    <col min="31" max="31" width="10.140625" customWidth="1"/>
    <col min="32" max="32" width="10.7109375" customWidth="1"/>
  </cols>
  <sheetData>
    <row r="1" spans="1:32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 s="116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</row>
    <row r="2" spans="1:32" x14ac:dyDescent="0.25">
      <c r="C2" t="s">
        <v>30</v>
      </c>
      <c r="D2" s="131" t="s">
        <v>41</v>
      </c>
      <c r="E2" s="131"/>
      <c r="F2" s="131"/>
      <c r="G2" s="131"/>
      <c r="H2" t="s">
        <v>45</v>
      </c>
      <c r="I2" s="22">
        <v>14</v>
      </c>
      <c r="J2" s="22">
        <v>7</v>
      </c>
      <c r="K2" s="22">
        <v>7</v>
      </c>
      <c r="L2" s="22">
        <v>7</v>
      </c>
      <c r="M2" s="22">
        <v>7</v>
      </c>
      <c r="N2" s="22">
        <v>7</v>
      </c>
      <c r="O2" s="22">
        <v>7</v>
      </c>
      <c r="P2">
        <v>14</v>
      </c>
      <c r="Q2">
        <v>14</v>
      </c>
      <c r="S2">
        <v>2</v>
      </c>
      <c r="T2">
        <v>1</v>
      </c>
      <c r="U2">
        <v>7</v>
      </c>
      <c r="X2">
        <v>14</v>
      </c>
      <c r="Y2">
        <v>21</v>
      </c>
      <c r="Z2">
        <v>21</v>
      </c>
      <c r="AA2">
        <v>21</v>
      </c>
      <c r="AB2">
        <v>14</v>
      </c>
      <c r="AC2">
        <v>1</v>
      </c>
      <c r="AD2">
        <v>7</v>
      </c>
      <c r="AE2">
        <v>2</v>
      </c>
    </row>
    <row r="3" spans="1:32" s="24" customFormat="1" ht="12" x14ac:dyDescent="0.2">
      <c r="D3" s="25"/>
      <c r="E3" s="25"/>
      <c r="F3" s="25"/>
      <c r="G3" s="25"/>
      <c r="H3" s="24" t="s">
        <v>49</v>
      </c>
      <c r="I3" s="26" t="s">
        <v>50</v>
      </c>
      <c r="J3" s="26" t="s">
        <v>42</v>
      </c>
      <c r="K3" s="26" t="s">
        <v>43</v>
      </c>
      <c r="L3" s="26" t="s">
        <v>44</v>
      </c>
      <c r="M3" s="26" t="s">
        <v>51</v>
      </c>
      <c r="N3" s="26" t="s">
        <v>52</v>
      </c>
      <c r="O3" s="26" t="s">
        <v>53</v>
      </c>
      <c r="P3" s="24" t="s">
        <v>54</v>
      </c>
      <c r="Q3" s="24" t="s">
        <v>54</v>
      </c>
      <c r="S3" s="24" t="s">
        <v>55</v>
      </c>
      <c r="T3" s="24" t="s">
        <v>56</v>
      </c>
      <c r="U3" s="24" t="s">
        <v>55</v>
      </c>
      <c r="V3" s="114"/>
      <c r="X3" s="24" t="s">
        <v>55</v>
      </c>
      <c r="Y3" s="24" t="s">
        <v>55</v>
      </c>
      <c r="Z3" s="24" t="s">
        <v>55</v>
      </c>
      <c r="AA3" s="24" t="s">
        <v>55</v>
      </c>
      <c r="AB3" s="24" t="s">
        <v>55</v>
      </c>
      <c r="AE3" s="24" t="s">
        <v>57</v>
      </c>
      <c r="AF3" s="24" t="s">
        <v>55</v>
      </c>
    </row>
    <row r="4" spans="1:32" ht="47.25" x14ac:dyDescent="0.25">
      <c r="A4" s="17" t="s">
        <v>28</v>
      </c>
      <c r="B4" s="29" t="s">
        <v>7</v>
      </c>
      <c r="C4" s="19" t="s">
        <v>29</v>
      </c>
      <c r="D4" t="s">
        <v>31</v>
      </c>
      <c r="E4" t="s">
        <v>32</v>
      </c>
      <c r="F4" t="s">
        <v>33</v>
      </c>
      <c r="G4" t="s">
        <v>34</v>
      </c>
      <c r="H4" s="14" t="s">
        <v>38</v>
      </c>
      <c r="I4" s="23" t="s">
        <v>35</v>
      </c>
      <c r="J4" s="23" t="s">
        <v>36</v>
      </c>
      <c r="K4" s="23" t="s">
        <v>35</v>
      </c>
      <c r="L4" s="23" t="s">
        <v>36</v>
      </c>
      <c r="M4" s="23" t="s">
        <v>35</v>
      </c>
      <c r="N4" s="23" t="s">
        <v>36</v>
      </c>
      <c r="O4" s="23" t="s">
        <v>35</v>
      </c>
      <c r="P4" s="14" t="s">
        <v>24</v>
      </c>
      <c r="Q4" s="14" t="s">
        <v>27</v>
      </c>
      <c r="R4" s="7"/>
      <c r="S4" s="14" t="s">
        <v>20</v>
      </c>
      <c r="T4" s="14" t="s">
        <v>11</v>
      </c>
      <c r="U4" s="14" t="s">
        <v>17</v>
      </c>
      <c r="V4" s="112" t="s">
        <v>408</v>
      </c>
      <c r="W4" s="14" t="s">
        <v>407</v>
      </c>
      <c r="X4" s="14" t="s">
        <v>22</v>
      </c>
      <c r="Y4" s="14" t="s">
        <v>18</v>
      </c>
      <c r="Z4" s="14" t="s">
        <v>21</v>
      </c>
      <c r="AA4" s="14" t="s">
        <v>19</v>
      </c>
      <c r="AB4" s="14" t="s">
        <v>25</v>
      </c>
      <c r="AC4" s="14" t="s">
        <v>381</v>
      </c>
      <c r="AD4" s="14" t="s">
        <v>404</v>
      </c>
      <c r="AE4" s="14" t="s">
        <v>37</v>
      </c>
      <c r="AF4" s="14" t="s">
        <v>40</v>
      </c>
    </row>
    <row r="5" spans="1:32" x14ac:dyDescent="0.25">
      <c r="A5" s="18" t="s">
        <v>237</v>
      </c>
      <c r="B5" s="18" t="s">
        <v>236</v>
      </c>
      <c r="C5" s="30">
        <v>45519</v>
      </c>
      <c r="D5">
        <v>2</v>
      </c>
      <c r="E5">
        <v>3</v>
      </c>
      <c r="F5">
        <v>18</v>
      </c>
      <c r="G5">
        <v>30</v>
      </c>
      <c r="H5" s="21">
        <f t="shared" ref="H5:H36" si="0">C5+E5*7</f>
        <v>45540</v>
      </c>
      <c r="I5" s="21">
        <f t="shared" ref="I5" si="1">IF(VLOOKUP($A5,Dates,8,)=0,H5+I$2,VLOOKUP($A5,Dates,8,)+I$2)</f>
        <v>45558</v>
      </c>
      <c r="J5" s="21">
        <f t="shared" ref="J5:J36" si="2">IF(VLOOKUP(A5,Dates,9,)=0,I5+J$2,VLOOKUP(A5,Dates,9,)+J$2)</f>
        <v>45789</v>
      </c>
      <c r="K5" s="21">
        <f t="shared" ref="K5" si="3">IF(VLOOKUP($A5,Dates,10,)=0,J5+K$2,VLOOKUP($A5,Dates,10,)+K$2)</f>
        <v>45808</v>
      </c>
      <c r="L5" s="21">
        <f t="shared" ref="L5" si="4">IF(VLOOKUP($A5,Dates,11,)=0,K5+L$2,VLOOKUP($A5,Dates,11,)+L$2)</f>
        <v>45853</v>
      </c>
      <c r="M5" s="21">
        <f t="shared" ref="M5" si="5">IF(VLOOKUP($A5,Dates,12,)=0,L5+M$2,VLOOKUP($A5,Dates,12,)+M$2)</f>
        <v>45861</v>
      </c>
      <c r="N5" s="21">
        <f t="shared" ref="N5" si="6">IF(VLOOKUP($A5,Dates,13,)=0,M5+N$2,VLOOKUP($A5,Dates,13,)+N$2)</f>
        <v>45875</v>
      </c>
      <c r="O5" s="21">
        <f t="shared" ref="O5" si="7">IF(VLOOKUP($A5,Dates,14,)=0,N5+O$2,VLOOKUP($A5,Dates,14,)+O$2)</f>
        <v>45882</v>
      </c>
      <c r="P5" s="21">
        <f t="shared" ref="P5" si="8">$C5+P$2</f>
        <v>45533</v>
      </c>
      <c r="Q5" s="21">
        <f>$C5+Q$2</f>
        <v>45533</v>
      </c>
      <c r="R5" s="20"/>
      <c r="S5" s="21">
        <f>IF(VLOOKUP(A5,Dates,15,)&gt;0,VLOOKUP(A5,Dates,15,)+'Date Calcs'!S$2,IF(VLOOKUP(A5,Dates,13,)&gt;0,VLOOKUP(A5,Dates,13,)+'Date Calcs'!S$2,IF(VLOOKUP(A5,Dates,11,)&gt;0,VLOOKUP(A5,Dates,11,)+'Date Calcs'!S$2,IF(VLOOKUP(A5,Dates,9,)&gt;0,VLOOKUP(A5,Dates,9,)+'Date Calcs'!S$2,$I5+S$2))))</f>
        <v>45879</v>
      </c>
      <c r="T5" s="21">
        <f t="shared" ref="T5:T36" si="9">$S5+T$2</f>
        <v>45880</v>
      </c>
      <c r="U5" s="21">
        <f t="shared" ref="U5" si="10">S5+U$2-S$2</f>
        <v>45884</v>
      </c>
      <c r="V5" s="115">
        <v>10</v>
      </c>
      <c r="W5" s="21">
        <f>(G5*7)+(V5*7)+U5</f>
        <v>46164</v>
      </c>
      <c r="X5" s="21">
        <f>S5+X$2-S$2</f>
        <v>45891</v>
      </c>
      <c r="Y5" s="21">
        <f>S5+Y$2-S$2</f>
        <v>45898</v>
      </c>
      <c r="Z5" s="21">
        <f t="shared" ref="Z5" si="11">Y5</f>
        <v>45898</v>
      </c>
      <c r="AA5" s="21">
        <f t="shared" ref="AA5" si="12">Z5</f>
        <v>45898</v>
      </c>
      <c r="AB5" s="21">
        <f>U5+$AB$2+$S$2</f>
        <v>45900</v>
      </c>
      <c r="AC5" s="21">
        <f t="shared" ref="AC5:AC44" si="13">AA5+$AC$2</f>
        <v>45899</v>
      </c>
      <c r="AD5" s="21">
        <f>U5+$AD$2</f>
        <v>45891</v>
      </c>
      <c r="AE5" s="21">
        <f t="shared" ref="AE5:AE44" si="14">IF(P5&gt;AC5,P5+$AC$2,AC5+$AE$2)</f>
        <v>45901</v>
      </c>
      <c r="AF5" s="21">
        <f t="shared" ref="AF5:AF36" si="15">S5-S$2+G5*7</f>
        <v>46087</v>
      </c>
    </row>
    <row r="6" spans="1:32" x14ac:dyDescent="0.25">
      <c r="A6" s="18" t="s">
        <v>240</v>
      </c>
      <c r="B6" s="18" t="s">
        <v>87</v>
      </c>
      <c r="C6" s="30">
        <v>45685</v>
      </c>
      <c r="D6">
        <v>4</v>
      </c>
      <c r="E6">
        <v>5</v>
      </c>
      <c r="F6">
        <v>12</v>
      </c>
      <c r="G6">
        <v>14</v>
      </c>
      <c r="H6" s="21">
        <f t="shared" si="0"/>
        <v>45720</v>
      </c>
      <c r="I6" s="21">
        <f t="shared" ref="I6:I15" si="16">IF(VLOOKUP($A6,Dates,8,)=0,H6+I$2,VLOOKUP($A6,Dates,8,)+I$2)</f>
        <v>45819</v>
      </c>
      <c r="J6" s="21">
        <f t="shared" si="2"/>
        <v>45841</v>
      </c>
      <c r="K6" s="21">
        <f t="shared" ref="K6:K15" si="17">IF(VLOOKUP($A6,Dates,10,)=0,J6+K$2,VLOOKUP($A6,Dates,10,)+K$2)</f>
        <v>45848</v>
      </c>
      <c r="L6" s="21">
        <f t="shared" ref="L6:L15" si="18">IF(VLOOKUP($A6,Dates,11,)=0,K6+L$2,VLOOKUP($A6,Dates,11,)+L$2)</f>
        <v>45897</v>
      </c>
      <c r="M6" s="21">
        <f t="shared" ref="M6:M15" si="19">IF(VLOOKUP($A6,Dates,12,)=0,L6+M$2,VLOOKUP($A6,Dates,12,)+M$2)</f>
        <v>45904</v>
      </c>
      <c r="N6" s="21">
        <f t="shared" ref="N6:N15" si="20">IF(VLOOKUP($A6,Dates,13,)=0,M6+N$2,VLOOKUP($A6,Dates,13,)+N$2)</f>
        <v>45911</v>
      </c>
      <c r="O6" s="21">
        <f t="shared" ref="O6:O15" si="21">IF(VLOOKUP($A6,Dates,14,)=0,N6+O$2,VLOOKUP($A6,Dates,14,)+O$2)</f>
        <v>45918</v>
      </c>
      <c r="P6" s="21">
        <f t="shared" ref="P6:Q23" si="22">$C6+P$2</f>
        <v>45699</v>
      </c>
      <c r="Q6" s="21">
        <f t="shared" si="22"/>
        <v>45699</v>
      </c>
      <c r="R6" s="20"/>
      <c r="S6" s="21">
        <f>IF(VLOOKUP(A6,Dates,15,)&gt;0,VLOOKUP(A6,Dates,15,)+'Date Calcs'!S$2,IF(VLOOKUP(A6,Dates,13,)&gt;0,VLOOKUP(A6,Dates,13,)+'Date Calcs'!S$2,IF(VLOOKUP(A6,Dates,11,)&gt;0,VLOOKUP(A6,Dates,11,)+'Date Calcs'!S$2,IF(VLOOKUP(A6,Dates,9,)&gt;0,VLOOKUP(A6,Dates,9,)+'Date Calcs'!S$2,$I6+S$2))))</f>
        <v>45892</v>
      </c>
      <c r="T6" s="21">
        <f t="shared" si="9"/>
        <v>45893</v>
      </c>
      <c r="U6" s="21">
        <f t="shared" ref="U6:U15" si="23">S6+U$2-S$2</f>
        <v>45897</v>
      </c>
      <c r="V6" s="115"/>
      <c r="W6" s="21">
        <f t="shared" ref="W6:W69" si="24">(G6*7)+(V6*7)+U6</f>
        <v>45995</v>
      </c>
      <c r="X6" s="21">
        <f t="shared" ref="X6:X15" si="25">S6+X$2-S$2</f>
        <v>45904</v>
      </c>
      <c r="Y6" s="21">
        <f t="shared" ref="Y6:Y15" si="26">S6+Y$2-S$2</f>
        <v>45911</v>
      </c>
      <c r="Z6" s="21">
        <f t="shared" ref="Z6:Z15" si="27">Y6</f>
        <v>45911</v>
      </c>
      <c r="AA6" s="21">
        <f t="shared" ref="AA6:AA15" si="28">Z6</f>
        <v>45911</v>
      </c>
      <c r="AB6" s="21">
        <f t="shared" ref="AB6:AB44" si="29">U6+$AB$2</f>
        <v>45911</v>
      </c>
      <c r="AC6" s="21">
        <f t="shared" si="13"/>
        <v>45912</v>
      </c>
      <c r="AD6" s="21">
        <f t="shared" ref="AD6:AD69" si="30">U6+$AD$2</f>
        <v>45904</v>
      </c>
      <c r="AE6" s="21">
        <f t="shared" si="14"/>
        <v>45914</v>
      </c>
      <c r="AF6" s="21">
        <f t="shared" si="15"/>
        <v>45988</v>
      </c>
    </row>
    <row r="7" spans="1:32" x14ac:dyDescent="0.25">
      <c r="A7" s="18" t="s">
        <v>241</v>
      </c>
      <c r="B7" s="18" t="s">
        <v>87</v>
      </c>
      <c r="C7" s="30">
        <v>45685</v>
      </c>
      <c r="D7">
        <v>4</v>
      </c>
      <c r="E7">
        <v>5</v>
      </c>
      <c r="F7">
        <v>16</v>
      </c>
      <c r="G7">
        <v>18</v>
      </c>
      <c r="H7" s="21">
        <f t="shared" si="0"/>
        <v>45720</v>
      </c>
      <c r="I7" s="21">
        <f t="shared" si="16"/>
        <v>45786</v>
      </c>
      <c r="J7" s="21">
        <f t="shared" si="2"/>
        <v>45813</v>
      </c>
      <c r="K7" s="21">
        <f t="shared" si="17"/>
        <v>45819</v>
      </c>
      <c r="L7" s="21">
        <f t="shared" si="18"/>
        <v>45904</v>
      </c>
      <c r="M7" s="21">
        <f t="shared" si="19"/>
        <v>45911</v>
      </c>
      <c r="N7" s="21">
        <f t="shared" si="20"/>
        <v>45918</v>
      </c>
      <c r="O7" s="21">
        <f t="shared" si="21"/>
        <v>45925</v>
      </c>
      <c r="P7" s="21">
        <f t="shared" si="22"/>
        <v>45699</v>
      </c>
      <c r="Q7" s="21">
        <f t="shared" si="22"/>
        <v>45699</v>
      </c>
      <c r="R7" s="20"/>
      <c r="S7" s="21">
        <f>IF(VLOOKUP(A7,Dates,15,)&gt;0,VLOOKUP(A7,Dates,15,)+'Date Calcs'!S$2,IF(VLOOKUP(A7,Dates,13,)&gt;0,VLOOKUP(A7,Dates,13,)+'Date Calcs'!S$2,IF(VLOOKUP(A7,Dates,11,)&gt;0,VLOOKUP(A7,Dates,11,)+'Date Calcs'!S$2,IF(VLOOKUP(A7,Dates,9,)&gt;0,VLOOKUP(A7,Dates,9,)+'Date Calcs'!S$2,$I7+S$2))))</f>
        <v>45899</v>
      </c>
      <c r="T7" s="21">
        <f t="shared" si="9"/>
        <v>45900</v>
      </c>
      <c r="U7" s="21">
        <f t="shared" si="23"/>
        <v>45904</v>
      </c>
      <c r="V7" s="115"/>
      <c r="W7" s="21">
        <f t="shared" si="24"/>
        <v>46030</v>
      </c>
      <c r="X7" s="21">
        <f t="shared" si="25"/>
        <v>45911</v>
      </c>
      <c r="Y7" s="21">
        <f t="shared" si="26"/>
        <v>45918</v>
      </c>
      <c r="Z7" s="21">
        <f t="shared" si="27"/>
        <v>45918</v>
      </c>
      <c r="AA7" s="21">
        <f t="shared" si="28"/>
        <v>45918</v>
      </c>
      <c r="AB7" s="21">
        <f t="shared" si="29"/>
        <v>45918</v>
      </c>
      <c r="AC7" s="21">
        <f t="shared" si="13"/>
        <v>45919</v>
      </c>
      <c r="AD7" s="21">
        <f t="shared" si="30"/>
        <v>45911</v>
      </c>
      <c r="AE7" s="21">
        <f t="shared" si="14"/>
        <v>45921</v>
      </c>
      <c r="AF7" s="21">
        <f t="shared" si="15"/>
        <v>46023</v>
      </c>
    </row>
    <row r="8" spans="1:32" x14ac:dyDescent="0.25">
      <c r="A8" s="18" t="s">
        <v>242</v>
      </c>
      <c r="B8" s="18" t="s">
        <v>87</v>
      </c>
      <c r="C8" s="30">
        <v>45685</v>
      </c>
      <c r="D8">
        <v>4</v>
      </c>
      <c r="E8">
        <v>5</v>
      </c>
      <c r="F8">
        <v>16</v>
      </c>
      <c r="G8">
        <v>18</v>
      </c>
      <c r="H8" s="21">
        <f t="shared" si="0"/>
        <v>45720</v>
      </c>
      <c r="I8" s="21">
        <f t="shared" si="16"/>
        <v>45786</v>
      </c>
      <c r="J8" s="21">
        <f t="shared" si="2"/>
        <v>45813</v>
      </c>
      <c r="K8" s="21">
        <f t="shared" si="17"/>
        <v>45819</v>
      </c>
      <c r="L8" s="21">
        <f t="shared" si="18"/>
        <v>45904</v>
      </c>
      <c r="M8" s="21">
        <f t="shared" si="19"/>
        <v>45911</v>
      </c>
      <c r="N8" s="21">
        <f t="shared" si="20"/>
        <v>45918</v>
      </c>
      <c r="O8" s="21">
        <f t="shared" si="21"/>
        <v>45925</v>
      </c>
      <c r="P8" s="21">
        <f t="shared" si="22"/>
        <v>45699</v>
      </c>
      <c r="Q8" s="21">
        <f t="shared" si="22"/>
        <v>45699</v>
      </c>
      <c r="R8" s="20"/>
      <c r="S8" s="21">
        <f>IF(VLOOKUP(A8,Dates,15,)&gt;0,VLOOKUP(A8,Dates,15,)+'Date Calcs'!S$2,IF(VLOOKUP(A8,Dates,13,)&gt;0,VLOOKUP(A8,Dates,13,)+'Date Calcs'!S$2,IF(VLOOKUP(A8,Dates,11,)&gt;0,VLOOKUP(A8,Dates,11,)+'Date Calcs'!S$2,IF(VLOOKUP(A8,Dates,9,)&gt;0,VLOOKUP(A8,Dates,9,)+'Date Calcs'!S$2,$I8+S$2))))</f>
        <v>45899</v>
      </c>
      <c r="T8" s="21">
        <f t="shared" si="9"/>
        <v>45900</v>
      </c>
      <c r="U8" s="21">
        <f t="shared" si="23"/>
        <v>45904</v>
      </c>
      <c r="V8" s="115"/>
      <c r="W8" s="21">
        <f t="shared" si="24"/>
        <v>46030</v>
      </c>
      <c r="X8" s="21">
        <f t="shared" si="25"/>
        <v>45911</v>
      </c>
      <c r="Y8" s="21">
        <f t="shared" si="26"/>
        <v>45918</v>
      </c>
      <c r="Z8" s="21">
        <f t="shared" si="27"/>
        <v>45918</v>
      </c>
      <c r="AA8" s="21">
        <f t="shared" si="28"/>
        <v>45918</v>
      </c>
      <c r="AB8" s="21">
        <f t="shared" si="29"/>
        <v>45918</v>
      </c>
      <c r="AC8" s="21">
        <f t="shared" si="13"/>
        <v>45919</v>
      </c>
      <c r="AD8" s="21">
        <f t="shared" si="30"/>
        <v>45911</v>
      </c>
      <c r="AE8" s="21">
        <f t="shared" si="14"/>
        <v>45921</v>
      </c>
      <c r="AF8" s="21">
        <f t="shared" si="15"/>
        <v>46023</v>
      </c>
    </row>
    <row r="9" spans="1:32" x14ac:dyDescent="0.25">
      <c r="A9" s="18" t="s">
        <v>243</v>
      </c>
      <c r="B9" s="18" t="s">
        <v>87</v>
      </c>
      <c r="C9" s="30">
        <v>45685</v>
      </c>
      <c r="D9">
        <v>4</v>
      </c>
      <c r="E9">
        <v>5</v>
      </c>
      <c r="F9">
        <v>16</v>
      </c>
      <c r="G9">
        <v>18</v>
      </c>
      <c r="H9" s="21">
        <f t="shared" si="0"/>
        <v>45720</v>
      </c>
      <c r="I9" s="21">
        <f t="shared" si="16"/>
        <v>45755</v>
      </c>
      <c r="J9" s="21">
        <f t="shared" si="2"/>
        <v>45813</v>
      </c>
      <c r="K9" s="21">
        <f t="shared" si="17"/>
        <v>45819</v>
      </c>
      <c r="L9" s="21">
        <f t="shared" si="18"/>
        <v>45826</v>
      </c>
      <c r="M9" s="21">
        <f t="shared" si="19"/>
        <v>45833</v>
      </c>
      <c r="N9" s="21">
        <f t="shared" si="20"/>
        <v>45840</v>
      </c>
      <c r="O9" s="21">
        <f t="shared" si="21"/>
        <v>45847</v>
      </c>
      <c r="P9" s="21">
        <f t="shared" si="22"/>
        <v>45699</v>
      </c>
      <c r="Q9" s="21">
        <f t="shared" si="22"/>
        <v>45699</v>
      </c>
      <c r="R9" s="20"/>
      <c r="S9" s="21">
        <f>IF(VLOOKUP(A9,Dates,15,)&gt;0,VLOOKUP(A9,Dates,15,)+'Date Calcs'!S$2,IF(VLOOKUP(A9,Dates,13,)&gt;0,VLOOKUP(A9,Dates,13,)+'Date Calcs'!S$2,IF(VLOOKUP(A9,Dates,11,)&gt;0,VLOOKUP(A9,Dates,11,)+'Date Calcs'!S$2,IF(VLOOKUP(A9,Dates,9,)&gt;0,VLOOKUP(A9,Dates,9,)+'Date Calcs'!S$2,$I9+S$2))))</f>
        <v>45808</v>
      </c>
      <c r="T9" s="21">
        <f t="shared" si="9"/>
        <v>45809</v>
      </c>
      <c r="U9" s="21">
        <f t="shared" si="23"/>
        <v>45813</v>
      </c>
      <c r="V9" s="115"/>
      <c r="W9" s="21">
        <f t="shared" si="24"/>
        <v>45939</v>
      </c>
      <c r="X9" s="21">
        <f t="shared" si="25"/>
        <v>45820</v>
      </c>
      <c r="Y9" s="21">
        <f t="shared" si="26"/>
        <v>45827</v>
      </c>
      <c r="Z9" s="21">
        <f t="shared" si="27"/>
        <v>45827</v>
      </c>
      <c r="AA9" s="21">
        <f t="shared" si="28"/>
        <v>45827</v>
      </c>
      <c r="AB9" s="21">
        <f t="shared" si="29"/>
        <v>45827</v>
      </c>
      <c r="AC9" s="21">
        <f t="shared" si="13"/>
        <v>45828</v>
      </c>
      <c r="AD9" s="21">
        <f t="shared" si="30"/>
        <v>45820</v>
      </c>
      <c r="AE9" s="21">
        <f t="shared" si="14"/>
        <v>45830</v>
      </c>
      <c r="AF9" s="21">
        <f t="shared" si="15"/>
        <v>45932</v>
      </c>
    </row>
    <row r="10" spans="1:32" x14ac:dyDescent="0.25">
      <c r="A10" s="18" t="s">
        <v>244</v>
      </c>
      <c r="B10" s="18" t="s">
        <v>87</v>
      </c>
      <c r="C10" s="30">
        <v>45685</v>
      </c>
      <c r="D10">
        <v>4</v>
      </c>
      <c r="E10">
        <v>5</v>
      </c>
      <c r="F10">
        <v>16</v>
      </c>
      <c r="G10">
        <v>18</v>
      </c>
      <c r="H10" s="21">
        <f t="shared" si="0"/>
        <v>45720</v>
      </c>
      <c r="I10" s="21">
        <f t="shared" si="16"/>
        <v>45763</v>
      </c>
      <c r="J10" s="21">
        <f t="shared" si="2"/>
        <v>45798</v>
      </c>
      <c r="K10" s="21">
        <f t="shared" si="17"/>
        <v>45812</v>
      </c>
      <c r="L10" s="21">
        <f t="shared" si="18"/>
        <v>45819</v>
      </c>
      <c r="M10" s="21">
        <f t="shared" si="19"/>
        <v>45826</v>
      </c>
      <c r="N10" s="21">
        <f t="shared" si="20"/>
        <v>45833</v>
      </c>
      <c r="O10" s="21">
        <f t="shared" si="21"/>
        <v>45840</v>
      </c>
      <c r="P10" s="21">
        <f t="shared" si="22"/>
        <v>45699</v>
      </c>
      <c r="Q10" s="21">
        <f t="shared" si="22"/>
        <v>45699</v>
      </c>
      <c r="R10" s="20"/>
      <c r="S10" s="21">
        <f>IF(VLOOKUP(A10,Dates,15,)&gt;0,VLOOKUP(A10,Dates,15,)+'Date Calcs'!S$2,IF(VLOOKUP(A10,Dates,13,)&gt;0,VLOOKUP(A10,Dates,13,)+'Date Calcs'!S$2,IF(VLOOKUP(A10,Dates,11,)&gt;0,VLOOKUP(A10,Dates,11,)+'Date Calcs'!S$2,IF(VLOOKUP(A10,Dates,9,)&gt;0,VLOOKUP(A10,Dates,9,)+'Date Calcs'!S$2,$I10+S$2))))</f>
        <v>45793</v>
      </c>
      <c r="T10" s="21">
        <f t="shared" si="9"/>
        <v>45794</v>
      </c>
      <c r="U10" s="21">
        <f t="shared" si="23"/>
        <v>45798</v>
      </c>
      <c r="V10" s="115"/>
      <c r="W10" s="21">
        <f t="shared" si="24"/>
        <v>45924</v>
      </c>
      <c r="X10" s="21">
        <f t="shared" si="25"/>
        <v>45805</v>
      </c>
      <c r="Y10" s="21">
        <f t="shared" si="26"/>
        <v>45812</v>
      </c>
      <c r="Z10" s="21">
        <f t="shared" si="27"/>
        <v>45812</v>
      </c>
      <c r="AA10" s="21">
        <f t="shared" si="28"/>
        <v>45812</v>
      </c>
      <c r="AB10" s="21">
        <f t="shared" si="29"/>
        <v>45812</v>
      </c>
      <c r="AC10" s="21">
        <f t="shared" si="13"/>
        <v>45813</v>
      </c>
      <c r="AD10" s="21">
        <f t="shared" si="30"/>
        <v>45805</v>
      </c>
      <c r="AE10" s="21">
        <f t="shared" si="14"/>
        <v>45815</v>
      </c>
      <c r="AF10" s="21">
        <f t="shared" si="15"/>
        <v>45917</v>
      </c>
    </row>
    <row r="11" spans="1:32" x14ac:dyDescent="0.25">
      <c r="A11" s="18" t="s">
        <v>251</v>
      </c>
      <c r="B11" s="18" t="s">
        <v>87</v>
      </c>
      <c r="C11" s="30">
        <v>45685</v>
      </c>
      <c r="D11">
        <v>4</v>
      </c>
      <c r="E11">
        <v>5</v>
      </c>
      <c r="F11">
        <v>20</v>
      </c>
      <c r="G11">
        <v>22</v>
      </c>
      <c r="H11" s="21">
        <f t="shared" si="0"/>
        <v>45720</v>
      </c>
      <c r="I11" s="21">
        <f t="shared" ref="I11" si="31">IF(VLOOKUP($A11,Dates,8,)=0,H11+I$2,VLOOKUP($A11,Dates,8,)+I$2)</f>
        <v>45763</v>
      </c>
      <c r="J11" s="21">
        <f t="shared" si="2"/>
        <v>45798</v>
      </c>
      <c r="K11" s="21">
        <f t="shared" ref="K11" si="32">IF(VLOOKUP($A11,Dates,10,)=0,J11+K$2,VLOOKUP($A11,Dates,10,)+K$2)</f>
        <v>45812</v>
      </c>
      <c r="L11" s="21">
        <f t="shared" ref="L11" si="33">IF(VLOOKUP($A11,Dates,11,)=0,K11+L$2,VLOOKUP($A11,Dates,11,)+L$2)</f>
        <v>45819</v>
      </c>
      <c r="M11" s="21">
        <f t="shared" ref="M11" si="34">IF(VLOOKUP($A11,Dates,12,)=0,L11+M$2,VLOOKUP($A11,Dates,12,)+M$2)</f>
        <v>45826</v>
      </c>
      <c r="N11" s="21">
        <f t="shared" ref="N11" si="35">IF(VLOOKUP($A11,Dates,13,)=0,M11+N$2,VLOOKUP($A11,Dates,13,)+N$2)</f>
        <v>45833</v>
      </c>
      <c r="O11" s="21">
        <f t="shared" ref="O11" si="36">IF(VLOOKUP($A11,Dates,14,)=0,N11+O$2,VLOOKUP($A11,Dates,14,)+O$2)</f>
        <v>45840</v>
      </c>
      <c r="P11" s="21">
        <f t="shared" si="22"/>
        <v>45699</v>
      </c>
      <c r="Q11" s="21">
        <f t="shared" si="22"/>
        <v>45699</v>
      </c>
      <c r="R11" s="20"/>
      <c r="S11" s="21">
        <f>IF(VLOOKUP(A11,Dates,15,)&gt;0,VLOOKUP(A11,Dates,15,)+'Date Calcs'!S$2,IF(VLOOKUP(A11,Dates,13,)&gt;0,VLOOKUP(A11,Dates,13,)+'Date Calcs'!S$2,IF(VLOOKUP(A11,Dates,11,)&gt;0,VLOOKUP(A11,Dates,11,)+'Date Calcs'!S$2,IF(VLOOKUP(A11,Dates,9,)&gt;0,VLOOKUP(A11,Dates,9,)+'Date Calcs'!S$2,$I11+S$2))))</f>
        <v>45793</v>
      </c>
      <c r="T11" s="21">
        <f t="shared" si="9"/>
        <v>45794</v>
      </c>
      <c r="U11" s="21">
        <f t="shared" ref="U11" si="37">S11+U$2-S$2</f>
        <v>45798</v>
      </c>
      <c r="V11" s="115"/>
      <c r="W11" s="21">
        <f t="shared" si="24"/>
        <v>45952</v>
      </c>
      <c r="X11" s="21">
        <f t="shared" ref="X11" si="38">S11+X$2-S$2</f>
        <v>45805</v>
      </c>
      <c r="Y11" s="21">
        <f t="shared" ref="Y11" si="39">S11+Y$2-S$2</f>
        <v>45812</v>
      </c>
      <c r="Z11" s="21">
        <f t="shared" ref="Z11" si="40">Y11</f>
        <v>45812</v>
      </c>
      <c r="AA11" s="21">
        <f t="shared" ref="AA11" si="41">Z11</f>
        <v>45812</v>
      </c>
      <c r="AB11" s="21">
        <f t="shared" si="29"/>
        <v>45812</v>
      </c>
      <c r="AC11" s="21">
        <f t="shared" si="13"/>
        <v>45813</v>
      </c>
      <c r="AD11" s="21">
        <f t="shared" si="30"/>
        <v>45805</v>
      </c>
      <c r="AE11" s="21">
        <f t="shared" si="14"/>
        <v>45815</v>
      </c>
      <c r="AF11" s="21">
        <f t="shared" si="15"/>
        <v>45945</v>
      </c>
    </row>
    <row r="12" spans="1:32" x14ac:dyDescent="0.25">
      <c r="A12" s="18" t="s">
        <v>245</v>
      </c>
      <c r="B12" s="18" t="s">
        <v>87</v>
      </c>
      <c r="C12" s="30">
        <v>45685</v>
      </c>
      <c r="D12">
        <v>4</v>
      </c>
      <c r="E12">
        <v>5</v>
      </c>
      <c r="F12">
        <v>20</v>
      </c>
      <c r="G12">
        <v>22</v>
      </c>
      <c r="H12" s="21">
        <f t="shared" si="0"/>
        <v>45720</v>
      </c>
      <c r="I12" s="21">
        <f t="shared" si="16"/>
        <v>45763</v>
      </c>
      <c r="J12" s="21">
        <f t="shared" si="2"/>
        <v>45798</v>
      </c>
      <c r="K12" s="21">
        <f t="shared" si="17"/>
        <v>45812</v>
      </c>
      <c r="L12" s="21">
        <f t="shared" si="18"/>
        <v>45819</v>
      </c>
      <c r="M12" s="21">
        <f t="shared" si="19"/>
        <v>45826</v>
      </c>
      <c r="N12" s="21">
        <f t="shared" si="20"/>
        <v>45833</v>
      </c>
      <c r="O12" s="21">
        <f t="shared" si="21"/>
        <v>45840</v>
      </c>
      <c r="P12" s="21">
        <f t="shared" si="22"/>
        <v>45699</v>
      </c>
      <c r="Q12" s="21">
        <f t="shared" si="22"/>
        <v>45699</v>
      </c>
      <c r="R12" s="20"/>
      <c r="S12" s="21">
        <f>IF(VLOOKUP(A12,Dates,15,)&gt;0,VLOOKUP(A12,Dates,15,)+'Date Calcs'!S$2,IF(VLOOKUP(A12,Dates,13,)&gt;0,VLOOKUP(A12,Dates,13,)+'Date Calcs'!S$2,IF(VLOOKUP(A12,Dates,11,)&gt;0,VLOOKUP(A12,Dates,11,)+'Date Calcs'!S$2,IF(VLOOKUP(A12,Dates,9,)&gt;0,VLOOKUP(A12,Dates,9,)+'Date Calcs'!S$2,$I12+S$2))))</f>
        <v>45793</v>
      </c>
      <c r="T12" s="21">
        <f t="shared" si="9"/>
        <v>45794</v>
      </c>
      <c r="U12" s="21">
        <f t="shared" si="23"/>
        <v>45798</v>
      </c>
      <c r="V12" s="115"/>
      <c r="W12" s="21">
        <f t="shared" si="24"/>
        <v>45952</v>
      </c>
      <c r="X12" s="21">
        <f t="shared" si="25"/>
        <v>45805</v>
      </c>
      <c r="Y12" s="21">
        <f t="shared" si="26"/>
        <v>45812</v>
      </c>
      <c r="Z12" s="21">
        <f t="shared" si="27"/>
        <v>45812</v>
      </c>
      <c r="AA12" s="21">
        <f t="shared" si="28"/>
        <v>45812</v>
      </c>
      <c r="AB12" s="21">
        <f t="shared" si="29"/>
        <v>45812</v>
      </c>
      <c r="AC12" s="21">
        <f t="shared" si="13"/>
        <v>45813</v>
      </c>
      <c r="AD12" s="21">
        <f t="shared" si="30"/>
        <v>45805</v>
      </c>
      <c r="AE12" s="21">
        <f t="shared" si="14"/>
        <v>45815</v>
      </c>
      <c r="AF12" s="21">
        <f t="shared" si="15"/>
        <v>45945</v>
      </c>
    </row>
    <row r="13" spans="1:32" x14ac:dyDescent="0.25">
      <c r="A13" s="18" t="s">
        <v>246</v>
      </c>
      <c r="B13" s="18" t="s">
        <v>87</v>
      </c>
      <c r="C13" s="30">
        <v>45685</v>
      </c>
      <c r="D13">
        <v>4</v>
      </c>
      <c r="E13">
        <v>5</v>
      </c>
      <c r="F13">
        <v>20</v>
      </c>
      <c r="G13">
        <v>22</v>
      </c>
      <c r="H13" s="21">
        <f t="shared" si="0"/>
        <v>45720</v>
      </c>
      <c r="I13" s="21">
        <f t="shared" si="16"/>
        <v>45740</v>
      </c>
      <c r="J13" s="21">
        <f t="shared" si="2"/>
        <v>45761</v>
      </c>
      <c r="K13" s="21">
        <f t="shared" si="17"/>
        <v>45776</v>
      </c>
      <c r="L13" s="21">
        <f t="shared" si="18"/>
        <v>45783</v>
      </c>
      <c r="M13" s="21">
        <f t="shared" si="19"/>
        <v>45790</v>
      </c>
      <c r="N13" s="21">
        <f t="shared" si="20"/>
        <v>45797</v>
      </c>
      <c r="O13" s="21">
        <f t="shared" si="21"/>
        <v>45804</v>
      </c>
      <c r="P13" s="21">
        <f t="shared" si="22"/>
        <v>45699</v>
      </c>
      <c r="Q13" s="21">
        <f t="shared" si="22"/>
        <v>45699</v>
      </c>
      <c r="R13" s="20"/>
      <c r="S13" s="21">
        <f>IF(VLOOKUP(A13,Dates,15,)&gt;0,VLOOKUP(A13,Dates,15,)+'Date Calcs'!S$2,IF(VLOOKUP(A13,Dates,13,)&gt;0,VLOOKUP(A13,Dates,13,)+'Date Calcs'!S$2,IF(VLOOKUP(A13,Dates,11,)&gt;0,VLOOKUP(A13,Dates,11,)+'Date Calcs'!S$2,IF(VLOOKUP(A13,Dates,9,)&gt;0,VLOOKUP(A13,Dates,9,)+'Date Calcs'!S$2,$I13+S$2))))</f>
        <v>45756</v>
      </c>
      <c r="T13" s="21">
        <f t="shared" si="9"/>
        <v>45757</v>
      </c>
      <c r="U13" s="21">
        <f t="shared" si="23"/>
        <v>45761</v>
      </c>
      <c r="V13" s="115"/>
      <c r="W13" s="21">
        <f t="shared" si="24"/>
        <v>45915</v>
      </c>
      <c r="X13" s="21">
        <f t="shared" si="25"/>
        <v>45768</v>
      </c>
      <c r="Y13" s="21">
        <f t="shared" si="26"/>
        <v>45775</v>
      </c>
      <c r="Z13" s="21">
        <f t="shared" si="27"/>
        <v>45775</v>
      </c>
      <c r="AA13" s="21">
        <f t="shared" si="28"/>
        <v>45775</v>
      </c>
      <c r="AB13" s="21">
        <f t="shared" si="29"/>
        <v>45775</v>
      </c>
      <c r="AC13" s="21">
        <f t="shared" si="13"/>
        <v>45776</v>
      </c>
      <c r="AD13" s="21">
        <f t="shared" si="30"/>
        <v>45768</v>
      </c>
      <c r="AE13" s="21">
        <f t="shared" si="14"/>
        <v>45778</v>
      </c>
      <c r="AF13" s="21">
        <f t="shared" si="15"/>
        <v>45908</v>
      </c>
    </row>
    <row r="14" spans="1:32" x14ac:dyDescent="0.25">
      <c r="A14" s="18" t="s">
        <v>247</v>
      </c>
      <c r="B14" s="18" t="s">
        <v>87</v>
      </c>
      <c r="C14" s="30">
        <v>45685</v>
      </c>
      <c r="D14">
        <v>4</v>
      </c>
      <c r="E14">
        <v>5</v>
      </c>
      <c r="F14">
        <v>20</v>
      </c>
      <c r="G14">
        <v>22</v>
      </c>
      <c r="H14" s="21">
        <f t="shared" si="0"/>
        <v>45720</v>
      </c>
      <c r="I14" s="21">
        <f t="shared" si="16"/>
        <v>45812</v>
      </c>
      <c r="J14" s="21">
        <f t="shared" si="2"/>
        <v>45859</v>
      </c>
      <c r="K14" s="21">
        <f t="shared" si="17"/>
        <v>45881</v>
      </c>
      <c r="L14" s="21">
        <f t="shared" si="18"/>
        <v>45897</v>
      </c>
      <c r="M14" s="21">
        <f t="shared" si="19"/>
        <v>45912</v>
      </c>
      <c r="N14" s="21">
        <f t="shared" si="20"/>
        <v>45919</v>
      </c>
      <c r="O14" s="21">
        <f t="shared" si="21"/>
        <v>45926</v>
      </c>
      <c r="P14" s="21">
        <f t="shared" si="22"/>
        <v>45699</v>
      </c>
      <c r="Q14" s="21">
        <f t="shared" si="22"/>
        <v>45699</v>
      </c>
      <c r="R14" s="20"/>
      <c r="S14" s="21">
        <f>IF(VLOOKUP(A14,Dates,15,)&gt;0,VLOOKUP(A14,Dates,15,)+'Date Calcs'!S$2,IF(VLOOKUP(A14,Dates,13,)&gt;0,VLOOKUP(A14,Dates,13,)+'Date Calcs'!S$2,IF(VLOOKUP(A14,Dates,11,)&gt;0,VLOOKUP(A14,Dates,11,)+'Date Calcs'!S$2,IF(VLOOKUP(A14,Dates,9,)&gt;0,VLOOKUP(A14,Dates,9,)+'Date Calcs'!S$2,$I14+S$2))))</f>
        <v>45892</v>
      </c>
      <c r="T14" s="21">
        <f t="shared" si="9"/>
        <v>45893</v>
      </c>
      <c r="U14" s="21">
        <f t="shared" si="23"/>
        <v>45897</v>
      </c>
      <c r="V14" s="115"/>
      <c r="W14" s="21">
        <f t="shared" si="24"/>
        <v>46051</v>
      </c>
      <c r="X14" s="21">
        <f t="shared" si="25"/>
        <v>45904</v>
      </c>
      <c r="Y14" s="21">
        <f t="shared" si="26"/>
        <v>45911</v>
      </c>
      <c r="Z14" s="21">
        <f t="shared" si="27"/>
        <v>45911</v>
      </c>
      <c r="AA14" s="21">
        <f t="shared" si="28"/>
        <v>45911</v>
      </c>
      <c r="AB14" s="21">
        <f t="shared" si="29"/>
        <v>45911</v>
      </c>
      <c r="AC14" s="21">
        <f t="shared" si="13"/>
        <v>45912</v>
      </c>
      <c r="AD14" s="21">
        <f t="shared" si="30"/>
        <v>45904</v>
      </c>
      <c r="AE14" s="21">
        <f t="shared" si="14"/>
        <v>45914</v>
      </c>
      <c r="AF14" s="21">
        <f t="shared" si="15"/>
        <v>46044</v>
      </c>
    </row>
    <row r="15" spans="1:32" x14ac:dyDescent="0.25">
      <c r="A15" s="18" t="s">
        <v>248</v>
      </c>
      <c r="B15" s="18" t="s">
        <v>87</v>
      </c>
      <c r="C15" s="30">
        <v>45685</v>
      </c>
      <c r="D15">
        <v>4</v>
      </c>
      <c r="E15">
        <v>5</v>
      </c>
      <c r="F15">
        <v>24</v>
      </c>
      <c r="G15">
        <v>26</v>
      </c>
      <c r="H15" s="21">
        <f t="shared" si="0"/>
        <v>45720</v>
      </c>
      <c r="I15" s="21">
        <f t="shared" si="16"/>
        <v>45804</v>
      </c>
      <c r="J15" s="21">
        <f t="shared" si="2"/>
        <v>45833</v>
      </c>
      <c r="K15" s="21">
        <f t="shared" si="17"/>
        <v>45841</v>
      </c>
      <c r="L15" s="21">
        <f t="shared" si="18"/>
        <v>45904</v>
      </c>
      <c r="M15" s="21">
        <f t="shared" si="19"/>
        <v>45912</v>
      </c>
      <c r="N15" s="21">
        <f t="shared" si="20"/>
        <v>45919</v>
      </c>
      <c r="O15" s="21">
        <f t="shared" si="21"/>
        <v>45926</v>
      </c>
      <c r="P15" s="21">
        <f t="shared" si="22"/>
        <v>45699</v>
      </c>
      <c r="Q15" s="21">
        <f t="shared" si="22"/>
        <v>45699</v>
      </c>
      <c r="R15" s="20"/>
      <c r="S15" s="21">
        <f>IF(VLOOKUP(A15,Dates,15,)&gt;0,VLOOKUP(A15,Dates,15,)+'Date Calcs'!S$2,IF(VLOOKUP(A15,Dates,13,)&gt;0,VLOOKUP(A15,Dates,13,)+'Date Calcs'!S$2,IF(VLOOKUP(A15,Dates,11,)&gt;0,VLOOKUP(A15,Dates,11,)+'Date Calcs'!S$2,IF(VLOOKUP(A15,Dates,9,)&gt;0,VLOOKUP(A15,Dates,9,)+'Date Calcs'!S$2,$I15+S$2))))</f>
        <v>45899</v>
      </c>
      <c r="T15" s="21">
        <f t="shared" si="9"/>
        <v>45900</v>
      </c>
      <c r="U15" s="21">
        <f t="shared" si="23"/>
        <v>45904</v>
      </c>
      <c r="V15" s="115"/>
      <c r="W15" s="21">
        <f t="shared" si="24"/>
        <v>46086</v>
      </c>
      <c r="X15" s="21">
        <f t="shared" si="25"/>
        <v>45911</v>
      </c>
      <c r="Y15" s="21">
        <f t="shared" si="26"/>
        <v>45918</v>
      </c>
      <c r="Z15" s="21">
        <f t="shared" si="27"/>
        <v>45918</v>
      </c>
      <c r="AA15" s="21">
        <f t="shared" si="28"/>
        <v>45918</v>
      </c>
      <c r="AB15" s="21">
        <f t="shared" si="29"/>
        <v>45918</v>
      </c>
      <c r="AC15" s="21">
        <f t="shared" si="13"/>
        <v>45919</v>
      </c>
      <c r="AD15" s="21">
        <f t="shared" si="30"/>
        <v>45911</v>
      </c>
      <c r="AE15" s="21">
        <f t="shared" si="14"/>
        <v>45921</v>
      </c>
      <c r="AF15" s="21">
        <f t="shared" si="15"/>
        <v>46079</v>
      </c>
    </row>
    <row r="16" spans="1:32" x14ac:dyDescent="0.25">
      <c r="A16" s="18" t="s">
        <v>249</v>
      </c>
      <c r="B16" s="18" t="s">
        <v>87</v>
      </c>
      <c r="C16" s="30">
        <v>45685</v>
      </c>
      <c r="D16">
        <v>4</v>
      </c>
      <c r="E16">
        <v>5</v>
      </c>
      <c r="F16">
        <v>24</v>
      </c>
      <c r="G16">
        <v>26</v>
      </c>
      <c r="H16" s="21">
        <f t="shared" si="0"/>
        <v>45720</v>
      </c>
      <c r="I16" s="21">
        <f t="shared" ref="I16:I23" si="42">IF(VLOOKUP($A16,Dates,8,)=0,H16+I$2,VLOOKUP($A16,Dates,8,)+I$2)</f>
        <v>45755</v>
      </c>
      <c r="J16" s="21">
        <f t="shared" si="2"/>
        <v>45813</v>
      </c>
      <c r="K16" s="21">
        <f t="shared" ref="K16:K23" si="43">IF(VLOOKUP($A16,Dates,10,)=0,J16+K$2,VLOOKUP($A16,Dates,10,)+K$2)</f>
        <v>45819</v>
      </c>
      <c r="L16" s="21">
        <f t="shared" ref="L16:L23" si="44">IF(VLOOKUP($A16,Dates,11,)=0,K16+L$2,VLOOKUP($A16,Dates,11,)+L$2)</f>
        <v>45869</v>
      </c>
      <c r="M16" s="21">
        <f t="shared" ref="M16:M23" si="45">IF(VLOOKUP($A16,Dates,12,)=0,L16+M$2,VLOOKUP($A16,Dates,12,)+M$2)</f>
        <v>45880</v>
      </c>
      <c r="N16" s="21">
        <f t="shared" ref="N16:N23" si="46">IF(VLOOKUP($A16,Dates,13,)=0,M16+N$2,VLOOKUP($A16,Dates,13,)+N$2)</f>
        <v>45897</v>
      </c>
      <c r="O16" s="21">
        <f t="shared" ref="O16:O23" si="47">IF(VLOOKUP($A16,Dates,14,)=0,N16+O$2,VLOOKUP($A16,Dates,14,)+O$2)</f>
        <v>45902</v>
      </c>
      <c r="P16" s="21">
        <f t="shared" si="22"/>
        <v>45699</v>
      </c>
      <c r="Q16" s="21">
        <f t="shared" si="22"/>
        <v>45699</v>
      </c>
      <c r="R16" s="20"/>
      <c r="S16" s="21">
        <f>IF(VLOOKUP(A16,Dates,15,)&gt;0,VLOOKUP(A16,Dates,15,)+'Date Calcs'!S$2,IF(VLOOKUP(A16,Dates,13,)&gt;0,VLOOKUP(A16,Dates,13,)+'Date Calcs'!S$2,IF(VLOOKUP(A16,Dates,11,)&gt;0,VLOOKUP(A16,Dates,11,)+'Date Calcs'!S$2,IF(VLOOKUP(A16,Dates,9,)&gt;0,VLOOKUP(A16,Dates,9,)+'Date Calcs'!S$2,$I16+S$2))))</f>
        <v>45892</v>
      </c>
      <c r="T16" s="21">
        <f t="shared" si="9"/>
        <v>45893</v>
      </c>
      <c r="U16" s="21">
        <f t="shared" ref="U16:U23" si="48">S16+U$2-S$2</f>
        <v>45897</v>
      </c>
      <c r="V16" s="115"/>
      <c r="W16" s="21">
        <f t="shared" si="24"/>
        <v>46079</v>
      </c>
      <c r="X16" s="21">
        <f t="shared" ref="X16:X23" si="49">S16+X$2-S$2</f>
        <v>45904</v>
      </c>
      <c r="Y16" s="21">
        <f t="shared" ref="Y16:Y23" si="50">S16+Y$2-S$2</f>
        <v>45911</v>
      </c>
      <c r="Z16" s="21">
        <f t="shared" ref="Z16:Z23" si="51">Y16</f>
        <v>45911</v>
      </c>
      <c r="AA16" s="21">
        <f t="shared" ref="AA16:AA23" si="52">Z16</f>
        <v>45911</v>
      </c>
      <c r="AB16" s="21">
        <f t="shared" si="29"/>
        <v>45911</v>
      </c>
      <c r="AC16" s="21">
        <f t="shared" si="13"/>
        <v>45912</v>
      </c>
      <c r="AD16" s="21">
        <f t="shared" si="30"/>
        <v>45904</v>
      </c>
      <c r="AE16" s="21">
        <f t="shared" si="14"/>
        <v>45914</v>
      </c>
      <c r="AF16" s="21">
        <f t="shared" si="15"/>
        <v>46072</v>
      </c>
    </row>
    <row r="17" spans="1:32" x14ac:dyDescent="0.25">
      <c r="A17" s="18" t="s">
        <v>250</v>
      </c>
      <c r="B17" s="18" t="s">
        <v>87</v>
      </c>
      <c r="C17" s="30">
        <v>45685</v>
      </c>
      <c r="D17">
        <v>4</v>
      </c>
      <c r="E17">
        <v>5</v>
      </c>
      <c r="F17">
        <v>24</v>
      </c>
      <c r="G17">
        <v>26</v>
      </c>
      <c r="H17" s="21">
        <f t="shared" si="0"/>
        <v>45720</v>
      </c>
      <c r="I17" s="21">
        <f t="shared" si="42"/>
        <v>45804</v>
      </c>
      <c r="J17" s="21">
        <f t="shared" si="2"/>
        <v>45833</v>
      </c>
      <c r="K17" s="21">
        <f t="shared" si="43"/>
        <v>45898</v>
      </c>
      <c r="L17" s="21">
        <f t="shared" si="44"/>
        <v>45904</v>
      </c>
      <c r="M17" s="21">
        <f t="shared" si="45"/>
        <v>45909</v>
      </c>
      <c r="N17" s="21">
        <f t="shared" si="46"/>
        <v>45916</v>
      </c>
      <c r="O17" s="21">
        <f t="shared" si="47"/>
        <v>45923</v>
      </c>
      <c r="P17" s="21">
        <f t="shared" si="22"/>
        <v>45699</v>
      </c>
      <c r="Q17" s="21">
        <f t="shared" si="22"/>
        <v>45699</v>
      </c>
      <c r="R17" s="20"/>
      <c r="S17" s="21">
        <f>IF(VLOOKUP(A17,Dates,15,)&gt;0,VLOOKUP(A17,Dates,15,)+'Date Calcs'!S$2,IF(VLOOKUP(A17,Dates,13,)&gt;0,VLOOKUP(A17,Dates,13,)+'Date Calcs'!S$2,IF(VLOOKUP(A17,Dates,11,)&gt;0,VLOOKUP(A17,Dates,11,)+'Date Calcs'!S$2,IF(VLOOKUP(A17,Dates,9,)&gt;0,VLOOKUP(A17,Dates,9,)+'Date Calcs'!S$2,$I17+S$2))))</f>
        <v>45899</v>
      </c>
      <c r="T17" s="21">
        <f t="shared" si="9"/>
        <v>45900</v>
      </c>
      <c r="U17" s="21">
        <f t="shared" si="48"/>
        <v>45904</v>
      </c>
      <c r="V17" s="115"/>
      <c r="W17" s="21">
        <f t="shared" si="24"/>
        <v>46086</v>
      </c>
      <c r="X17" s="21">
        <f t="shared" si="49"/>
        <v>45911</v>
      </c>
      <c r="Y17" s="21">
        <f t="shared" si="50"/>
        <v>45918</v>
      </c>
      <c r="Z17" s="21">
        <f t="shared" si="51"/>
        <v>45918</v>
      </c>
      <c r="AA17" s="21">
        <f t="shared" si="52"/>
        <v>45918</v>
      </c>
      <c r="AB17" s="21">
        <f t="shared" si="29"/>
        <v>45918</v>
      </c>
      <c r="AC17" s="21">
        <f t="shared" si="13"/>
        <v>45919</v>
      </c>
      <c r="AD17" s="21">
        <f t="shared" si="30"/>
        <v>45911</v>
      </c>
      <c r="AE17" s="21">
        <f t="shared" si="14"/>
        <v>45921</v>
      </c>
      <c r="AF17" s="21">
        <f t="shared" si="15"/>
        <v>46079</v>
      </c>
    </row>
    <row r="18" spans="1:32" x14ac:dyDescent="0.25">
      <c r="A18" s="18" t="s">
        <v>252</v>
      </c>
      <c r="B18" s="18" t="s">
        <v>81</v>
      </c>
      <c r="C18" s="30">
        <v>45687</v>
      </c>
      <c r="D18">
        <v>1</v>
      </c>
      <c r="E18">
        <v>2</v>
      </c>
      <c r="F18">
        <v>10</v>
      </c>
      <c r="G18">
        <v>12</v>
      </c>
      <c r="H18" s="21">
        <f t="shared" si="0"/>
        <v>45701</v>
      </c>
      <c r="I18" s="21">
        <f t="shared" si="42"/>
        <v>45714</v>
      </c>
      <c r="J18" s="21">
        <f t="shared" si="2"/>
        <v>45721</v>
      </c>
      <c r="K18" s="21">
        <f t="shared" si="43"/>
        <v>45728</v>
      </c>
      <c r="L18" s="21">
        <f t="shared" si="44"/>
        <v>45733</v>
      </c>
      <c r="M18" s="21">
        <f t="shared" si="45"/>
        <v>45733</v>
      </c>
      <c r="N18" s="21">
        <f t="shared" si="46"/>
        <v>45740</v>
      </c>
      <c r="O18" s="21">
        <f t="shared" si="47"/>
        <v>45747</v>
      </c>
      <c r="P18" s="21">
        <f t="shared" si="22"/>
        <v>45701</v>
      </c>
      <c r="Q18" s="21">
        <f t="shared" si="22"/>
        <v>45701</v>
      </c>
      <c r="R18" s="20"/>
      <c r="S18" s="21">
        <f>IF(VLOOKUP(A18,Dates,15,)&gt;0,VLOOKUP(A18,Dates,15,)+'Date Calcs'!S$2,IF(VLOOKUP(A18,Dates,13,)&gt;0,VLOOKUP(A18,Dates,13,)+'Date Calcs'!S$2,IF(VLOOKUP(A18,Dates,11,)&gt;0,VLOOKUP(A18,Dates,11,)+'Date Calcs'!S$2,IF(VLOOKUP(A18,Dates,9,)&gt;0,VLOOKUP(A18,Dates,9,)+'Date Calcs'!S$2,$I18+S$2))))</f>
        <v>45728</v>
      </c>
      <c r="T18" s="21">
        <f t="shared" si="9"/>
        <v>45729</v>
      </c>
      <c r="U18" s="21">
        <f t="shared" si="48"/>
        <v>45733</v>
      </c>
      <c r="V18" s="115"/>
      <c r="W18" s="21">
        <f t="shared" si="24"/>
        <v>45817</v>
      </c>
      <c r="X18" s="21">
        <f t="shared" si="49"/>
        <v>45740</v>
      </c>
      <c r="Y18" s="21">
        <f t="shared" si="50"/>
        <v>45747</v>
      </c>
      <c r="Z18" s="21">
        <f t="shared" si="51"/>
        <v>45747</v>
      </c>
      <c r="AA18" s="21">
        <f t="shared" si="52"/>
        <v>45747</v>
      </c>
      <c r="AB18" s="21">
        <f t="shared" si="29"/>
        <v>45747</v>
      </c>
      <c r="AC18" s="21">
        <f t="shared" si="13"/>
        <v>45748</v>
      </c>
      <c r="AD18" s="21">
        <f t="shared" si="30"/>
        <v>45740</v>
      </c>
      <c r="AE18" s="21">
        <f t="shared" si="14"/>
        <v>45750</v>
      </c>
      <c r="AF18" s="21">
        <f t="shared" si="15"/>
        <v>45810</v>
      </c>
    </row>
    <row r="19" spans="1:32" x14ac:dyDescent="0.25">
      <c r="A19" s="18" t="s">
        <v>253</v>
      </c>
      <c r="B19" s="18" t="s">
        <v>81</v>
      </c>
      <c r="C19" s="30">
        <v>45687</v>
      </c>
      <c r="D19">
        <v>1</v>
      </c>
      <c r="E19">
        <v>2</v>
      </c>
      <c r="F19">
        <v>10</v>
      </c>
      <c r="G19">
        <v>12</v>
      </c>
      <c r="H19" s="21">
        <f t="shared" si="0"/>
        <v>45701</v>
      </c>
      <c r="I19" s="21">
        <f t="shared" si="42"/>
        <v>45714</v>
      </c>
      <c r="J19" s="21">
        <f t="shared" si="2"/>
        <v>45721</v>
      </c>
      <c r="K19" s="21">
        <f t="shared" si="43"/>
        <v>45728</v>
      </c>
      <c r="L19" s="21">
        <f t="shared" si="44"/>
        <v>45733</v>
      </c>
      <c r="M19" s="21">
        <f t="shared" si="45"/>
        <v>45733</v>
      </c>
      <c r="N19" s="21">
        <f t="shared" si="46"/>
        <v>45740</v>
      </c>
      <c r="O19" s="21">
        <f t="shared" si="47"/>
        <v>45747</v>
      </c>
      <c r="P19" s="21">
        <f t="shared" si="22"/>
        <v>45701</v>
      </c>
      <c r="Q19" s="21">
        <f t="shared" si="22"/>
        <v>45701</v>
      </c>
      <c r="R19" s="20"/>
      <c r="S19" s="21">
        <f>IF(VLOOKUP(A19,Dates,15,)&gt;0,VLOOKUP(A19,Dates,15,)+'Date Calcs'!S$2,IF(VLOOKUP(A19,Dates,13,)&gt;0,VLOOKUP(A19,Dates,13,)+'Date Calcs'!S$2,IF(VLOOKUP(A19,Dates,11,)&gt;0,VLOOKUP(A19,Dates,11,)+'Date Calcs'!S$2,IF(VLOOKUP(A19,Dates,9,)&gt;0,VLOOKUP(A19,Dates,9,)+'Date Calcs'!S$2,$I19+S$2))))</f>
        <v>45728</v>
      </c>
      <c r="T19" s="21">
        <f t="shared" si="9"/>
        <v>45729</v>
      </c>
      <c r="U19" s="21">
        <f t="shared" si="48"/>
        <v>45733</v>
      </c>
      <c r="V19" s="115"/>
      <c r="W19" s="21">
        <f t="shared" si="24"/>
        <v>45817</v>
      </c>
      <c r="X19" s="21">
        <f t="shared" si="49"/>
        <v>45740</v>
      </c>
      <c r="Y19" s="21">
        <f t="shared" si="50"/>
        <v>45747</v>
      </c>
      <c r="Z19" s="21">
        <f t="shared" si="51"/>
        <v>45747</v>
      </c>
      <c r="AA19" s="21">
        <f t="shared" si="52"/>
        <v>45747</v>
      </c>
      <c r="AB19" s="21">
        <f t="shared" si="29"/>
        <v>45747</v>
      </c>
      <c r="AC19" s="21">
        <f t="shared" si="13"/>
        <v>45748</v>
      </c>
      <c r="AD19" s="21">
        <f t="shared" si="30"/>
        <v>45740</v>
      </c>
      <c r="AE19" s="21">
        <f t="shared" si="14"/>
        <v>45750</v>
      </c>
      <c r="AF19" s="21">
        <f t="shared" si="15"/>
        <v>45810</v>
      </c>
    </row>
    <row r="20" spans="1:32" x14ac:dyDescent="0.25">
      <c r="A20" s="18" t="s">
        <v>254</v>
      </c>
      <c r="B20" s="18" t="s">
        <v>267</v>
      </c>
      <c r="C20" s="30">
        <v>45693</v>
      </c>
      <c r="D20">
        <v>3</v>
      </c>
      <c r="E20">
        <v>4</v>
      </c>
      <c r="F20">
        <v>20</v>
      </c>
      <c r="G20">
        <v>24</v>
      </c>
      <c r="H20" s="21">
        <f t="shared" si="0"/>
        <v>45721</v>
      </c>
      <c r="I20" s="21">
        <f t="shared" si="42"/>
        <v>45728</v>
      </c>
      <c r="J20" s="21">
        <f t="shared" si="2"/>
        <v>45761</v>
      </c>
      <c r="K20" s="21">
        <f t="shared" si="43"/>
        <v>45771</v>
      </c>
      <c r="L20" s="21">
        <f t="shared" si="44"/>
        <v>45806</v>
      </c>
      <c r="M20" s="21">
        <f t="shared" si="45"/>
        <v>45812</v>
      </c>
      <c r="N20" s="21">
        <f t="shared" si="46"/>
        <v>45819</v>
      </c>
      <c r="O20" s="21">
        <f t="shared" si="47"/>
        <v>45826</v>
      </c>
      <c r="P20" s="21">
        <f t="shared" si="22"/>
        <v>45707</v>
      </c>
      <c r="Q20" s="21">
        <f t="shared" si="22"/>
        <v>45707</v>
      </c>
      <c r="R20" s="20"/>
      <c r="S20" s="21">
        <f>IF(VLOOKUP(A20,Dates,15,)&gt;0,VLOOKUP(A20,Dates,15,)+'Date Calcs'!S$2,IF(VLOOKUP(A20,Dates,13,)&gt;0,VLOOKUP(A20,Dates,13,)+'Date Calcs'!S$2,IF(VLOOKUP(A20,Dates,11,)&gt;0,VLOOKUP(A20,Dates,11,)+'Date Calcs'!S$2,IF(VLOOKUP(A20,Dates,9,)&gt;0,VLOOKUP(A20,Dates,9,)+'Date Calcs'!S$2,$I20+S$2))))</f>
        <v>45801</v>
      </c>
      <c r="T20" s="21">
        <f t="shared" si="9"/>
        <v>45802</v>
      </c>
      <c r="U20" s="21">
        <f t="shared" si="48"/>
        <v>45806</v>
      </c>
      <c r="V20" s="115"/>
      <c r="W20" s="21">
        <f t="shared" si="24"/>
        <v>45974</v>
      </c>
      <c r="X20" s="21">
        <f t="shared" si="49"/>
        <v>45813</v>
      </c>
      <c r="Y20" s="21">
        <f t="shared" si="50"/>
        <v>45820</v>
      </c>
      <c r="Z20" s="21">
        <f t="shared" si="51"/>
        <v>45820</v>
      </c>
      <c r="AA20" s="21">
        <f t="shared" si="52"/>
        <v>45820</v>
      </c>
      <c r="AB20" s="21">
        <f t="shared" si="29"/>
        <v>45820</v>
      </c>
      <c r="AC20" s="21">
        <f t="shared" si="13"/>
        <v>45821</v>
      </c>
      <c r="AD20" s="21">
        <f t="shared" si="30"/>
        <v>45813</v>
      </c>
      <c r="AE20" s="21">
        <f t="shared" si="14"/>
        <v>45823</v>
      </c>
      <c r="AF20" s="21">
        <f t="shared" si="15"/>
        <v>45967</v>
      </c>
    </row>
    <row r="21" spans="1:32" x14ac:dyDescent="0.25">
      <c r="A21" s="18" t="s">
        <v>255</v>
      </c>
      <c r="B21" s="18" t="s">
        <v>267</v>
      </c>
      <c r="C21" s="30">
        <v>45693</v>
      </c>
      <c r="D21">
        <v>3</v>
      </c>
      <c r="E21">
        <v>4</v>
      </c>
      <c r="F21">
        <v>20</v>
      </c>
      <c r="G21">
        <v>24</v>
      </c>
      <c r="H21" s="21">
        <f t="shared" si="0"/>
        <v>45721</v>
      </c>
      <c r="I21" s="21">
        <f t="shared" si="42"/>
        <v>45728</v>
      </c>
      <c r="J21" s="21">
        <f t="shared" si="2"/>
        <v>45761</v>
      </c>
      <c r="K21" s="21">
        <f t="shared" si="43"/>
        <v>45771</v>
      </c>
      <c r="L21" s="21">
        <f t="shared" si="44"/>
        <v>45797</v>
      </c>
      <c r="M21" s="21">
        <f t="shared" si="45"/>
        <v>45804</v>
      </c>
      <c r="N21" s="21">
        <f t="shared" si="46"/>
        <v>45811</v>
      </c>
      <c r="O21" s="21">
        <f t="shared" si="47"/>
        <v>45818</v>
      </c>
      <c r="P21" s="21">
        <f t="shared" si="22"/>
        <v>45707</v>
      </c>
      <c r="Q21" s="21">
        <f t="shared" si="22"/>
        <v>45707</v>
      </c>
      <c r="R21" s="20"/>
      <c r="S21" s="21">
        <f>IF(VLOOKUP(A21,Dates,15,)&gt;0,VLOOKUP(A21,Dates,15,)+'Date Calcs'!S$2,IF(VLOOKUP(A21,Dates,13,)&gt;0,VLOOKUP(A21,Dates,13,)+'Date Calcs'!S$2,IF(VLOOKUP(A21,Dates,11,)&gt;0,VLOOKUP(A21,Dates,11,)+'Date Calcs'!S$2,IF(VLOOKUP(A21,Dates,9,)&gt;0,VLOOKUP(A21,Dates,9,)+'Date Calcs'!S$2,$I21+S$2))))</f>
        <v>45792</v>
      </c>
      <c r="T21" s="21">
        <f t="shared" si="9"/>
        <v>45793</v>
      </c>
      <c r="U21" s="21">
        <f t="shared" si="48"/>
        <v>45797</v>
      </c>
      <c r="V21" s="115"/>
      <c r="W21" s="21">
        <f t="shared" si="24"/>
        <v>45965</v>
      </c>
      <c r="X21" s="21">
        <f t="shared" si="49"/>
        <v>45804</v>
      </c>
      <c r="Y21" s="21">
        <f t="shared" si="50"/>
        <v>45811</v>
      </c>
      <c r="Z21" s="21">
        <f t="shared" si="51"/>
        <v>45811</v>
      </c>
      <c r="AA21" s="21">
        <f t="shared" si="52"/>
        <v>45811</v>
      </c>
      <c r="AB21" s="21">
        <f t="shared" si="29"/>
        <v>45811</v>
      </c>
      <c r="AC21" s="21">
        <f t="shared" si="13"/>
        <v>45812</v>
      </c>
      <c r="AD21" s="21">
        <f t="shared" si="30"/>
        <v>45804</v>
      </c>
      <c r="AE21" s="21">
        <f t="shared" si="14"/>
        <v>45814</v>
      </c>
      <c r="AF21" s="21">
        <f t="shared" si="15"/>
        <v>45958</v>
      </c>
    </row>
    <row r="22" spans="1:32" x14ac:dyDescent="0.25">
      <c r="A22" s="18" t="s">
        <v>256</v>
      </c>
      <c r="B22" s="18" t="s">
        <v>267</v>
      </c>
      <c r="C22" s="30">
        <v>45693</v>
      </c>
      <c r="D22">
        <v>3</v>
      </c>
      <c r="E22">
        <v>4</v>
      </c>
      <c r="F22">
        <v>20</v>
      </c>
      <c r="G22">
        <v>24</v>
      </c>
      <c r="H22" s="21">
        <f t="shared" si="0"/>
        <v>45721</v>
      </c>
      <c r="I22" s="21">
        <f t="shared" si="42"/>
        <v>45728</v>
      </c>
      <c r="J22" s="21">
        <f t="shared" si="2"/>
        <v>45761</v>
      </c>
      <c r="K22" s="21">
        <f t="shared" si="43"/>
        <v>45771</v>
      </c>
      <c r="L22" s="21">
        <f t="shared" si="44"/>
        <v>45797</v>
      </c>
      <c r="M22" s="21">
        <f t="shared" si="45"/>
        <v>45804</v>
      </c>
      <c r="N22" s="21">
        <f t="shared" si="46"/>
        <v>45811</v>
      </c>
      <c r="O22" s="21">
        <f t="shared" si="47"/>
        <v>45818</v>
      </c>
      <c r="P22" s="21">
        <f t="shared" si="22"/>
        <v>45707</v>
      </c>
      <c r="Q22" s="21">
        <f t="shared" si="22"/>
        <v>45707</v>
      </c>
      <c r="R22" s="20"/>
      <c r="S22" s="21">
        <f>IF(VLOOKUP(A22,Dates,15,)&gt;0,VLOOKUP(A22,Dates,15,)+'Date Calcs'!S$2,IF(VLOOKUP(A22,Dates,13,)&gt;0,VLOOKUP(A22,Dates,13,)+'Date Calcs'!S$2,IF(VLOOKUP(A22,Dates,11,)&gt;0,VLOOKUP(A22,Dates,11,)+'Date Calcs'!S$2,IF(VLOOKUP(A22,Dates,9,)&gt;0,VLOOKUP(A22,Dates,9,)+'Date Calcs'!S$2,$I22+S$2))))</f>
        <v>45792</v>
      </c>
      <c r="T22" s="21">
        <f t="shared" si="9"/>
        <v>45793</v>
      </c>
      <c r="U22" s="21">
        <f t="shared" si="48"/>
        <v>45797</v>
      </c>
      <c r="V22" s="115"/>
      <c r="W22" s="21">
        <f t="shared" si="24"/>
        <v>45965</v>
      </c>
      <c r="X22" s="21">
        <f t="shared" si="49"/>
        <v>45804</v>
      </c>
      <c r="Y22" s="21">
        <f t="shared" si="50"/>
        <v>45811</v>
      </c>
      <c r="Z22" s="21">
        <f t="shared" si="51"/>
        <v>45811</v>
      </c>
      <c r="AA22" s="21">
        <f t="shared" si="52"/>
        <v>45811</v>
      </c>
      <c r="AB22" s="21">
        <f t="shared" si="29"/>
        <v>45811</v>
      </c>
      <c r="AC22" s="21">
        <f t="shared" si="13"/>
        <v>45812</v>
      </c>
      <c r="AD22" s="21">
        <f t="shared" si="30"/>
        <v>45804</v>
      </c>
      <c r="AE22" s="21">
        <f t="shared" si="14"/>
        <v>45814</v>
      </c>
      <c r="AF22" s="21">
        <f t="shared" si="15"/>
        <v>45958</v>
      </c>
    </row>
    <row r="23" spans="1:32" x14ac:dyDescent="0.25">
      <c r="A23" s="18" t="s">
        <v>257</v>
      </c>
      <c r="B23" s="18" t="s">
        <v>267</v>
      </c>
      <c r="C23" s="30">
        <v>45693</v>
      </c>
      <c r="D23">
        <v>3</v>
      </c>
      <c r="E23">
        <v>4</v>
      </c>
      <c r="F23">
        <v>20</v>
      </c>
      <c r="G23">
        <v>24</v>
      </c>
      <c r="H23" s="21">
        <f t="shared" si="0"/>
        <v>45721</v>
      </c>
      <c r="I23" s="21">
        <f t="shared" si="42"/>
        <v>45733</v>
      </c>
      <c r="J23" s="21">
        <f t="shared" si="2"/>
        <v>45761</v>
      </c>
      <c r="K23" s="21">
        <f t="shared" si="43"/>
        <v>45771</v>
      </c>
      <c r="L23" s="21">
        <f t="shared" si="44"/>
        <v>45797</v>
      </c>
      <c r="M23" s="21">
        <f t="shared" si="45"/>
        <v>45804</v>
      </c>
      <c r="N23" s="21">
        <f t="shared" si="46"/>
        <v>45811</v>
      </c>
      <c r="O23" s="21">
        <f t="shared" si="47"/>
        <v>45818</v>
      </c>
      <c r="P23" s="21">
        <f t="shared" si="22"/>
        <v>45707</v>
      </c>
      <c r="Q23" s="21">
        <f t="shared" si="22"/>
        <v>45707</v>
      </c>
      <c r="R23" s="20"/>
      <c r="S23" s="21">
        <f>IF(VLOOKUP(A23,Dates,15,)&gt;0,VLOOKUP(A23,Dates,15,)+'Date Calcs'!S$2,IF(VLOOKUP(A23,Dates,13,)&gt;0,VLOOKUP(A23,Dates,13,)+'Date Calcs'!S$2,IF(VLOOKUP(A23,Dates,11,)&gt;0,VLOOKUP(A23,Dates,11,)+'Date Calcs'!S$2,IF(VLOOKUP(A23,Dates,9,)&gt;0,VLOOKUP(A23,Dates,9,)+'Date Calcs'!S$2,$I23+S$2))))</f>
        <v>45792</v>
      </c>
      <c r="T23" s="21">
        <f t="shared" si="9"/>
        <v>45793</v>
      </c>
      <c r="U23" s="21">
        <f t="shared" si="48"/>
        <v>45797</v>
      </c>
      <c r="V23" s="115"/>
      <c r="W23" s="21">
        <f t="shared" si="24"/>
        <v>45965</v>
      </c>
      <c r="X23" s="21">
        <f t="shared" si="49"/>
        <v>45804</v>
      </c>
      <c r="Y23" s="21">
        <f t="shared" si="50"/>
        <v>45811</v>
      </c>
      <c r="Z23" s="21">
        <f t="shared" si="51"/>
        <v>45811</v>
      </c>
      <c r="AA23" s="21">
        <f t="shared" si="52"/>
        <v>45811</v>
      </c>
      <c r="AB23" s="21">
        <f t="shared" si="29"/>
        <v>45811</v>
      </c>
      <c r="AC23" s="21">
        <f t="shared" si="13"/>
        <v>45812</v>
      </c>
      <c r="AD23" s="21">
        <f t="shared" si="30"/>
        <v>45804</v>
      </c>
      <c r="AE23" s="21">
        <f t="shared" si="14"/>
        <v>45814</v>
      </c>
      <c r="AF23" s="21">
        <f t="shared" si="15"/>
        <v>45958</v>
      </c>
    </row>
    <row r="24" spans="1:32" x14ac:dyDescent="0.25">
      <c r="A24" s="18" t="s">
        <v>258</v>
      </c>
      <c r="B24" s="18" t="s">
        <v>267</v>
      </c>
      <c r="C24" s="30">
        <v>45693</v>
      </c>
      <c r="D24">
        <v>3</v>
      </c>
      <c r="E24">
        <v>4</v>
      </c>
      <c r="F24">
        <v>20</v>
      </c>
      <c r="G24">
        <v>24</v>
      </c>
      <c r="H24" s="21">
        <f t="shared" si="0"/>
        <v>45721</v>
      </c>
      <c r="I24" s="21">
        <f t="shared" ref="I24:I26" si="53">IF(VLOOKUP($A24,Dates,8,)=0,H24+I$2,VLOOKUP($A24,Dates,8,)+I$2)</f>
        <v>45733</v>
      </c>
      <c r="J24" s="21">
        <f t="shared" si="2"/>
        <v>45761</v>
      </c>
      <c r="K24" s="21">
        <f t="shared" ref="K24:K26" si="54">IF(VLOOKUP($A24,Dates,10,)=0,J24+K$2,VLOOKUP($A24,Dates,10,)+K$2)</f>
        <v>45771</v>
      </c>
      <c r="L24" s="21">
        <f t="shared" ref="L24:L26" si="55">IF(VLOOKUP($A24,Dates,11,)=0,K24+L$2,VLOOKUP($A24,Dates,11,)+L$2)</f>
        <v>45797</v>
      </c>
      <c r="M24" s="21">
        <f t="shared" ref="M24:M26" si="56">IF(VLOOKUP($A24,Dates,12,)=0,L24+M$2,VLOOKUP($A24,Dates,12,)+M$2)</f>
        <v>45804</v>
      </c>
      <c r="N24" s="21">
        <f t="shared" ref="N24:N26" si="57">IF(VLOOKUP($A24,Dates,13,)=0,M24+N$2,VLOOKUP($A24,Dates,13,)+N$2)</f>
        <v>45811</v>
      </c>
      <c r="O24" s="21">
        <f t="shared" ref="O24:O26" si="58">IF(VLOOKUP($A24,Dates,14,)=0,N24+O$2,VLOOKUP($A24,Dates,14,)+O$2)</f>
        <v>45818</v>
      </c>
      <c r="P24" s="21">
        <f t="shared" ref="P24:Q26" si="59">$C24+P$2</f>
        <v>45707</v>
      </c>
      <c r="Q24" s="21">
        <f t="shared" si="59"/>
        <v>45707</v>
      </c>
      <c r="R24" s="20"/>
      <c r="S24" s="21">
        <f>IF(VLOOKUP(A24,Dates,15,)&gt;0,VLOOKUP(A24,Dates,15,)+'Date Calcs'!S$2,IF(VLOOKUP(A24,Dates,13,)&gt;0,VLOOKUP(A24,Dates,13,)+'Date Calcs'!S$2,IF(VLOOKUP(A24,Dates,11,)&gt;0,VLOOKUP(A24,Dates,11,)+'Date Calcs'!S$2,IF(VLOOKUP(A24,Dates,9,)&gt;0,VLOOKUP(A24,Dates,9,)+'Date Calcs'!S$2,$I24+S$2))))</f>
        <v>45792</v>
      </c>
      <c r="T24" s="21">
        <f t="shared" si="9"/>
        <v>45793</v>
      </c>
      <c r="U24" s="21">
        <f t="shared" ref="U24:U26" si="60">S24+U$2-S$2</f>
        <v>45797</v>
      </c>
      <c r="V24" s="115"/>
      <c r="W24" s="21">
        <f t="shared" si="24"/>
        <v>45965</v>
      </c>
      <c r="X24" s="21">
        <f t="shared" ref="X24:X26" si="61">S24+X$2-S$2</f>
        <v>45804</v>
      </c>
      <c r="Y24" s="21">
        <f t="shared" ref="Y24:Y26" si="62">S24+Y$2-S$2</f>
        <v>45811</v>
      </c>
      <c r="Z24" s="21">
        <f t="shared" ref="Z24:AA26" si="63">Y24</f>
        <v>45811</v>
      </c>
      <c r="AA24" s="21">
        <f t="shared" si="63"/>
        <v>45811</v>
      </c>
      <c r="AB24" s="21">
        <f t="shared" si="29"/>
        <v>45811</v>
      </c>
      <c r="AC24" s="21">
        <f t="shared" si="13"/>
        <v>45812</v>
      </c>
      <c r="AD24" s="21">
        <f t="shared" si="30"/>
        <v>45804</v>
      </c>
      <c r="AE24" s="21">
        <f t="shared" si="14"/>
        <v>45814</v>
      </c>
      <c r="AF24" s="21">
        <f t="shared" si="15"/>
        <v>45958</v>
      </c>
    </row>
    <row r="25" spans="1:32" x14ac:dyDescent="0.25">
      <c r="A25" s="18" t="s">
        <v>259</v>
      </c>
      <c r="B25" s="18" t="s">
        <v>267</v>
      </c>
      <c r="C25" s="30">
        <v>45693</v>
      </c>
      <c r="D25">
        <v>3</v>
      </c>
      <c r="E25">
        <v>4</v>
      </c>
      <c r="F25">
        <v>20</v>
      </c>
      <c r="G25">
        <v>24</v>
      </c>
      <c r="H25" s="21">
        <f t="shared" si="0"/>
        <v>45721</v>
      </c>
      <c r="I25" s="21">
        <f t="shared" si="53"/>
        <v>45735</v>
      </c>
      <c r="J25" s="21">
        <f t="shared" si="2"/>
        <v>45761</v>
      </c>
      <c r="K25" s="21">
        <f t="shared" si="54"/>
        <v>45771</v>
      </c>
      <c r="L25" s="21">
        <f t="shared" si="55"/>
        <v>45797</v>
      </c>
      <c r="M25" s="21">
        <f t="shared" si="56"/>
        <v>45804</v>
      </c>
      <c r="N25" s="21">
        <f t="shared" si="57"/>
        <v>45811</v>
      </c>
      <c r="O25" s="21">
        <f t="shared" si="58"/>
        <v>45818</v>
      </c>
      <c r="P25" s="21">
        <f t="shared" si="59"/>
        <v>45707</v>
      </c>
      <c r="Q25" s="21">
        <f t="shared" si="59"/>
        <v>45707</v>
      </c>
      <c r="R25" s="20"/>
      <c r="S25" s="21">
        <f>IF(VLOOKUP(A25,Dates,15,)&gt;0,VLOOKUP(A25,Dates,15,)+'Date Calcs'!S$2,IF(VLOOKUP(A25,Dates,13,)&gt;0,VLOOKUP(A25,Dates,13,)+'Date Calcs'!S$2,IF(VLOOKUP(A25,Dates,11,)&gt;0,VLOOKUP(A25,Dates,11,)+'Date Calcs'!S$2,IF(VLOOKUP(A25,Dates,9,)&gt;0,VLOOKUP(A25,Dates,9,)+'Date Calcs'!S$2,$I25+S$2))))</f>
        <v>45792</v>
      </c>
      <c r="T25" s="21">
        <f t="shared" si="9"/>
        <v>45793</v>
      </c>
      <c r="U25" s="21">
        <f t="shared" si="60"/>
        <v>45797</v>
      </c>
      <c r="V25" s="115"/>
      <c r="W25" s="21">
        <f t="shared" si="24"/>
        <v>45965</v>
      </c>
      <c r="X25" s="21">
        <f t="shared" si="61"/>
        <v>45804</v>
      </c>
      <c r="Y25" s="21">
        <f t="shared" si="62"/>
        <v>45811</v>
      </c>
      <c r="Z25" s="21">
        <f t="shared" si="63"/>
        <v>45811</v>
      </c>
      <c r="AA25" s="21">
        <f t="shared" si="63"/>
        <v>45811</v>
      </c>
      <c r="AB25" s="21">
        <f t="shared" si="29"/>
        <v>45811</v>
      </c>
      <c r="AC25" s="21">
        <f t="shared" si="13"/>
        <v>45812</v>
      </c>
      <c r="AD25" s="21">
        <f t="shared" si="30"/>
        <v>45804</v>
      </c>
      <c r="AE25" s="21">
        <f t="shared" si="14"/>
        <v>45814</v>
      </c>
      <c r="AF25" s="21">
        <f t="shared" si="15"/>
        <v>45958</v>
      </c>
    </row>
    <row r="26" spans="1:32" x14ac:dyDescent="0.25">
      <c r="A26" s="18" t="s">
        <v>260</v>
      </c>
      <c r="B26" s="18" t="s">
        <v>267</v>
      </c>
      <c r="C26" s="30">
        <v>45693</v>
      </c>
      <c r="D26">
        <v>3</v>
      </c>
      <c r="E26">
        <v>4</v>
      </c>
      <c r="F26">
        <v>20</v>
      </c>
      <c r="G26">
        <v>24</v>
      </c>
      <c r="H26" s="21">
        <f t="shared" si="0"/>
        <v>45721</v>
      </c>
      <c r="I26" s="21">
        <f t="shared" si="53"/>
        <v>45729</v>
      </c>
      <c r="J26" s="21">
        <f t="shared" si="2"/>
        <v>45761</v>
      </c>
      <c r="K26" s="21">
        <f t="shared" si="54"/>
        <v>45771</v>
      </c>
      <c r="L26" s="21">
        <f t="shared" si="55"/>
        <v>45805</v>
      </c>
      <c r="M26" s="21">
        <f t="shared" si="56"/>
        <v>45812</v>
      </c>
      <c r="N26" s="21">
        <f t="shared" si="57"/>
        <v>45819</v>
      </c>
      <c r="O26" s="21">
        <f t="shared" si="58"/>
        <v>45826</v>
      </c>
      <c r="P26" s="21">
        <f t="shared" si="59"/>
        <v>45707</v>
      </c>
      <c r="Q26" s="21">
        <f t="shared" si="59"/>
        <v>45707</v>
      </c>
      <c r="R26" s="20"/>
      <c r="S26" s="21">
        <f>IF(VLOOKUP(A26,Dates,15,)&gt;0,VLOOKUP(A26,Dates,15,)+'Date Calcs'!S$2,IF(VLOOKUP(A26,Dates,13,)&gt;0,VLOOKUP(A26,Dates,13,)+'Date Calcs'!S$2,IF(VLOOKUP(A26,Dates,11,)&gt;0,VLOOKUP(A26,Dates,11,)+'Date Calcs'!S$2,IF(VLOOKUP(A26,Dates,9,)&gt;0,VLOOKUP(A26,Dates,9,)+'Date Calcs'!S$2,$I26+S$2))))</f>
        <v>45800</v>
      </c>
      <c r="T26" s="21">
        <f t="shared" si="9"/>
        <v>45801</v>
      </c>
      <c r="U26" s="21">
        <f t="shared" si="60"/>
        <v>45805</v>
      </c>
      <c r="V26" s="115"/>
      <c r="W26" s="21">
        <f t="shared" si="24"/>
        <v>45973</v>
      </c>
      <c r="X26" s="21">
        <f t="shared" si="61"/>
        <v>45812</v>
      </c>
      <c r="Y26" s="21">
        <f t="shared" si="62"/>
        <v>45819</v>
      </c>
      <c r="Z26" s="21">
        <f t="shared" si="63"/>
        <v>45819</v>
      </c>
      <c r="AA26" s="21">
        <f t="shared" si="63"/>
        <v>45819</v>
      </c>
      <c r="AB26" s="21">
        <f t="shared" si="29"/>
        <v>45819</v>
      </c>
      <c r="AC26" s="21">
        <f t="shared" si="13"/>
        <v>45820</v>
      </c>
      <c r="AD26" s="21">
        <f t="shared" si="30"/>
        <v>45812</v>
      </c>
      <c r="AE26" s="21">
        <f t="shared" si="14"/>
        <v>45822</v>
      </c>
      <c r="AF26" s="21">
        <f t="shared" si="15"/>
        <v>45966</v>
      </c>
    </row>
    <row r="27" spans="1:32" x14ac:dyDescent="0.25">
      <c r="A27" s="18" t="s">
        <v>261</v>
      </c>
      <c r="B27" s="18" t="s">
        <v>267</v>
      </c>
      <c r="C27" s="30">
        <v>45693</v>
      </c>
      <c r="D27">
        <v>3</v>
      </c>
      <c r="E27">
        <v>4</v>
      </c>
      <c r="F27">
        <v>20</v>
      </c>
      <c r="G27">
        <v>24</v>
      </c>
      <c r="H27" s="21">
        <f t="shared" si="0"/>
        <v>45721</v>
      </c>
      <c r="I27" s="21">
        <f t="shared" ref="I27:I32" si="64">IF(VLOOKUP($A27,Dates,8,)=0,H27+I$2,VLOOKUP($A27,Dates,8,)+I$2)</f>
        <v>45729</v>
      </c>
      <c r="J27" s="21">
        <f t="shared" si="2"/>
        <v>45761</v>
      </c>
      <c r="K27" s="21">
        <f t="shared" ref="K27:K32" si="65">IF(VLOOKUP($A27,Dates,10,)=0,J27+K$2,VLOOKUP($A27,Dates,10,)+K$2)</f>
        <v>45771</v>
      </c>
      <c r="L27" s="21">
        <f t="shared" ref="L27:L32" si="66">IF(VLOOKUP($A27,Dates,11,)=0,K27+L$2,VLOOKUP($A27,Dates,11,)+L$2)</f>
        <v>45805</v>
      </c>
      <c r="M27" s="21">
        <f t="shared" ref="M27:M32" si="67">IF(VLOOKUP($A27,Dates,12,)=0,L27+M$2,VLOOKUP($A27,Dates,12,)+M$2)</f>
        <v>45812</v>
      </c>
      <c r="N27" s="21">
        <f t="shared" ref="N27:N32" si="68">IF(VLOOKUP($A27,Dates,13,)=0,M27+N$2,VLOOKUP($A27,Dates,13,)+N$2)</f>
        <v>45819</v>
      </c>
      <c r="O27" s="21">
        <f t="shared" ref="O27:O32" si="69">IF(VLOOKUP($A27,Dates,14,)=0,N27+O$2,VLOOKUP($A27,Dates,14,)+O$2)</f>
        <v>45826</v>
      </c>
      <c r="P27" s="21">
        <f t="shared" ref="P27:Q121" si="70">$C27+P$2</f>
        <v>45707</v>
      </c>
      <c r="Q27" s="21">
        <f t="shared" si="70"/>
        <v>45707</v>
      </c>
      <c r="R27" s="20"/>
      <c r="S27" s="21">
        <f>IF(VLOOKUP(A27,Dates,15,)&gt;0,VLOOKUP(A27,Dates,15,)+'Date Calcs'!S$2,IF(VLOOKUP(A27,Dates,13,)&gt;0,VLOOKUP(A27,Dates,13,)+'Date Calcs'!S$2,IF(VLOOKUP(A27,Dates,11,)&gt;0,VLOOKUP(A27,Dates,11,)+'Date Calcs'!S$2,IF(VLOOKUP(A27,Dates,9,)&gt;0,VLOOKUP(A27,Dates,9,)+'Date Calcs'!S$2,$I27+S$2))))</f>
        <v>45800</v>
      </c>
      <c r="T27" s="21">
        <f t="shared" si="9"/>
        <v>45801</v>
      </c>
      <c r="U27" s="21">
        <f t="shared" ref="U27:U32" si="71">S27+U$2-S$2</f>
        <v>45805</v>
      </c>
      <c r="V27" s="115"/>
      <c r="W27" s="21">
        <f t="shared" si="24"/>
        <v>45973</v>
      </c>
      <c r="X27" s="21">
        <f t="shared" ref="X27:X32" si="72">S27+X$2-S$2</f>
        <v>45812</v>
      </c>
      <c r="Y27" s="21">
        <f t="shared" ref="Y27:Y32" si="73">S27+Y$2-S$2</f>
        <v>45819</v>
      </c>
      <c r="Z27" s="21">
        <f t="shared" ref="Z27:Z32" si="74">Y27</f>
        <v>45819</v>
      </c>
      <c r="AA27" s="21">
        <f t="shared" ref="AA27:AA32" si="75">Z27</f>
        <v>45819</v>
      </c>
      <c r="AB27" s="21">
        <f t="shared" si="29"/>
        <v>45819</v>
      </c>
      <c r="AC27" s="21">
        <f t="shared" si="13"/>
        <v>45820</v>
      </c>
      <c r="AD27" s="21">
        <f t="shared" si="30"/>
        <v>45812</v>
      </c>
      <c r="AE27" s="21">
        <f t="shared" si="14"/>
        <v>45822</v>
      </c>
      <c r="AF27" s="21">
        <f t="shared" si="15"/>
        <v>45966</v>
      </c>
    </row>
    <row r="28" spans="1:32" x14ac:dyDescent="0.25">
      <c r="A28" s="18" t="s">
        <v>262</v>
      </c>
      <c r="B28" s="18" t="s">
        <v>267</v>
      </c>
      <c r="C28" s="30">
        <v>45693</v>
      </c>
      <c r="D28">
        <v>3</v>
      </c>
      <c r="E28">
        <v>4</v>
      </c>
      <c r="F28">
        <v>20</v>
      </c>
      <c r="G28">
        <v>24</v>
      </c>
      <c r="H28" s="21">
        <f t="shared" si="0"/>
        <v>45721</v>
      </c>
      <c r="I28" s="21">
        <f t="shared" si="64"/>
        <v>45735</v>
      </c>
      <c r="J28" s="21">
        <f t="shared" si="2"/>
        <v>45761</v>
      </c>
      <c r="K28" s="21">
        <f t="shared" si="65"/>
        <v>45771</v>
      </c>
      <c r="L28" s="21">
        <f t="shared" si="66"/>
        <v>45805</v>
      </c>
      <c r="M28" s="21">
        <f t="shared" si="67"/>
        <v>45812</v>
      </c>
      <c r="N28" s="21">
        <f t="shared" si="68"/>
        <v>45819</v>
      </c>
      <c r="O28" s="21">
        <f t="shared" si="69"/>
        <v>45826</v>
      </c>
      <c r="P28" s="21">
        <f t="shared" si="70"/>
        <v>45707</v>
      </c>
      <c r="Q28" s="21">
        <f t="shared" si="70"/>
        <v>45707</v>
      </c>
      <c r="R28" s="20"/>
      <c r="S28" s="21">
        <f>IF(VLOOKUP(A28,Dates,15,)&gt;0,VLOOKUP(A28,Dates,15,)+'Date Calcs'!S$2,IF(VLOOKUP(A28,Dates,13,)&gt;0,VLOOKUP(A28,Dates,13,)+'Date Calcs'!S$2,IF(VLOOKUP(A28,Dates,11,)&gt;0,VLOOKUP(A28,Dates,11,)+'Date Calcs'!S$2,IF(VLOOKUP(A28,Dates,9,)&gt;0,VLOOKUP(A28,Dates,9,)+'Date Calcs'!S$2,$I28+S$2))))</f>
        <v>45800</v>
      </c>
      <c r="T28" s="21">
        <f t="shared" si="9"/>
        <v>45801</v>
      </c>
      <c r="U28" s="21">
        <f t="shared" si="71"/>
        <v>45805</v>
      </c>
      <c r="V28" s="115"/>
      <c r="W28" s="21">
        <f t="shared" si="24"/>
        <v>45973</v>
      </c>
      <c r="X28" s="21">
        <f t="shared" si="72"/>
        <v>45812</v>
      </c>
      <c r="Y28" s="21">
        <f t="shared" si="73"/>
        <v>45819</v>
      </c>
      <c r="Z28" s="21">
        <f t="shared" si="74"/>
        <v>45819</v>
      </c>
      <c r="AA28" s="21">
        <f t="shared" si="75"/>
        <v>45819</v>
      </c>
      <c r="AB28" s="21">
        <f t="shared" si="29"/>
        <v>45819</v>
      </c>
      <c r="AC28" s="21">
        <f t="shared" si="13"/>
        <v>45820</v>
      </c>
      <c r="AD28" s="21">
        <f t="shared" si="30"/>
        <v>45812</v>
      </c>
      <c r="AE28" s="21">
        <f t="shared" si="14"/>
        <v>45822</v>
      </c>
      <c r="AF28" s="21">
        <f t="shared" si="15"/>
        <v>45966</v>
      </c>
    </row>
    <row r="29" spans="1:32" x14ac:dyDescent="0.25">
      <c r="A29" s="18" t="s">
        <v>263</v>
      </c>
      <c r="B29" s="18" t="s">
        <v>267</v>
      </c>
      <c r="C29" s="30">
        <v>45693</v>
      </c>
      <c r="D29">
        <v>3</v>
      </c>
      <c r="E29">
        <v>4</v>
      </c>
      <c r="F29">
        <v>20</v>
      </c>
      <c r="G29">
        <v>24</v>
      </c>
      <c r="H29" s="21">
        <f t="shared" si="0"/>
        <v>45721</v>
      </c>
      <c r="I29" s="21">
        <f t="shared" si="64"/>
        <v>45728</v>
      </c>
      <c r="J29" s="21">
        <f t="shared" si="2"/>
        <v>45761</v>
      </c>
      <c r="K29" s="21">
        <f t="shared" si="65"/>
        <v>45771</v>
      </c>
      <c r="L29" s="21">
        <f t="shared" si="66"/>
        <v>45805</v>
      </c>
      <c r="M29" s="21">
        <f t="shared" si="67"/>
        <v>45812</v>
      </c>
      <c r="N29" s="21">
        <f t="shared" si="68"/>
        <v>45819</v>
      </c>
      <c r="O29" s="21">
        <f t="shared" si="69"/>
        <v>45826</v>
      </c>
      <c r="P29" s="21">
        <f t="shared" si="70"/>
        <v>45707</v>
      </c>
      <c r="Q29" s="21">
        <f t="shared" si="70"/>
        <v>45707</v>
      </c>
      <c r="R29" s="20"/>
      <c r="S29" s="21">
        <f>IF(VLOOKUP(A29,Dates,15,)&gt;0,VLOOKUP(A29,Dates,15,)+'Date Calcs'!S$2,IF(VLOOKUP(A29,Dates,13,)&gt;0,VLOOKUP(A29,Dates,13,)+'Date Calcs'!S$2,IF(VLOOKUP(A29,Dates,11,)&gt;0,VLOOKUP(A29,Dates,11,)+'Date Calcs'!S$2,IF(VLOOKUP(A29,Dates,9,)&gt;0,VLOOKUP(A29,Dates,9,)+'Date Calcs'!S$2,$I29+S$2))))</f>
        <v>45800</v>
      </c>
      <c r="T29" s="21">
        <f t="shared" si="9"/>
        <v>45801</v>
      </c>
      <c r="U29" s="21">
        <f t="shared" si="71"/>
        <v>45805</v>
      </c>
      <c r="V29" s="115"/>
      <c r="W29" s="21">
        <f t="shared" si="24"/>
        <v>45973</v>
      </c>
      <c r="X29" s="21">
        <f t="shared" si="72"/>
        <v>45812</v>
      </c>
      <c r="Y29" s="21">
        <f t="shared" si="73"/>
        <v>45819</v>
      </c>
      <c r="Z29" s="21">
        <f t="shared" si="74"/>
        <v>45819</v>
      </c>
      <c r="AA29" s="21">
        <f t="shared" si="75"/>
        <v>45819</v>
      </c>
      <c r="AB29" s="21">
        <f t="shared" si="29"/>
        <v>45819</v>
      </c>
      <c r="AC29" s="21">
        <f t="shared" si="13"/>
        <v>45820</v>
      </c>
      <c r="AD29" s="21">
        <f t="shared" si="30"/>
        <v>45812</v>
      </c>
      <c r="AE29" s="21">
        <f t="shared" si="14"/>
        <v>45822</v>
      </c>
      <c r="AF29" s="21">
        <f t="shared" si="15"/>
        <v>45966</v>
      </c>
    </row>
    <row r="30" spans="1:32" x14ac:dyDescent="0.25">
      <c r="A30" s="18" t="s">
        <v>264</v>
      </c>
      <c r="B30" s="18" t="s">
        <v>267</v>
      </c>
      <c r="C30" s="30">
        <v>45693</v>
      </c>
      <c r="D30">
        <v>3</v>
      </c>
      <c r="E30">
        <v>4</v>
      </c>
      <c r="F30">
        <v>20</v>
      </c>
      <c r="G30">
        <v>24</v>
      </c>
      <c r="H30" s="21">
        <f t="shared" si="0"/>
        <v>45721</v>
      </c>
      <c r="I30" s="21">
        <f t="shared" si="64"/>
        <v>45735</v>
      </c>
      <c r="J30" s="21">
        <f t="shared" si="2"/>
        <v>45761</v>
      </c>
      <c r="K30" s="21">
        <f t="shared" si="65"/>
        <v>45771</v>
      </c>
      <c r="L30" s="21">
        <f t="shared" si="66"/>
        <v>45805</v>
      </c>
      <c r="M30" s="21">
        <f t="shared" si="67"/>
        <v>45812</v>
      </c>
      <c r="N30" s="21">
        <f t="shared" si="68"/>
        <v>45819</v>
      </c>
      <c r="O30" s="21">
        <f t="shared" si="69"/>
        <v>45826</v>
      </c>
      <c r="P30" s="21">
        <f t="shared" si="70"/>
        <v>45707</v>
      </c>
      <c r="Q30" s="21">
        <f t="shared" si="70"/>
        <v>45707</v>
      </c>
      <c r="R30" s="20"/>
      <c r="S30" s="21">
        <f>IF(VLOOKUP(A30,Dates,15,)&gt;0,VLOOKUP(A30,Dates,15,)+'Date Calcs'!S$2,IF(VLOOKUP(A30,Dates,13,)&gt;0,VLOOKUP(A30,Dates,13,)+'Date Calcs'!S$2,IF(VLOOKUP(A30,Dates,11,)&gt;0,VLOOKUP(A30,Dates,11,)+'Date Calcs'!S$2,IF(VLOOKUP(A30,Dates,9,)&gt;0,VLOOKUP(A30,Dates,9,)+'Date Calcs'!S$2,$I30+S$2))))</f>
        <v>45800</v>
      </c>
      <c r="T30" s="21">
        <f t="shared" si="9"/>
        <v>45801</v>
      </c>
      <c r="U30" s="21">
        <f t="shared" si="71"/>
        <v>45805</v>
      </c>
      <c r="V30" s="115"/>
      <c r="W30" s="21">
        <f t="shared" si="24"/>
        <v>45973</v>
      </c>
      <c r="X30" s="21">
        <f t="shared" si="72"/>
        <v>45812</v>
      </c>
      <c r="Y30" s="21">
        <f t="shared" si="73"/>
        <v>45819</v>
      </c>
      <c r="Z30" s="21">
        <f t="shared" si="74"/>
        <v>45819</v>
      </c>
      <c r="AA30" s="21">
        <f t="shared" si="75"/>
        <v>45819</v>
      </c>
      <c r="AB30" s="21">
        <f t="shared" si="29"/>
        <v>45819</v>
      </c>
      <c r="AC30" s="21">
        <f t="shared" si="13"/>
        <v>45820</v>
      </c>
      <c r="AD30" s="21">
        <f t="shared" si="30"/>
        <v>45812</v>
      </c>
      <c r="AE30" s="21">
        <f t="shared" si="14"/>
        <v>45822</v>
      </c>
      <c r="AF30" s="21">
        <f t="shared" si="15"/>
        <v>45966</v>
      </c>
    </row>
    <row r="31" spans="1:32" x14ac:dyDescent="0.25">
      <c r="A31" s="18" t="s">
        <v>265</v>
      </c>
      <c r="B31" s="18" t="s">
        <v>267</v>
      </c>
      <c r="C31" s="30">
        <v>45693</v>
      </c>
      <c r="D31">
        <v>3</v>
      </c>
      <c r="E31">
        <v>4</v>
      </c>
      <c r="F31">
        <v>20</v>
      </c>
      <c r="G31">
        <v>24</v>
      </c>
      <c r="H31" s="21">
        <f t="shared" si="0"/>
        <v>45721</v>
      </c>
      <c r="I31" s="21">
        <f t="shared" si="64"/>
        <v>45728</v>
      </c>
      <c r="J31" s="21">
        <f t="shared" si="2"/>
        <v>45761</v>
      </c>
      <c r="K31" s="21">
        <f t="shared" si="65"/>
        <v>45771</v>
      </c>
      <c r="L31" s="21">
        <f t="shared" si="66"/>
        <v>45805</v>
      </c>
      <c r="M31" s="21">
        <f t="shared" si="67"/>
        <v>45812</v>
      </c>
      <c r="N31" s="21">
        <f t="shared" si="68"/>
        <v>45819</v>
      </c>
      <c r="O31" s="21">
        <f t="shared" si="69"/>
        <v>45826</v>
      </c>
      <c r="P31" s="21">
        <f t="shared" si="70"/>
        <v>45707</v>
      </c>
      <c r="Q31" s="21">
        <f t="shared" si="70"/>
        <v>45707</v>
      </c>
      <c r="R31" s="20"/>
      <c r="S31" s="21">
        <f>IF(VLOOKUP(A31,Dates,15,)&gt;0,VLOOKUP(A31,Dates,15,)+'Date Calcs'!S$2,IF(VLOOKUP(A31,Dates,13,)&gt;0,VLOOKUP(A31,Dates,13,)+'Date Calcs'!S$2,IF(VLOOKUP(A31,Dates,11,)&gt;0,VLOOKUP(A31,Dates,11,)+'Date Calcs'!S$2,IF(VLOOKUP(A31,Dates,9,)&gt;0,VLOOKUP(A31,Dates,9,)+'Date Calcs'!S$2,$I31+S$2))))</f>
        <v>45800</v>
      </c>
      <c r="T31" s="21">
        <f t="shared" si="9"/>
        <v>45801</v>
      </c>
      <c r="U31" s="21">
        <f t="shared" si="71"/>
        <v>45805</v>
      </c>
      <c r="V31" s="115"/>
      <c r="W31" s="21">
        <f t="shared" si="24"/>
        <v>45973</v>
      </c>
      <c r="X31" s="21">
        <f t="shared" si="72"/>
        <v>45812</v>
      </c>
      <c r="Y31" s="21">
        <f t="shared" si="73"/>
        <v>45819</v>
      </c>
      <c r="Z31" s="21">
        <f t="shared" si="74"/>
        <v>45819</v>
      </c>
      <c r="AA31" s="21">
        <f t="shared" si="75"/>
        <v>45819</v>
      </c>
      <c r="AB31" s="21">
        <f t="shared" si="29"/>
        <v>45819</v>
      </c>
      <c r="AC31" s="21">
        <f t="shared" si="13"/>
        <v>45820</v>
      </c>
      <c r="AD31" s="21">
        <f t="shared" si="30"/>
        <v>45812</v>
      </c>
      <c r="AE31" s="21">
        <f t="shared" si="14"/>
        <v>45822</v>
      </c>
      <c r="AF31" s="21">
        <f t="shared" si="15"/>
        <v>45966</v>
      </c>
    </row>
    <row r="32" spans="1:32" x14ac:dyDescent="0.25">
      <c r="A32" s="18" t="s">
        <v>266</v>
      </c>
      <c r="B32" s="18" t="s">
        <v>267</v>
      </c>
      <c r="C32" s="30">
        <v>45693</v>
      </c>
      <c r="D32">
        <v>3</v>
      </c>
      <c r="E32">
        <v>4</v>
      </c>
      <c r="F32">
        <v>20</v>
      </c>
      <c r="G32">
        <v>24</v>
      </c>
      <c r="H32" s="21">
        <f t="shared" si="0"/>
        <v>45721</v>
      </c>
      <c r="I32" s="21">
        <f t="shared" si="64"/>
        <v>45730</v>
      </c>
      <c r="J32" s="21">
        <f t="shared" si="2"/>
        <v>45761</v>
      </c>
      <c r="K32" s="21">
        <f t="shared" si="65"/>
        <v>45771</v>
      </c>
      <c r="L32" s="21">
        <f t="shared" si="66"/>
        <v>45805</v>
      </c>
      <c r="M32" s="21">
        <f t="shared" si="67"/>
        <v>45812</v>
      </c>
      <c r="N32" s="21">
        <f t="shared" si="68"/>
        <v>45819</v>
      </c>
      <c r="O32" s="21">
        <f t="shared" si="69"/>
        <v>45826</v>
      </c>
      <c r="P32" s="21">
        <f t="shared" si="70"/>
        <v>45707</v>
      </c>
      <c r="Q32" s="21">
        <f t="shared" si="70"/>
        <v>45707</v>
      </c>
      <c r="R32" s="20"/>
      <c r="S32" s="21">
        <f>IF(VLOOKUP(A32,Dates,15,)&gt;0,VLOOKUP(A32,Dates,15,)+'Date Calcs'!S$2,IF(VLOOKUP(A32,Dates,13,)&gt;0,VLOOKUP(A32,Dates,13,)+'Date Calcs'!S$2,IF(VLOOKUP(A32,Dates,11,)&gt;0,VLOOKUP(A32,Dates,11,)+'Date Calcs'!S$2,IF(VLOOKUP(A32,Dates,9,)&gt;0,VLOOKUP(A32,Dates,9,)+'Date Calcs'!S$2,$I32+S$2))))</f>
        <v>45800</v>
      </c>
      <c r="T32" s="21">
        <f t="shared" si="9"/>
        <v>45801</v>
      </c>
      <c r="U32" s="21">
        <f t="shared" si="71"/>
        <v>45805</v>
      </c>
      <c r="V32" s="115"/>
      <c r="W32" s="21">
        <f t="shared" si="24"/>
        <v>45973</v>
      </c>
      <c r="X32" s="21">
        <f t="shared" si="72"/>
        <v>45812</v>
      </c>
      <c r="Y32" s="21">
        <f t="shared" si="73"/>
        <v>45819</v>
      </c>
      <c r="Z32" s="21">
        <f t="shared" si="74"/>
        <v>45819</v>
      </c>
      <c r="AA32" s="21">
        <f t="shared" si="75"/>
        <v>45819</v>
      </c>
      <c r="AB32" s="21">
        <f t="shared" si="29"/>
        <v>45819</v>
      </c>
      <c r="AC32" s="21">
        <f t="shared" si="13"/>
        <v>45820</v>
      </c>
      <c r="AD32" s="21">
        <f t="shared" si="30"/>
        <v>45812</v>
      </c>
      <c r="AE32" s="21">
        <f t="shared" si="14"/>
        <v>45822</v>
      </c>
      <c r="AF32" s="21">
        <f t="shared" si="15"/>
        <v>45966</v>
      </c>
    </row>
    <row r="33" spans="1:32" x14ac:dyDescent="0.25">
      <c r="A33" s="18" t="s">
        <v>268</v>
      </c>
      <c r="B33" s="18" t="s">
        <v>82</v>
      </c>
      <c r="C33" s="30">
        <v>45714</v>
      </c>
      <c r="D33">
        <v>2</v>
      </c>
      <c r="E33">
        <v>3</v>
      </c>
      <c r="F33">
        <v>14</v>
      </c>
      <c r="G33">
        <v>16</v>
      </c>
      <c r="H33" s="21">
        <f t="shared" si="0"/>
        <v>45735</v>
      </c>
      <c r="I33" s="21">
        <f t="shared" ref="I33:I78" si="76">IF(VLOOKUP($A33,Dates,8,)=0,H33+I$2,VLOOKUP($A33,Dates,8,)+I$2)</f>
        <v>45750</v>
      </c>
      <c r="J33" s="21">
        <f t="shared" si="2"/>
        <v>45785</v>
      </c>
      <c r="K33" s="21">
        <f t="shared" ref="K33:K78" si="77">IF(VLOOKUP($A33,Dates,10,)=0,J33+K$2,VLOOKUP($A33,Dates,10,)+K$2)</f>
        <v>45790</v>
      </c>
      <c r="L33" s="21">
        <f t="shared" ref="L33:L78" si="78">IF(VLOOKUP($A33,Dates,11,)=0,K33+L$2,VLOOKUP($A33,Dates,11,)+L$2)</f>
        <v>45797</v>
      </c>
      <c r="M33" s="21">
        <f t="shared" ref="M33:M78" si="79">IF(VLOOKUP($A33,Dates,12,)=0,L33+M$2,VLOOKUP($A33,Dates,12,)+M$2)</f>
        <v>45804</v>
      </c>
      <c r="N33" s="21">
        <f t="shared" ref="N33:N78" si="80">IF(VLOOKUP($A33,Dates,13,)=0,M33+N$2,VLOOKUP($A33,Dates,13,)+N$2)</f>
        <v>45811</v>
      </c>
      <c r="O33" s="21">
        <f t="shared" ref="O33:O78" si="81">IF(VLOOKUP($A33,Dates,14,)=0,N33+O$2,VLOOKUP($A33,Dates,14,)+O$2)</f>
        <v>45818</v>
      </c>
      <c r="P33" s="21">
        <f t="shared" si="70"/>
        <v>45728</v>
      </c>
      <c r="Q33" s="21">
        <f t="shared" si="70"/>
        <v>45728</v>
      </c>
      <c r="R33" s="20"/>
      <c r="S33" s="21">
        <f>IF(VLOOKUP(A33,Dates,15,)&gt;0,VLOOKUP(A33,Dates,15,)+'Date Calcs'!S$2,IF(VLOOKUP(A33,Dates,13,)&gt;0,VLOOKUP(A33,Dates,13,)+'Date Calcs'!S$2,IF(VLOOKUP(A33,Dates,11,)&gt;0,VLOOKUP(A33,Dates,11,)+'Date Calcs'!S$2,IF(VLOOKUP(A33,Dates,9,)&gt;0,VLOOKUP(A33,Dates,9,)+'Date Calcs'!S$2,$I33+S$2))))</f>
        <v>45780</v>
      </c>
      <c r="T33" s="21">
        <f t="shared" si="9"/>
        <v>45781</v>
      </c>
      <c r="U33" s="21">
        <f t="shared" ref="U33:U78" si="82">S33+U$2-S$2</f>
        <v>45785</v>
      </c>
      <c r="V33" s="115"/>
      <c r="W33" s="21">
        <f t="shared" si="24"/>
        <v>45897</v>
      </c>
      <c r="X33" s="21">
        <f t="shared" ref="X33:X78" si="83">S33+X$2-S$2</f>
        <v>45792</v>
      </c>
      <c r="Y33" s="21">
        <f t="shared" ref="Y33:Y78" si="84">S33+Y$2-S$2</f>
        <v>45799</v>
      </c>
      <c r="Z33" s="21">
        <f t="shared" ref="Z33:Z78" si="85">Y33</f>
        <v>45799</v>
      </c>
      <c r="AA33" s="21">
        <f t="shared" ref="AA33:AA78" si="86">Z33</f>
        <v>45799</v>
      </c>
      <c r="AB33" s="21">
        <f t="shared" si="29"/>
        <v>45799</v>
      </c>
      <c r="AC33" s="21">
        <f t="shared" si="13"/>
        <v>45800</v>
      </c>
      <c r="AD33" s="21">
        <f t="shared" si="30"/>
        <v>45792</v>
      </c>
      <c r="AE33" s="21">
        <f t="shared" si="14"/>
        <v>45802</v>
      </c>
      <c r="AF33" s="21">
        <f t="shared" si="15"/>
        <v>45890</v>
      </c>
    </row>
    <row r="34" spans="1:32" x14ac:dyDescent="0.25">
      <c r="A34" s="18" t="s">
        <v>269</v>
      </c>
      <c r="B34" s="18" t="s">
        <v>270</v>
      </c>
      <c r="C34" s="30">
        <v>45721</v>
      </c>
      <c r="D34">
        <v>1</v>
      </c>
      <c r="E34">
        <v>2</v>
      </c>
      <c r="F34">
        <v>20</v>
      </c>
      <c r="G34">
        <v>22</v>
      </c>
      <c r="H34" s="21">
        <f t="shared" si="0"/>
        <v>45735</v>
      </c>
      <c r="I34" s="21">
        <f t="shared" si="76"/>
        <v>45720</v>
      </c>
      <c r="J34" s="21">
        <f t="shared" si="2"/>
        <v>45720</v>
      </c>
      <c r="K34" s="21">
        <f t="shared" si="77"/>
        <v>45736</v>
      </c>
      <c r="L34" s="21">
        <f t="shared" si="78"/>
        <v>45743</v>
      </c>
      <c r="M34" s="21">
        <f t="shared" si="79"/>
        <v>45750</v>
      </c>
      <c r="N34" s="21">
        <f t="shared" si="80"/>
        <v>45757</v>
      </c>
      <c r="O34" s="21">
        <f t="shared" si="81"/>
        <v>45764</v>
      </c>
      <c r="P34" s="21">
        <f t="shared" si="70"/>
        <v>45735</v>
      </c>
      <c r="Q34" s="21">
        <f t="shared" si="70"/>
        <v>45735</v>
      </c>
      <c r="R34" s="20"/>
      <c r="S34" s="21">
        <f>IF(VLOOKUP(A34,Dates,15,)&gt;0,VLOOKUP(A34,Dates,15,)+'Date Calcs'!S$2,IF(VLOOKUP(A34,Dates,13,)&gt;0,VLOOKUP(A34,Dates,13,)+'Date Calcs'!S$2,IF(VLOOKUP(A34,Dates,11,)&gt;0,VLOOKUP(A34,Dates,11,)+'Date Calcs'!S$2,IF(VLOOKUP(A34,Dates,9,)&gt;0,VLOOKUP(A34,Dates,9,)+'Date Calcs'!S$2,$I34+S$2))))</f>
        <v>45715</v>
      </c>
      <c r="T34" s="21">
        <f t="shared" si="9"/>
        <v>45716</v>
      </c>
      <c r="U34" s="21">
        <f t="shared" si="82"/>
        <v>45720</v>
      </c>
      <c r="V34" s="115"/>
      <c r="W34" s="21">
        <f t="shared" si="24"/>
        <v>45874</v>
      </c>
      <c r="X34" s="21">
        <f t="shared" si="83"/>
        <v>45727</v>
      </c>
      <c r="Y34" s="21">
        <f t="shared" si="84"/>
        <v>45734</v>
      </c>
      <c r="Z34" s="21">
        <f t="shared" si="85"/>
        <v>45734</v>
      </c>
      <c r="AA34" s="21">
        <f t="shared" si="86"/>
        <v>45734</v>
      </c>
      <c r="AB34" s="21">
        <f t="shared" si="29"/>
        <v>45734</v>
      </c>
      <c r="AC34" s="21">
        <f t="shared" si="13"/>
        <v>45735</v>
      </c>
      <c r="AD34" s="21">
        <f t="shared" si="30"/>
        <v>45727</v>
      </c>
      <c r="AE34" s="21">
        <f t="shared" si="14"/>
        <v>45737</v>
      </c>
      <c r="AF34" s="21">
        <f t="shared" si="15"/>
        <v>45867</v>
      </c>
    </row>
    <row r="35" spans="1:32" x14ac:dyDescent="0.25">
      <c r="A35" s="18" t="s">
        <v>271</v>
      </c>
      <c r="B35" s="18" t="s">
        <v>81</v>
      </c>
      <c r="C35" s="30">
        <v>45735</v>
      </c>
      <c r="D35">
        <v>2</v>
      </c>
      <c r="E35">
        <v>3</v>
      </c>
      <c r="F35">
        <v>8</v>
      </c>
      <c r="G35">
        <v>10</v>
      </c>
      <c r="H35" s="21">
        <f t="shared" si="0"/>
        <v>45756</v>
      </c>
      <c r="I35" s="21">
        <f t="shared" si="76"/>
        <v>45755</v>
      </c>
      <c r="J35" s="21">
        <f t="shared" si="2"/>
        <v>45768</v>
      </c>
      <c r="K35" s="21">
        <f t="shared" si="77"/>
        <v>45769</v>
      </c>
      <c r="L35" s="21">
        <f t="shared" si="78"/>
        <v>45803</v>
      </c>
      <c r="M35" s="21">
        <f t="shared" si="79"/>
        <v>45806</v>
      </c>
      <c r="N35" s="21">
        <f t="shared" si="80"/>
        <v>45813</v>
      </c>
      <c r="O35" s="21">
        <f t="shared" si="81"/>
        <v>45820</v>
      </c>
      <c r="P35" s="21">
        <f t="shared" si="70"/>
        <v>45749</v>
      </c>
      <c r="Q35" s="21">
        <f t="shared" si="70"/>
        <v>45749</v>
      </c>
      <c r="R35" s="20"/>
      <c r="S35" s="21">
        <f>IF(VLOOKUP(A35,Dates,15,)&gt;0,VLOOKUP(A35,Dates,15,)+'Date Calcs'!S$2,IF(VLOOKUP(A35,Dates,13,)&gt;0,VLOOKUP(A35,Dates,13,)+'Date Calcs'!S$2,IF(VLOOKUP(A35,Dates,11,)&gt;0,VLOOKUP(A35,Dates,11,)+'Date Calcs'!S$2,IF(VLOOKUP(A35,Dates,9,)&gt;0,VLOOKUP(A35,Dates,9,)+'Date Calcs'!S$2,$I35+S$2))))</f>
        <v>45798</v>
      </c>
      <c r="T35" s="21">
        <f t="shared" si="9"/>
        <v>45799</v>
      </c>
      <c r="U35" s="21">
        <f t="shared" si="82"/>
        <v>45803</v>
      </c>
      <c r="V35" s="115"/>
      <c r="W35" s="21">
        <f t="shared" si="24"/>
        <v>45873</v>
      </c>
      <c r="X35" s="21">
        <f t="shared" si="83"/>
        <v>45810</v>
      </c>
      <c r="Y35" s="21">
        <f t="shared" si="84"/>
        <v>45817</v>
      </c>
      <c r="Z35" s="21">
        <f t="shared" si="85"/>
        <v>45817</v>
      </c>
      <c r="AA35" s="21">
        <f t="shared" si="86"/>
        <v>45817</v>
      </c>
      <c r="AB35" s="21">
        <f t="shared" si="29"/>
        <v>45817</v>
      </c>
      <c r="AC35" s="21">
        <f t="shared" si="13"/>
        <v>45818</v>
      </c>
      <c r="AD35" s="21">
        <f t="shared" si="30"/>
        <v>45810</v>
      </c>
      <c r="AE35" s="21">
        <f t="shared" si="14"/>
        <v>45820</v>
      </c>
      <c r="AF35" s="21">
        <f t="shared" si="15"/>
        <v>45866</v>
      </c>
    </row>
    <row r="36" spans="1:32" x14ac:dyDescent="0.25">
      <c r="A36" s="18" t="s">
        <v>272</v>
      </c>
      <c r="B36" s="18" t="s">
        <v>140</v>
      </c>
      <c r="C36" s="30">
        <v>45748</v>
      </c>
      <c r="D36">
        <v>3</v>
      </c>
      <c r="E36">
        <v>4</v>
      </c>
      <c r="F36">
        <v>10</v>
      </c>
      <c r="G36">
        <v>12</v>
      </c>
      <c r="H36" s="21">
        <f t="shared" si="0"/>
        <v>45776</v>
      </c>
      <c r="I36" s="21">
        <f t="shared" si="76"/>
        <v>45805</v>
      </c>
      <c r="J36" s="21">
        <f t="shared" si="2"/>
        <v>45805</v>
      </c>
      <c r="K36" s="21">
        <f t="shared" si="77"/>
        <v>45811</v>
      </c>
      <c r="L36" s="21">
        <f t="shared" si="78"/>
        <v>45813</v>
      </c>
      <c r="M36" s="21">
        <f t="shared" si="79"/>
        <v>45814</v>
      </c>
      <c r="N36" s="21">
        <f t="shared" si="80"/>
        <v>45821</v>
      </c>
      <c r="O36" s="21">
        <f t="shared" si="81"/>
        <v>45828</v>
      </c>
      <c r="P36" s="21">
        <f t="shared" si="70"/>
        <v>45762</v>
      </c>
      <c r="Q36" s="21">
        <f t="shared" si="70"/>
        <v>45762</v>
      </c>
      <c r="R36" s="20"/>
      <c r="S36" s="21">
        <f>IF(VLOOKUP(A36,Dates,15,)&gt;0,VLOOKUP(A36,Dates,15,)+'Date Calcs'!S$2,IF(VLOOKUP(A36,Dates,13,)&gt;0,VLOOKUP(A36,Dates,13,)+'Date Calcs'!S$2,IF(VLOOKUP(A36,Dates,11,)&gt;0,VLOOKUP(A36,Dates,11,)+'Date Calcs'!S$2,IF(VLOOKUP(A36,Dates,9,)&gt;0,VLOOKUP(A36,Dates,9,)+'Date Calcs'!S$2,$I36+S$2))))</f>
        <v>45808</v>
      </c>
      <c r="T36" s="21">
        <f t="shared" si="9"/>
        <v>45809</v>
      </c>
      <c r="U36" s="21">
        <f t="shared" si="82"/>
        <v>45813</v>
      </c>
      <c r="V36" s="115"/>
      <c r="W36" s="21">
        <f t="shared" si="24"/>
        <v>45897</v>
      </c>
      <c r="X36" s="21">
        <f t="shared" si="83"/>
        <v>45820</v>
      </c>
      <c r="Y36" s="21">
        <f t="shared" si="84"/>
        <v>45827</v>
      </c>
      <c r="Z36" s="21">
        <f t="shared" si="85"/>
        <v>45827</v>
      </c>
      <c r="AA36" s="21">
        <f t="shared" si="86"/>
        <v>45827</v>
      </c>
      <c r="AB36" s="21">
        <f t="shared" si="29"/>
        <v>45827</v>
      </c>
      <c r="AC36" s="21">
        <f t="shared" si="13"/>
        <v>45828</v>
      </c>
      <c r="AD36" s="21">
        <f t="shared" si="30"/>
        <v>45820</v>
      </c>
      <c r="AE36" s="21">
        <f t="shared" si="14"/>
        <v>45830</v>
      </c>
      <c r="AF36" s="21">
        <f t="shared" si="15"/>
        <v>45890</v>
      </c>
    </row>
    <row r="37" spans="1:32" x14ac:dyDescent="0.25">
      <c r="A37" s="18" t="s">
        <v>273</v>
      </c>
      <c r="B37" s="18" t="s">
        <v>274</v>
      </c>
      <c r="C37" s="30">
        <v>45752</v>
      </c>
      <c r="D37">
        <v>1</v>
      </c>
      <c r="E37">
        <v>1</v>
      </c>
      <c r="F37">
        <v>1</v>
      </c>
      <c r="G37">
        <v>2</v>
      </c>
      <c r="H37" s="21">
        <f t="shared" ref="H37:H68" si="87">C37+E37*7</f>
        <v>45759</v>
      </c>
      <c r="I37" s="21">
        <f t="shared" si="76"/>
        <v>45773</v>
      </c>
      <c r="J37" s="21">
        <f t="shared" ref="J37:J68" si="88">IF(VLOOKUP(A37,Dates,9,)=0,I37+J$2,VLOOKUP(A37,Dates,9,)+J$2)</f>
        <v>45780</v>
      </c>
      <c r="K37" s="21">
        <f t="shared" si="77"/>
        <v>45787</v>
      </c>
      <c r="L37" s="21">
        <f t="shared" si="78"/>
        <v>45794</v>
      </c>
      <c r="M37" s="21">
        <f t="shared" si="79"/>
        <v>45801</v>
      </c>
      <c r="N37" s="21">
        <f t="shared" si="80"/>
        <v>45808</v>
      </c>
      <c r="O37" s="21">
        <f t="shared" si="81"/>
        <v>45815</v>
      </c>
      <c r="P37" s="21">
        <f t="shared" si="70"/>
        <v>45766</v>
      </c>
      <c r="Q37" s="21">
        <f t="shared" si="70"/>
        <v>45766</v>
      </c>
      <c r="R37" s="20"/>
      <c r="S37" s="21">
        <f>IF(VLOOKUP(A37,Dates,15,)&gt;0,VLOOKUP(A37,Dates,15,)+'Date Calcs'!S$2,IF(VLOOKUP(A37,Dates,13,)&gt;0,VLOOKUP(A37,Dates,13,)+'Date Calcs'!S$2,IF(VLOOKUP(A37,Dates,11,)&gt;0,VLOOKUP(A37,Dates,11,)+'Date Calcs'!S$2,IF(VLOOKUP(A37,Dates,9,)&gt;0,VLOOKUP(A37,Dates,9,)+'Date Calcs'!S$2,$I37+S$2))))</f>
        <v>45775</v>
      </c>
      <c r="T37" s="21">
        <f t="shared" ref="T37:T68" si="89">$S37+T$2</f>
        <v>45776</v>
      </c>
      <c r="U37" s="21">
        <f t="shared" si="82"/>
        <v>45780</v>
      </c>
      <c r="V37" s="115"/>
      <c r="W37" s="21">
        <f t="shared" si="24"/>
        <v>45794</v>
      </c>
      <c r="X37" s="21">
        <f t="shared" si="83"/>
        <v>45787</v>
      </c>
      <c r="Y37" s="21">
        <f t="shared" si="84"/>
        <v>45794</v>
      </c>
      <c r="Z37" s="21">
        <f t="shared" si="85"/>
        <v>45794</v>
      </c>
      <c r="AA37" s="21">
        <f t="shared" si="86"/>
        <v>45794</v>
      </c>
      <c r="AB37" s="21">
        <f t="shared" si="29"/>
        <v>45794</v>
      </c>
      <c r="AC37" s="21">
        <f t="shared" si="13"/>
        <v>45795</v>
      </c>
      <c r="AD37" s="21">
        <f t="shared" si="30"/>
        <v>45787</v>
      </c>
      <c r="AE37" s="21">
        <f t="shared" si="14"/>
        <v>45797</v>
      </c>
      <c r="AF37" s="21">
        <f t="shared" ref="AF37:AF68" si="90">S37-S$2+G37*7</f>
        <v>45787</v>
      </c>
    </row>
    <row r="38" spans="1:32" x14ac:dyDescent="0.25">
      <c r="A38" s="18" t="s">
        <v>275</v>
      </c>
      <c r="B38" s="18" t="s">
        <v>109</v>
      </c>
      <c r="C38" s="30">
        <v>45796</v>
      </c>
      <c r="D38">
        <v>2</v>
      </c>
      <c r="E38">
        <v>3</v>
      </c>
      <c r="F38">
        <v>12</v>
      </c>
      <c r="G38">
        <v>14</v>
      </c>
      <c r="H38" s="21">
        <f t="shared" si="87"/>
        <v>45817</v>
      </c>
      <c r="I38" s="21">
        <f t="shared" si="76"/>
        <v>45833</v>
      </c>
      <c r="J38" s="21">
        <f t="shared" si="88"/>
        <v>45846</v>
      </c>
      <c r="K38" s="21">
        <f t="shared" si="77"/>
        <v>45853</v>
      </c>
      <c r="L38" s="21">
        <f t="shared" si="78"/>
        <v>45859</v>
      </c>
      <c r="M38" s="21">
        <f t="shared" si="79"/>
        <v>45866</v>
      </c>
      <c r="N38" s="21">
        <f t="shared" si="80"/>
        <v>45867</v>
      </c>
      <c r="O38" s="21">
        <f t="shared" si="81"/>
        <v>45874</v>
      </c>
      <c r="P38" s="21">
        <f t="shared" si="70"/>
        <v>45810</v>
      </c>
      <c r="Q38" s="21">
        <f t="shared" si="70"/>
        <v>45810</v>
      </c>
      <c r="R38" s="20"/>
      <c r="S38" s="21">
        <f>IF(VLOOKUP(A38,Dates,15,)&gt;0,VLOOKUP(A38,Dates,15,)+'Date Calcs'!S$2,IF(VLOOKUP(A38,Dates,13,)&gt;0,VLOOKUP(A38,Dates,13,)+'Date Calcs'!S$2,IF(VLOOKUP(A38,Dates,11,)&gt;0,VLOOKUP(A38,Dates,11,)+'Date Calcs'!S$2,IF(VLOOKUP(A38,Dates,9,)&gt;0,VLOOKUP(A38,Dates,9,)+'Date Calcs'!S$2,$I38+S$2))))</f>
        <v>45862</v>
      </c>
      <c r="T38" s="21">
        <f t="shared" si="89"/>
        <v>45863</v>
      </c>
      <c r="U38" s="21">
        <f t="shared" si="82"/>
        <v>45867</v>
      </c>
      <c r="V38" s="115"/>
      <c r="W38" s="21">
        <f t="shared" si="24"/>
        <v>45965</v>
      </c>
      <c r="X38" s="21">
        <f t="shared" si="83"/>
        <v>45874</v>
      </c>
      <c r="Y38" s="21">
        <f t="shared" si="84"/>
        <v>45881</v>
      </c>
      <c r="Z38" s="21">
        <f t="shared" si="85"/>
        <v>45881</v>
      </c>
      <c r="AA38" s="21">
        <f t="shared" si="86"/>
        <v>45881</v>
      </c>
      <c r="AB38" s="21">
        <f t="shared" si="29"/>
        <v>45881</v>
      </c>
      <c r="AC38" s="21">
        <f t="shared" si="13"/>
        <v>45882</v>
      </c>
      <c r="AD38" s="21">
        <f t="shared" si="30"/>
        <v>45874</v>
      </c>
      <c r="AE38" s="21">
        <f t="shared" si="14"/>
        <v>45884</v>
      </c>
      <c r="AF38" s="21">
        <f t="shared" si="90"/>
        <v>45958</v>
      </c>
    </row>
    <row r="39" spans="1:32" x14ac:dyDescent="0.25">
      <c r="A39" s="18" t="s">
        <v>276</v>
      </c>
      <c r="B39" s="18" t="s">
        <v>81</v>
      </c>
      <c r="C39" s="30">
        <v>45810</v>
      </c>
      <c r="D39">
        <v>2</v>
      </c>
      <c r="E39">
        <v>31</v>
      </c>
      <c r="F39">
        <v>8</v>
      </c>
      <c r="G39">
        <v>10</v>
      </c>
      <c r="H39" s="21">
        <f t="shared" si="87"/>
        <v>46027</v>
      </c>
      <c r="I39" s="21">
        <f t="shared" si="76"/>
        <v>46041</v>
      </c>
      <c r="J39" s="21">
        <f t="shared" si="88"/>
        <v>46048</v>
      </c>
      <c r="K39" s="21">
        <f t="shared" si="77"/>
        <v>46055</v>
      </c>
      <c r="L39" s="21">
        <f t="shared" si="78"/>
        <v>46062</v>
      </c>
      <c r="M39" s="21">
        <f t="shared" si="79"/>
        <v>46069</v>
      </c>
      <c r="N39" s="21">
        <f t="shared" si="80"/>
        <v>46076</v>
      </c>
      <c r="O39" s="21">
        <f t="shared" si="81"/>
        <v>46083</v>
      </c>
      <c r="P39" s="21">
        <f t="shared" si="70"/>
        <v>45824</v>
      </c>
      <c r="Q39" s="21">
        <f t="shared" si="70"/>
        <v>45824</v>
      </c>
      <c r="R39" s="20"/>
      <c r="S39" s="21">
        <f>IF(VLOOKUP(A39,Dates,15,)&gt;0,VLOOKUP(A39,Dates,15,)+'Date Calcs'!S$2,IF(VLOOKUP(A39,Dates,13,)&gt;0,VLOOKUP(A39,Dates,13,)+'Date Calcs'!S$2,IF(VLOOKUP(A39,Dates,11,)&gt;0,VLOOKUP(A39,Dates,11,)+'Date Calcs'!S$2,IF(VLOOKUP(A39,Dates,9,)&gt;0,VLOOKUP(A39,Dates,9,)+'Date Calcs'!S$2,$I39+S$2))))</f>
        <v>46043</v>
      </c>
      <c r="T39" s="21">
        <f t="shared" si="89"/>
        <v>46044</v>
      </c>
      <c r="U39" s="21">
        <f t="shared" si="82"/>
        <v>46048</v>
      </c>
      <c r="V39" s="115">
        <v>16</v>
      </c>
      <c r="W39" s="21">
        <f t="shared" si="24"/>
        <v>46230</v>
      </c>
      <c r="X39" s="21">
        <f t="shared" si="83"/>
        <v>46055</v>
      </c>
      <c r="Y39" s="21">
        <f t="shared" si="84"/>
        <v>46062</v>
      </c>
      <c r="Z39" s="21">
        <f t="shared" si="85"/>
        <v>46062</v>
      </c>
      <c r="AA39" s="21">
        <f t="shared" si="86"/>
        <v>46062</v>
      </c>
      <c r="AB39" s="21">
        <f t="shared" si="29"/>
        <v>46062</v>
      </c>
      <c r="AC39" s="21">
        <f t="shared" si="13"/>
        <v>46063</v>
      </c>
      <c r="AD39" s="21">
        <f t="shared" si="30"/>
        <v>46055</v>
      </c>
      <c r="AE39" s="21">
        <f t="shared" si="14"/>
        <v>46065</v>
      </c>
      <c r="AF39" s="21">
        <f t="shared" si="90"/>
        <v>46111</v>
      </c>
    </row>
    <row r="40" spans="1:32" x14ac:dyDescent="0.25">
      <c r="A40" s="18" t="s">
        <v>277</v>
      </c>
      <c r="B40" s="18" t="s">
        <v>278</v>
      </c>
      <c r="C40" s="30">
        <v>45811</v>
      </c>
      <c r="D40">
        <v>3</v>
      </c>
      <c r="E40">
        <v>4</v>
      </c>
      <c r="F40">
        <v>13</v>
      </c>
      <c r="G40">
        <v>15</v>
      </c>
      <c r="H40" s="21">
        <f t="shared" si="87"/>
        <v>45839</v>
      </c>
      <c r="I40" s="21">
        <f t="shared" si="76"/>
        <v>45849</v>
      </c>
      <c r="J40" s="21">
        <f t="shared" si="88"/>
        <v>45845</v>
      </c>
      <c r="K40" s="21">
        <f t="shared" si="77"/>
        <v>45855</v>
      </c>
      <c r="L40" s="21">
        <f t="shared" si="78"/>
        <v>45855</v>
      </c>
      <c r="M40" s="21">
        <f t="shared" si="79"/>
        <v>45862</v>
      </c>
      <c r="N40" s="21">
        <f t="shared" si="80"/>
        <v>45869</v>
      </c>
      <c r="O40" s="21">
        <f t="shared" si="81"/>
        <v>45876</v>
      </c>
      <c r="P40" s="21">
        <f t="shared" si="70"/>
        <v>45825</v>
      </c>
      <c r="Q40" s="21">
        <f t="shared" si="70"/>
        <v>45825</v>
      </c>
      <c r="R40" s="20"/>
      <c r="S40" s="21">
        <f>IF(VLOOKUP(A40,Dates,15,)&gt;0,VLOOKUP(A40,Dates,15,)+'Date Calcs'!S$2,IF(VLOOKUP(A40,Dates,13,)&gt;0,VLOOKUP(A40,Dates,13,)+'Date Calcs'!S$2,IF(VLOOKUP(A40,Dates,11,)&gt;0,VLOOKUP(A40,Dates,11,)+'Date Calcs'!S$2,IF(VLOOKUP(A40,Dates,9,)&gt;0,VLOOKUP(A40,Dates,9,)+'Date Calcs'!S$2,$I40+S$2))))</f>
        <v>45850</v>
      </c>
      <c r="T40" s="21">
        <f t="shared" si="89"/>
        <v>45851</v>
      </c>
      <c r="U40" s="21">
        <f t="shared" si="82"/>
        <v>45855</v>
      </c>
      <c r="V40" s="115"/>
      <c r="W40" s="21">
        <f t="shared" si="24"/>
        <v>45960</v>
      </c>
      <c r="X40" s="21">
        <f t="shared" si="83"/>
        <v>45862</v>
      </c>
      <c r="Y40" s="21">
        <f t="shared" si="84"/>
        <v>45869</v>
      </c>
      <c r="Z40" s="21">
        <f t="shared" si="85"/>
        <v>45869</v>
      </c>
      <c r="AA40" s="21">
        <f t="shared" si="86"/>
        <v>45869</v>
      </c>
      <c r="AB40" s="21">
        <f t="shared" si="29"/>
        <v>45869</v>
      </c>
      <c r="AC40" s="21">
        <f t="shared" si="13"/>
        <v>45870</v>
      </c>
      <c r="AD40" s="21">
        <f t="shared" si="30"/>
        <v>45862</v>
      </c>
      <c r="AE40" s="21">
        <f t="shared" si="14"/>
        <v>45872</v>
      </c>
      <c r="AF40" s="21">
        <f t="shared" si="90"/>
        <v>45953</v>
      </c>
    </row>
    <row r="41" spans="1:32" x14ac:dyDescent="0.25">
      <c r="A41" s="18" t="s">
        <v>279</v>
      </c>
      <c r="B41" s="18" t="s">
        <v>73</v>
      </c>
      <c r="C41" s="30">
        <v>45820</v>
      </c>
      <c r="D41">
        <v>3</v>
      </c>
      <c r="E41">
        <v>16</v>
      </c>
      <c r="F41">
        <v>22</v>
      </c>
      <c r="G41">
        <v>26</v>
      </c>
      <c r="H41" s="21">
        <f t="shared" si="87"/>
        <v>45932</v>
      </c>
      <c r="I41" s="21">
        <f t="shared" si="76"/>
        <v>46000</v>
      </c>
      <c r="J41" s="21">
        <f t="shared" si="88"/>
        <v>46008</v>
      </c>
      <c r="K41" s="21">
        <f t="shared" si="77"/>
        <v>46015</v>
      </c>
      <c r="L41" s="21">
        <f t="shared" si="78"/>
        <v>46022</v>
      </c>
      <c r="M41" s="21">
        <f t="shared" si="79"/>
        <v>46029</v>
      </c>
      <c r="N41" s="21">
        <f t="shared" si="80"/>
        <v>46036</v>
      </c>
      <c r="O41" s="21">
        <f t="shared" si="81"/>
        <v>46043</v>
      </c>
      <c r="P41" s="21">
        <f t="shared" si="70"/>
        <v>45834</v>
      </c>
      <c r="Q41" s="21">
        <f t="shared" si="70"/>
        <v>45834</v>
      </c>
      <c r="R41" s="20"/>
      <c r="S41" s="21">
        <f>IF(VLOOKUP(A41,Dates,15,)&gt;0,VLOOKUP(A41,Dates,15,)+'Date Calcs'!S$2,IF(VLOOKUP(A41,Dates,13,)&gt;0,VLOOKUP(A41,Dates,13,)+'Date Calcs'!S$2,IF(VLOOKUP(A41,Dates,11,)&gt;0,VLOOKUP(A41,Dates,11,)+'Date Calcs'!S$2,IF(VLOOKUP(A41,Dates,9,)&gt;0,VLOOKUP(A41,Dates,9,)+'Date Calcs'!S$2,$I41+S$2))))</f>
        <v>46003</v>
      </c>
      <c r="T41" s="21">
        <f t="shared" si="89"/>
        <v>46004</v>
      </c>
      <c r="U41" s="21">
        <f t="shared" si="82"/>
        <v>46008</v>
      </c>
      <c r="V41" s="115"/>
      <c r="W41" s="21">
        <f t="shared" si="24"/>
        <v>46190</v>
      </c>
      <c r="X41" s="21">
        <f t="shared" si="83"/>
        <v>46015</v>
      </c>
      <c r="Y41" s="21">
        <f t="shared" si="84"/>
        <v>46022</v>
      </c>
      <c r="Z41" s="21">
        <f t="shared" si="85"/>
        <v>46022</v>
      </c>
      <c r="AA41" s="21">
        <f t="shared" si="86"/>
        <v>46022</v>
      </c>
      <c r="AB41" s="21">
        <f t="shared" si="29"/>
        <v>46022</v>
      </c>
      <c r="AC41" s="21">
        <f t="shared" si="13"/>
        <v>46023</v>
      </c>
      <c r="AD41" s="21">
        <f t="shared" si="30"/>
        <v>46015</v>
      </c>
      <c r="AE41" s="21">
        <f t="shared" si="14"/>
        <v>46025</v>
      </c>
      <c r="AF41" s="21">
        <f t="shared" si="90"/>
        <v>46183</v>
      </c>
    </row>
    <row r="42" spans="1:32" x14ac:dyDescent="0.25">
      <c r="A42" s="18" t="s">
        <v>280</v>
      </c>
      <c r="B42" s="18" t="s">
        <v>281</v>
      </c>
      <c r="C42" s="30">
        <v>45821</v>
      </c>
      <c r="D42">
        <v>2</v>
      </c>
      <c r="E42">
        <v>3</v>
      </c>
      <c r="F42">
        <v>12</v>
      </c>
      <c r="G42">
        <v>14</v>
      </c>
      <c r="H42" s="21">
        <f t="shared" si="87"/>
        <v>45842</v>
      </c>
      <c r="I42" s="21">
        <f t="shared" ref="I42:I65" si="91">IF(VLOOKUP($A42,Dates,8,)=0,H42+I$2,VLOOKUP($A42,Dates,8,)+I$2)</f>
        <v>45861</v>
      </c>
      <c r="J42" s="21">
        <f t="shared" si="88"/>
        <v>45859</v>
      </c>
      <c r="K42" s="21">
        <f t="shared" ref="K42:K65" si="92">IF(VLOOKUP($A42,Dates,10,)=0,J42+K$2,VLOOKUP($A42,Dates,10,)+K$2)</f>
        <v>45868</v>
      </c>
      <c r="L42" s="21">
        <f t="shared" ref="L42:L65" si="93">IF(VLOOKUP($A42,Dates,11,)=0,K42+L$2,VLOOKUP($A42,Dates,11,)+L$2)</f>
        <v>45873</v>
      </c>
      <c r="M42" s="21">
        <f t="shared" ref="M42:M65" si="94">IF(VLOOKUP($A42,Dates,12,)=0,L42+M$2,VLOOKUP($A42,Dates,12,)+M$2)</f>
        <v>45880</v>
      </c>
      <c r="N42" s="21">
        <f t="shared" ref="N42:N65" si="95">IF(VLOOKUP($A42,Dates,13,)=0,M42+N$2,VLOOKUP($A42,Dates,13,)+N$2)</f>
        <v>45887</v>
      </c>
      <c r="O42" s="21">
        <f t="shared" ref="O42:O65" si="96">IF(VLOOKUP($A42,Dates,14,)=0,N42+O$2,VLOOKUP($A42,Dates,14,)+O$2)</f>
        <v>45894</v>
      </c>
      <c r="P42" s="21">
        <f t="shared" si="70"/>
        <v>45835</v>
      </c>
      <c r="Q42" s="21">
        <f t="shared" si="70"/>
        <v>45835</v>
      </c>
      <c r="R42" s="20"/>
      <c r="S42" s="21">
        <f>IF(VLOOKUP(A42,Dates,15,)&gt;0,VLOOKUP(A42,Dates,15,)+'Date Calcs'!S$2,IF(VLOOKUP(A42,Dates,13,)&gt;0,VLOOKUP(A42,Dates,13,)+'Date Calcs'!S$2,IF(VLOOKUP(A42,Dates,11,)&gt;0,VLOOKUP(A42,Dates,11,)+'Date Calcs'!S$2,IF(VLOOKUP(A42,Dates,9,)&gt;0,VLOOKUP(A42,Dates,9,)+'Date Calcs'!S$2,$I42+S$2))))</f>
        <v>45868</v>
      </c>
      <c r="T42" s="21">
        <f t="shared" si="89"/>
        <v>45869</v>
      </c>
      <c r="U42" s="21">
        <f t="shared" ref="U42:U65" si="97">S42+U$2-S$2</f>
        <v>45873</v>
      </c>
      <c r="V42" s="115"/>
      <c r="W42" s="21">
        <f t="shared" si="24"/>
        <v>45971</v>
      </c>
      <c r="X42" s="21">
        <f t="shared" ref="X42:X65" si="98">S42+X$2-S$2</f>
        <v>45880</v>
      </c>
      <c r="Y42" s="21">
        <f t="shared" ref="Y42:Y65" si="99">S42+Y$2-S$2</f>
        <v>45887</v>
      </c>
      <c r="Z42" s="21">
        <f t="shared" ref="Z42:Z65" si="100">Y42</f>
        <v>45887</v>
      </c>
      <c r="AA42" s="21">
        <f t="shared" ref="AA42:AA65" si="101">Z42</f>
        <v>45887</v>
      </c>
      <c r="AB42" s="21">
        <f t="shared" si="29"/>
        <v>45887</v>
      </c>
      <c r="AC42" s="21">
        <f t="shared" si="13"/>
        <v>45888</v>
      </c>
      <c r="AD42" s="21">
        <f t="shared" si="30"/>
        <v>45880</v>
      </c>
      <c r="AE42" s="21">
        <f t="shared" si="14"/>
        <v>45890</v>
      </c>
      <c r="AF42" s="21">
        <f t="shared" si="90"/>
        <v>45964</v>
      </c>
    </row>
    <row r="43" spans="1:32" x14ac:dyDescent="0.25">
      <c r="A43" s="18" t="s">
        <v>282</v>
      </c>
      <c r="B43" s="18" t="s">
        <v>281</v>
      </c>
      <c r="C43" s="30">
        <v>45821</v>
      </c>
      <c r="D43">
        <v>2</v>
      </c>
      <c r="E43">
        <v>3</v>
      </c>
      <c r="F43">
        <v>12</v>
      </c>
      <c r="G43">
        <v>14</v>
      </c>
      <c r="H43" s="21">
        <f t="shared" si="87"/>
        <v>45842</v>
      </c>
      <c r="I43" s="21">
        <f t="shared" si="91"/>
        <v>45861</v>
      </c>
      <c r="J43" s="21">
        <f t="shared" si="88"/>
        <v>45859</v>
      </c>
      <c r="K43" s="21">
        <f t="shared" si="92"/>
        <v>45868</v>
      </c>
      <c r="L43" s="21">
        <f t="shared" si="93"/>
        <v>45873</v>
      </c>
      <c r="M43" s="21">
        <f t="shared" si="94"/>
        <v>45880</v>
      </c>
      <c r="N43" s="21">
        <f t="shared" si="95"/>
        <v>45887</v>
      </c>
      <c r="O43" s="21">
        <f t="shared" si="96"/>
        <v>45894</v>
      </c>
      <c r="P43" s="21">
        <f t="shared" si="70"/>
        <v>45835</v>
      </c>
      <c r="Q43" s="21">
        <f t="shared" si="70"/>
        <v>45835</v>
      </c>
      <c r="R43" s="20"/>
      <c r="S43" s="21">
        <f>IF(VLOOKUP(A43,Dates,15,)&gt;0,VLOOKUP(A43,Dates,15,)+'Date Calcs'!S$2,IF(VLOOKUP(A43,Dates,13,)&gt;0,VLOOKUP(A43,Dates,13,)+'Date Calcs'!S$2,IF(VLOOKUP(A43,Dates,11,)&gt;0,VLOOKUP(A43,Dates,11,)+'Date Calcs'!S$2,IF(VLOOKUP(A43,Dates,9,)&gt;0,VLOOKUP(A43,Dates,9,)+'Date Calcs'!S$2,$I43+S$2))))</f>
        <v>45868</v>
      </c>
      <c r="T43" s="21">
        <f t="shared" si="89"/>
        <v>45869</v>
      </c>
      <c r="U43" s="21">
        <f t="shared" si="97"/>
        <v>45873</v>
      </c>
      <c r="V43" s="115"/>
      <c r="W43" s="21">
        <f t="shared" si="24"/>
        <v>45971</v>
      </c>
      <c r="X43" s="21">
        <f t="shared" si="98"/>
        <v>45880</v>
      </c>
      <c r="Y43" s="21">
        <f t="shared" si="99"/>
        <v>45887</v>
      </c>
      <c r="Z43" s="21">
        <f t="shared" si="100"/>
        <v>45887</v>
      </c>
      <c r="AA43" s="21">
        <f t="shared" si="101"/>
        <v>45887</v>
      </c>
      <c r="AB43" s="21">
        <f t="shared" si="29"/>
        <v>45887</v>
      </c>
      <c r="AC43" s="21">
        <f t="shared" si="13"/>
        <v>45888</v>
      </c>
      <c r="AD43" s="21">
        <f t="shared" si="30"/>
        <v>45880</v>
      </c>
      <c r="AE43" s="21">
        <f t="shared" si="14"/>
        <v>45890</v>
      </c>
      <c r="AF43" s="21">
        <f t="shared" si="90"/>
        <v>45964</v>
      </c>
    </row>
    <row r="44" spans="1:32" x14ac:dyDescent="0.25">
      <c r="A44" s="18" t="s">
        <v>283</v>
      </c>
      <c r="B44" s="18" t="s">
        <v>281</v>
      </c>
      <c r="C44" s="30">
        <v>45821</v>
      </c>
      <c r="D44">
        <v>2</v>
      </c>
      <c r="E44">
        <v>3</v>
      </c>
      <c r="F44">
        <v>16</v>
      </c>
      <c r="G44">
        <v>18</v>
      </c>
      <c r="H44" s="21">
        <f t="shared" si="87"/>
        <v>45842</v>
      </c>
      <c r="I44" s="21">
        <f t="shared" si="91"/>
        <v>45861</v>
      </c>
      <c r="J44" s="21">
        <f t="shared" si="88"/>
        <v>45859</v>
      </c>
      <c r="K44" s="21">
        <f t="shared" si="92"/>
        <v>45868</v>
      </c>
      <c r="L44" s="21">
        <f t="shared" si="93"/>
        <v>45873</v>
      </c>
      <c r="M44" s="21">
        <f t="shared" si="94"/>
        <v>45880</v>
      </c>
      <c r="N44" s="21">
        <f t="shared" si="95"/>
        <v>45887</v>
      </c>
      <c r="O44" s="21">
        <f t="shared" si="96"/>
        <v>45894</v>
      </c>
      <c r="P44" s="21">
        <f t="shared" si="70"/>
        <v>45835</v>
      </c>
      <c r="Q44" s="21">
        <f t="shared" si="70"/>
        <v>45835</v>
      </c>
      <c r="R44" s="20"/>
      <c r="S44" s="21">
        <f>IF(VLOOKUP(A44,Dates,15,)&gt;0,VLOOKUP(A44,Dates,15,)+'Date Calcs'!S$2,IF(VLOOKUP(A44,Dates,13,)&gt;0,VLOOKUP(A44,Dates,13,)+'Date Calcs'!S$2,IF(VLOOKUP(A44,Dates,11,)&gt;0,VLOOKUP(A44,Dates,11,)+'Date Calcs'!S$2,IF(VLOOKUP(A44,Dates,9,)&gt;0,VLOOKUP(A44,Dates,9,)+'Date Calcs'!S$2,$I44+S$2))))</f>
        <v>45868</v>
      </c>
      <c r="T44" s="21">
        <f t="shared" si="89"/>
        <v>45869</v>
      </c>
      <c r="U44" s="21">
        <f t="shared" si="97"/>
        <v>45873</v>
      </c>
      <c r="V44" s="115"/>
      <c r="W44" s="21">
        <f t="shared" si="24"/>
        <v>45999</v>
      </c>
      <c r="X44" s="21">
        <f t="shared" si="98"/>
        <v>45880</v>
      </c>
      <c r="Y44" s="21">
        <f t="shared" si="99"/>
        <v>45887</v>
      </c>
      <c r="Z44" s="21">
        <f t="shared" si="100"/>
        <v>45887</v>
      </c>
      <c r="AA44" s="21">
        <f t="shared" si="101"/>
        <v>45887</v>
      </c>
      <c r="AB44" s="21">
        <f t="shared" si="29"/>
        <v>45887</v>
      </c>
      <c r="AC44" s="21">
        <f t="shared" si="13"/>
        <v>45888</v>
      </c>
      <c r="AD44" s="21">
        <f t="shared" si="30"/>
        <v>45880</v>
      </c>
      <c r="AE44" s="21">
        <f t="shared" si="14"/>
        <v>45890</v>
      </c>
      <c r="AF44" s="21">
        <f t="shared" si="90"/>
        <v>45992</v>
      </c>
    </row>
    <row r="45" spans="1:32" x14ac:dyDescent="0.25">
      <c r="A45" s="18" t="s">
        <v>284</v>
      </c>
      <c r="B45" s="18" t="s">
        <v>281</v>
      </c>
      <c r="C45" s="30">
        <v>45821</v>
      </c>
      <c r="D45">
        <v>2</v>
      </c>
      <c r="E45">
        <v>3</v>
      </c>
      <c r="F45">
        <v>16</v>
      </c>
      <c r="G45">
        <v>18</v>
      </c>
      <c r="H45" s="21">
        <f t="shared" si="87"/>
        <v>45842</v>
      </c>
      <c r="I45" s="21">
        <f t="shared" si="91"/>
        <v>45861</v>
      </c>
      <c r="J45" s="21">
        <f t="shared" si="88"/>
        <v>45859</v>
      </c>
      <c r="K45" s="21">
        <f t="shared" si="92"/>
        <v>45868</v>
      </c>
      <c r="L45" s="21">
        <f t="shared" si="93"/>
        <v>45873</v>
      </c>
      <c r="M45" s="21">
        <f t="shared" si="94"/>
        <v>45880</v>
      </c>
      <c r="N45" s="21">
        <f t="shared" si="95"/>
        <v>45887</v>
      </c>
      <c r="O45" s="21">
        <f t="shared" si="96"/>
        <v>45894</v>
      </c>
      <c r="P45" s="21">
        <f t="shared" si="70"/>
        <v>45835</v>
      </c>
      <c r="Q45" s="21">
        <f t="shared" si="70"/>
        <v>45835</v>
      </c>
      <c r="R45" s="20"/>
      <c r="S45" s="21">
        <f>IF(VLOOKUP(A45,Dates,15,)&gt;0,VLOOKUP(A45,Dates,15,)+'Date Calcs'!S$2,IF(VLOOKUP(A45,Dates,13,)&gt;0,VLOOKUP(A45,Dates,13,)+'Date Calcs'!S$2,IF(VLOOKUP(A45,Dates,11,)&gt;0,VLOOKUP(A45,Dates,11,)+'Date Calcs'!S$2,IF(VLOOKUP(A45,Dates,9,)&gt;0,VLOOKUP(A45,Dates,9,)+'Date Calcs'!S$2,$I45+S$2))))</f>
        <v>45868</v>
      </c>
      <c r="T45" s="21">
        <f t="shared" si="89"/>
        <v>45869</v>
      </c>
      <c r="U45" s="21">
        <f t="shared" si="97"/>
        <v>45873</v>
      </c>
      <c r="V45" s="115"/>
      <c r="W45" s="21">
        <f t="shared" si="24"/>
        <v>45999</v>
      </c>
      <c r="X45" s="21">
        <f t="shared" si="98"/>
        <v>45880</v>
      </c>
      <c r="Y45" s="21">
        <f t="shared" si="99"/>
        <v>45887</v>
      </c>
      <c r="Z45" s="21">
        <f t="shared" si="100"/>
        <v>45887</v>
      </c>
      <c r="AA45" s="21">
        <f t="shared" si="101"/>
        <v>45887</v>
      </c>
      <c r="AB45" s="21">
        <f t="shared" ref="AB45:AB108" si="102">U45+$AB$2</f>
        <v>45887</v>
      </c>
      <c r="AC45" s="21">
        <f t="shared" ref="AC45:AC108" si="103">AA45+$AC$2</f>
        <v>45888</v>
      </c>
      <c r="AD45" s="21">
        <f t="shared" si="30"/>
        <v>45880</v>
      </c>
      <c r="AE45" s="21">
        <f t="shared" ref="AE45:AE108" si="104">IF(P45&gt;AC45,P45+$AC$2,AC45+$AE$2)</f>
        <v>45890</v>
      </c>
      <c r="AF45" s="21">
        <f t="shared" si="90"/>
        <v>45992</v>
      </c>
    </row>
    <row r="46" spans="1:32" x14ac:dyDescent="0.25">
      <c r="A46" s="18" t="s">
        <v>285</v>
      </c>
      <c r="B46" s="18" t="s">
        <v>281</v>
      </c>
      <c r="C46" s="30">
        <v>45821</v>
      </c>
      <c r="D46">
        <v>2</v>
      </c>
      <c r="E46">
        <v>3</v>
      </c>
      <c r="F46">
        <v>20</v>
      </c>
      <c r="G46">
        <v>22</v>
      </c>
      <c r="H46" s="21">
        <f t="shared" si="87"/>
        <v>45842</v>
      </c>
      <c r="I46" s="21">
        <f t="shared" si="91"/>
        <v>45861</v>
      </c>
      <c r="J46" s="21">
        <f t="shared" si="88"/>
        <v>45859</v>
      </c>
      <c r="K46" s="21">
        <f t="shared" si="92"/>
        <v>45868</v>
      </c>
      <c r="L46" s="21">
        <f t="shared" si="93"/>
        <v>45873</v>
      </c>
      <c r="M46" s="21">
        <f t="shared" si="94"/>
        <v>45880</v>
      </c>
      <c r="N46" s="21">
        <f t="shared" si="95"/>
        <v>45887</v>
      </c>
      <c r="O46" s="21">
        <f t="shared" si="96"/>
        <v>45894</v>
      </c>
      <c r="P46" s="21">
        <f t="shared" si="70"/>
        <v>45835</v>
      </c>
      <c r="Q46" s="21">
        <f t="shared" si="70"/>
        <v>45835</v>
      </c>
      <c r="R46" s="20"/>
      <c r="S46" s="21">
        <f>IF(VLOOKUP(A46,Dates,15,)&gt;0,VLOOKUP(A46,Dates,15,)+'Date Calcs'!S$2,IF(VLOOKUP(A46,Dates,13,)&gt;0,VLOOKUP(A46,Dates,13,)+'Date Calcs'!S$2,IF(VLOOKUP(A46,Dates,11,)&gt;0,VLOOKUP(A46,Dates,11,)+'Date Calcs'!S$2,IF(VLOOKUP(A46,Dates,9,)&gt;0,VLOOKUP(A46,Dates,9,)+'Date Calcs'!S$2,$I46+S$2))))</f>
        <v>45868</v>
      </c>
      <c r="T46" s="21">
        <f t="shared" si="89"/>
        <v>45869</v>
      </c>
      <c r="U46" s="21">
        <f t="shared" si="97"/>
        <v>45873</v>
      </c>
      <c r="V46" s="115"/>
      <c r="W46" s="21">
        <f t="shared" si="24"/>
        <v>46027</v>
      </c>
      <c r="X46" s="21">
        <f t="shared" si="98"/>
        <v>45880</v>
      </c>
      <c r="Y46" s="21">
        <f t="shared" si="99"/>
        <v>45887</v>
      </c>
      <c r="Z46" s="21">
        <f t="shared" si="100"/>
        <v>45887</v>
      </c>
      <c r="AA46" s="21">
        <f t="shared" si="101"/>
        <v>45887</v>
      </c>
      <c r="AB46" s="21">
        <f t="shared" si="102"/>
        <v>45887</v>
      </c>
      <c r="AC46" s="21">
        <f t="shared" si="103"/>
        <v>45888</v>
      </c>
      <c r="AD46" s="21">
        <f t="shared" si="30"/>
        <v>45880</v>
      </c>
      <c r="AE46" s="21">
        <f t="shared" si="104"/>
        <v>45890</v>
      </c>
      <c r="AF46" s="21">
        <f t="shared" si="90"/>
        <v>46020</v>
      </c>
    </row>
    <row r="47" spans="1:32" x14ac:dyDescent="0.25">
      <c r="A47" s="18" t="s">
        <v>286</v>
      </c>
      <c r="B47" s="18" t="s">
        <v>281</v>
      </c>
      <c r="C47" s="30">
        <v>45821</v>
      </c>
      <c r="D47">
        <v>2</v>
      </c>
      <c r="E47">
        <v>3</v>
      </c>
      <c r="F47">
        <v>20</v>
      </c>
      <c r="G47">
        <v>22</v>
      </c>
      <c r="H47" s="21">
        <f t="shared" si="87"/>
        <v>45842</v>
      </c>
      <c r="I47" s="21">
        <f t="shared" si="91"/>
        <v>45861</v>
      </c>
      <c r="J47" s="21">
        <f t="shared" si="88"/>
        <v>45859</v>
      </c>
      <c r="K47" s="21">
        <f t="shared" si="92"/>
        <v>45868</v>
      </c>
      <c r="L47" s="21">
        <f t="shared" si="93"/>
        <v>45873</v>
      </c>
      <c r="M47" s="21">
        <f t="shared" si="94"/>
        <v>45880</v>
      </c>
      <c r="N47" s="21">
        <f t="shared" si="95"/>
        <v>45887</v>
      </c>
      <c r="O47" s="21">
        <f t="shared" si="96"/>
        <v>45894</v>
      </c>
      <c r="P47" s="21">
        <f t="shared" si="70"/>
        <v>45835</v>
      </c>
      <c r="Q47" s="21">
        <f t="shared" si="70"/>
        <v>45835</v>
      </c>
      <c r="R47" s="20"/>
      <c r="S47" s="21">
        <f>IF(VLOOKUP(A47,Dates,15,)&gt;0,VLOOKUP(A47,Dates,15,)+'Date Calcs'!S$2,IF(VLOOKUP(A47,Dates,13,)&gt;0,VLOOKUP(A47,Dates,13,)+'Date Calcs'!S$2,IF(VLOOKUP(A47,Dates,11,)&gt;0,VLOOKUP(A47,Dates,11,)+'Date Calcs'!S$2,IF(VLOOKUP(A47,Dates,9,)&gt;0,VLOOKUP(A47,Dates,9,)+'Date Calcs'!S$2,$I47+S$2))))</f>
        <v>45868</v>
      </c>
      <c r="T47" s="21">
        <f t="shared" si="89"/>
        <v>45869</v>
      </c>
      <c r="U47" s="21">
        <f t="shared" si="97"/>
        <v>45873</v>
      </c>
      <c r="V47" s="115"/>
      <c r="W47" s="21">
        <f t="shared" si="24"/>
        <v>46027</v>
      </c>
      <c r="X47" s="21">
        <f t="shared" si="98"/>
        <v>45880</v>
      </c>
      <c r="Y47" s="21">
        <f t="shared" si="99"/>
        <v>45887</v>
      </c>
      <c r="Z47" s="21">
        <f t="shared" si="100"/>
        <v>45887</v>
      </c>
      <c r="AA47" s="21">
        <f t="shared" si="101"/>
        <v>45887</v>
      </c>
      <c r="AB47" s="21">
        <f t="shared" si="102"/>
        <v>45887</v>
      </c>
      <c r="AC47" s="21">
        <f t="shared" si="103"/>
        <v>45888</v>
      </c>
      <c r="AD47" s="21">
        <f t="shared" si="30"/>
        <v>45880</v>
      </c>
      <c r="AE47" s="21">
        <f t="shared" si="104"/>
        <v>45890</v>
      </c>
      <c r="AF47" s="21">
        <f t="shared" si="90"/>
        <v>46020</v>
      </c>
    </row>
    <row r="48" spans="1:32" x14ac:dyDescent="0.25">
      <c r="A48" s="18" t="s">
        <v>287</v>
      </c>
      <c r="B48" s="18" t="s">
        <v>281</v>
      </c>
      <c r="C48" s="30">
        <v>45821</v>
      </c>
      <c r="D48">
        <v>2</v>
      </c>
      <c r="E48">
        <v>3</v>
      </c>
      <c r="F48">
        <v>24</v>
      </c>
      <c r="G48">
        <v>26</v>
      </c>
      <c r="H48" s="21">
        <f t="shared" si="87"/>
        <v>45842</v>
      </c>
      <c r="I48" s="21">
        <f t="shared" si="91"/>
        <v>45861</v>
      </c>
      <c r="J48" s="21">
        <f t="shared" si="88"/>
        <v>45859</v>
      </c>
      <c r="K48" s="21">
        <f t="shared" si="92"/>
        <v>45868</v>
      </c>
      <c r="L48" s="21">
        <f t="shared" si="93"/>
        <v>45873</v>
      </c>
      <c r="M48" s="21">
        <f t="shared" si="94"/>
        <v>45880</v>
      </c>
      <c r="N48" s="21">
        <f t="shared" si="95"/>
        <v>45887</v>
      </c>
      <c r="O48" s="21">
        <f t="shared" si="96"/>
        <v>45894</v>
      </c>
      <c r="P48" s="21">
        <f t="shared" si="70"/>
        <v>45835</v>
      </c>
      <c r="Q48" s="21">
        <f t="shared" si="70"/>
        <v>45835</v>
      </c>
      <c r="R48" s="20"/>
      <c r="S48" s="21">
        <f>IF(VLOOKUP(A48,Dates,15,)&gt;0,VLOOKUP(A48,Dates,15,)+'Date Calcs'!S$2,IF(VLOOKUP(A48,Dates,13,)&gt;0,VLOOKUP(A48,Dates,13,)+'Date Calcs'!S$2,IF(VLOOKUP(A48,Dates,11,)&gt;0,VLOOKUP(A48,Dates,11,)+'Date Calcs'!S$2,IF(VLOOKUP(A48,Dates,9,)&gt;0,VLOOKUP(A48,Dates,9,)+'Date Calcs'!S$2,$I48+S$2))))</f>
        <v>45868</v>
      </c>
      <c r="T48" s="21">
        <f t="shared" si="89"/>
        <v>45869</v>
      </c>
      <c r="U48" s="21">
        <f t="shared" si="97"/>
        <v>45873</v>
      </c>
      <c r="V48" s="115"/>
      <c r="W48" s="21">
        <f t="shared" si="24"/>
        <v>46055</v>
      </c>
      <c r="X48" s="21">
        <f t="shared" si="98"/>
        <v>45880</v>
      </c>
      <c r="Y48" s="21">
        <f t="shared" si="99"/>
        <v>45887</v>
      </c>
      <c r="Z48" s="21">
        <f t="shared" si="100"/>
        <v>45887</v>
      </c>
      <c r="AA48" s="21">
        <f t="shared" si="101"/>
        <v>45887</v>
      </c>
      <c r="AB48" s="21">
        <f t="shared" si="102"/>
        <v>45887</v>
      </c>
      <c r="AC48" s="21">
        <f t="shared" si="103"/>
        <v>45888</v>
      </c>
      <c r="AD48" s="21">
        <f t="shared" si="30"/>
        <v>45880</v>
      </c>
      <c r="AE48" s="21">
        <f t="shared" si="104"/>
        <v>45890</v>
      </c>
      <c r="AF48" s="21">
        <f t="shared" si="90"/>
        <v>46048</v>
      </c>
    </row>
    <row r="49" spans="1:32" x14ac:dyDescent="0.25">
      <c r="A49" s="18" t="s">
        <v>288</v>
      </c>
      <c r="B49" s="18" t="s">
        <v>281</v>
      </c>
      <c r="C49" s="30">
        <v>45821</v>
      </c>
      <c r="D49">
        <v>2</v>
      </c>
      <c r="E49">
        <v>3</v>
      </c>
      <c r="F49">
        <v>24</v>
      </c>
      <c r="G49">
        <v>26</v>
      </c>
      <c r="H49" s="21">
        <f t="shared" si="87"/>
        <v>45842</v>
      </c>
      <c r="I49" s="21">
        <f t="shared" si="91"/>
        <v>45861</v>
      </c>
      <c r="J49" s="21">
        <f t="shared" si="88"/>
        <v>45859</v>
      </c>
      <c r="K49" s="21">
        <f t="shared" si="92"/>
        <v>45868</v>
      </c>
      <c r="L49" s="21">
        <f t="shared" si="93"/>
        <v>45873</v>
      </c>
      <c r="M49" s="21">
        <f t="shared" si="94"/>
        <v>45880</v>
      </c>
      <c r="N49" s="21">
        <f t="shared" si="95"/>
        <v>45887</v>
      </c>
      <c r="O49" s="21">
        <f t="shared" si="96"/>
        <v>45894</v>
      </c>
      <c r="P49" s="21">
        <f t="shared" si="70"/>
        <v>45835</v>
      </c>
      <c r="Q49" s="21">
        <f t="shared" si="70"/>
        <v>45835</v>
      </c>
      <c r="R49" s="20"/>
      <c r="S49" s="21">
        <f>IF(VLOOKUP(A49,Dates,15,)&gt;0,VLOOKUP(A49,Dates,15,)+'Date Calcs'!S$2,IF(VLOOKUP(A49,Dates,13,)&gt;0,VLOOKUP(A49,Dates,13,)+'Date Calcs'!S$2,IF(VLOOKUP(A49,Dates,11,)&gt;0,VLOOKUP(A49,Dates,11,)+'Date Calcs'!S$2,IF(VLOOKUP(A49,Dates,9,)&gt;0,VLOOKUP(A49,Dates,9,)+'Date Calcs'!S$2,$I49+S$2))))</f>
        <v>45868</v>
      </c>
      <c r="T49" s="21">
        <f t="shared" si="89"/>
        <v>45869</v>
      </c>
      <c r="U49" s="21">
        <f t="shared" si="97"/>
        <v>45873</v>
      </c>
      <c r="V49" s="115"/>
      <c r="W49" s="21">
        <f t="shared" si="24"/>
        <v>46055</v>
      </c>
      <c r="X49" s="21">
        <f t="shared" si="98"/>
        <v>45880</v>
      </c>
      <c r="Y49" s="21">
        <f t="shared" si="99"/>
        <v>45887</v>
      </c>
      <c r="Z49" s="21">
        <f t="shared" si="100"/>
        <v>45887</v>
      </c>
      <c r="AA49" s="21">
        <f t="shared" si="101"/>
        <v>45887</v>
      </c>
      <c r="AB49" s="21">
        <f t="shared" si="102"/>
        <v>45887</v>
      </c>
      <c r="AC49" s="21">
        <f t="shared" si="103"/>
        <v>45888</v>
      </c>
      <c r="AD49" s="21">
        <f t="shared" si="30"/>
        <v>45880</v>
      </c>
      <c r="AE49" s="21">
        <f t="shared" si="104"/>
        <v>45890</v>
      </c>
      <c r="AF49" s="21">
        <f t="shared" si="90"/>
        <v>46048</v>
      </c>
    </row>
    <row r="50" spans="1:32" x14ac:dyDescent="0.25">
      <c r="A50" s="18" t="s">
        <v>289</v>
      </c>
      <c r="B50" s="18" t="s">
        <v>281</v>
      </c>
      <c r="C50" s="30">
        <v>45821</v>
      </c>
      <c r="D50">
        <v>2</v>
      </c>
      <c r="E50">
        <v>3</v>
      </c>
      <c r="F50">
        <v>28</v>
      </c>
      <c r="G50">
        <v>30</v>
      </c>
      <c r="H50" s="21">
        <f t="shared" si="87"/>
        <v>45842</v>
      </c>
      <c r="I50" s="21">
        <f t="shared" si="91"/>
        <v>45861</v>
      </c>
      <c r="J50" s="21">
        <f t="shared" si="88"/>
        <v>45859</v>
      </c>
      <c r="K50" s="21">
        <f t="shared" si="92"/>
        <v>45868</v>
      </c>
      <c r="L50" s="21">
        <f t="shared" si="93"/>
        <v>45873</v>
      </c>
      <c r="M50" s="21">
        <f t="shared" si="94"/>
        <v>45880</v>
      </c>
      <c r="N50" s="21">
        <f t="shared" si="95"/>
        <v>45887</v>
      </c>
      <c r="O50" s="21">
        <f t="shared" si="96"/>
        <v>45894</v>
      </c>
      <c r="P50" s="21">
        <f t="shared" si="70"/>
        <v>45835</v>
      </c>
      <c r="Q50" s="21">
        <f t="shared" si="70"/>
        <v>45835</v>
      </c>
      <c r="R50" s="20"/>
      <c r="S50" s="21">
        <f>IF(VLOOKUP(A50,Dates,15,)&gt;0,VLOOKUP(A50,Dates,15,)+'Date Calcs'!S$2,IF(VLOOKUP(A50,Dates,13,)&gt;0,VLOOKUP(A50,Dates,13,)+'Date Calcs'!S$2,IF(VLOOKUP(A50,Dates,11,)&gt;0,VLOOKUP(A50,Dates,11,)+'Date Calcs'!S$2,IF(VLOOKUP(A50,Dates,9,)&gt;0,VLOOKUP(A50,Dates,9,)+'Date Calcs'!S$2,$I50+S$2))))</f>
        <v>45868</v>
      </c>
      <c r="T50" s="21">
        <f t="shared" si="89"/>
        <v>45869</v>
      </c>
      <c r="U50" s="21">
        <f t="shared" si="97"/>
        <v>45873</v>
      </c>
      <c r="V50" s="115"/>
      <c r="W50" s="21">
        <f t="shared" si="24"/>
        <v>46083</v>
      </c>
      <c r="X50" s="21">
        <f t="shared" si="98"/>
        <v>45880</v>
      </c>
      <c r="Y50" s="21">
        <f t="shared" si="99"/>
        <v>45887</v>
      </c>
      <c r="Z50" s="21">
        <f t="shared" si="100"/>
        <v>45887</v>
      </c>
      <c r="AA50" s="21">
        <f t="shared" si="101"/>
        <v>45887</v>
      </c>
      <c r="AB50" s="21">
        <f t="shared" si="102"/>
        <v>45887</v>
      </c>
      <c r="AC50" s="21">
        <f t="shared" si="103"/>
        <v>45888</v>
      </c>
      <c r="AD50" s="21">
        <f t="shared" si="30"/>
        <v>45880</v>
      </c>
      <c r="AE50" s="21">
        <f t="shared" si="104"/>
        <v>45890</v>
      </c>
      <c r="AF50" s="21">
        <f t="shared" si="90"/>
        <v>46076</v>
      </c>
    </row>
    <row r="51" spans="1:32" x14ac:dyDescent="0.25">
      <c r="A51" s="18" t="s">
        <v>290</v>
      </c>
      <c r="B51" s="18" t="s">
        <v>281</v>
      </c>
      <c r="C51" s="30">
        <v>45821</v>
      </c>
      <c r="D51">
        <v>2</v>
      </c>
      <c r="E51">
        <v>3</v>
      </c>
      <c r="F51">
        <v>28</v>
      </c>
      <c r="G51">
        <v>30</v>
      </c>
      <c r="H51" s="21">
        <f t="shared" si="87"/>
        <v>45842</v>
      </c>
      <c r="I51" s="21">
        <f t="shared" si="91"/>
        <v>45861</v>
      </c>
      <c r="J51" s="21">
        <f t="shared" si="88"/>
        <v>45859</v>
      </c>
      <c r="K51" s="21">
        <f t="shared" si="92"/>
        <v>45868</v>
      </c>
      <c r="L51" s="21">
        <f t="shared" si="93"/>
        <v>45873</v>
      </c>
      <c r="M51" s="21">
        <f t="shared" si="94"/>
        <v>45880</v>
      </c>
      <c r="N51" s="21">
        <f t="shared" si="95"/>
        <v>45887</v>
      </c>
      <c r="O51" s="21">
        <f t="shared" si="96"/>
        <v>45894</v>
      </c>
      <c r="P51" s="21">
        <f t="shared" si="70"/>
        <v>45835</v>
      </c>
      <c r="Q51" s="21">
        <f t="shared" si="70"/>
        <v>45835</v>
      </c>
      <c r="R51" s="20"/>
      <c r="S51" s="21">
        <f>IF(VLOOKUP(A51,Dates,15,)&gt;0,VLOOKUP(A51,Dates,15,)+'Date Calcs'!S$2,IF(VLOOKUP(A51,Dates,13,)&gt;0,VLOOKUP(A51,Dates,13,)+'Date Calcs'!S$2,IF(VLOOKUP(A51,Dates,11,)&gt;0,VLOOKUP(A51,Dates,11,)+'Date Calcs'!S$2,IF(VLOOKUP(A51,Dates,9,)&gt;0,VLOOKUP(A51,Dates,9,)+'Date Calcs'!S$2,$I51+S$2))))</f>
        <v>45868</v>
      </c>
      <c r="T51" s="21">
        <f t="shared" si="89"/>
        <v>45869</v>
      </c>
      <c r="U51" s="21">
        <f t="shared" si="97"/>
        <v>45873</v>
      </c>
      <c r="V51" s="115"/>
      <c r="W51" s="21">
        <f t="shared" si="24"/>
        <v>46083</v>
      </c>
      <c r="X51" s="21">
        <f t="shared" si="98"/>
        <v>45880</v>
      </c>
      <c r="Y51" s="21">
        <f t="shared" si="99"/>
        <v>45887</v>
      </c>
      <c r="Z51" s="21">
        <f t="shared" si="100"/>
        <v>45887</v>
      </c>
      <c r="AA51" s="21">
        <f t="shared" si="101"/>
        <v>45887</v>
      </c>
      <c r="AB51" s="21">
        <f t="shared" si="102"/>
        <v>45887</v>
      </c>
      <c r="AC51" s="21">
        <f t="shared" si="103"/>
        <v>45888</v>
      </c>
      <c r="AD51" s="21">
        <f t="shared" si="30"/>
        <v>45880</v>
      </c>
      <c r="AE51" s="21">
        <f t="shared" si="104"/>
        <v>45890</v>
      </c>
      <c r="AF51" s="21">
        <f t="shared" si="90"/>
        <v>46076</v>
      </c>
    </row>
    <row r="52" spans="1:32" x14ac:dyDescent="0.25">
      <c r="A52" s="18" t="s">
        <v>291</v>
      </c>
      <c r="B52" s="18" t="s">
        <v>281</v>
      </c>
      <c r="C52" s="30">
        <v>45821</v>
      </c>
      <c r="D52">
        <v>2</v>
      </c>
      <c r="E52">
        <v>3</v>
      </c>
      <c r="F52">
        <v>32</v>
      </c>
      <c r="G52">
        <v>34</v>
      </c>
      <c r="H52" s="21">
        <f t="shared" si="87"/>
        <v>45842</v>
      </c>
      <c r="I52" s="21">
        <f t="shared" si="91"/>
        <v>45861</v>
      </c>
      <c r="J52" s="21">
        <f t="shared" si="88"/>
        <v>45859</v>
      </c>
      <c r="K52" s="21">
        <f t="shared" si="92"/>
        <v>45868</v>
      </c>
      <c r="L52" s="21">
        <f t="shared" si="93"/>
        <v>45873</v>
      </c>
      <c r="M52" s="21">
        <f t="shared" si="94"/>
        <v>45880</v>
      </c>
      <c r="N52" s="21">
        <f t="shared" si="95"/>
        <v>45887</v>
      </c>
      <c r="O52" s="21">
        <f t="shared" si="96"/>
        <v>45894</v>
      </c>
      <c r="P52" s="21">
        <f t="shared" si="70"/>
        <v>45835</v>
      </c>
      <c r="Q52" s="21">
        <f t="shared" si="70"/>
        <v>45835</v>
      </c>
      <c r="R52" s="20"/>
      <c r="S52" s="21">
        <f>IF(VLOOKUP(A52,Dates,15,)&gt;0,VLOOKUP(A52,Dates,15,)+'Date Calcs'!S$2,IF(VLOOKUP(A52,Dates,13,)&gt;0,VLOOKUP(A52,Dates,13,)+'Date Calcs'!S$2,IF(VLOOKUP(A52,Dates,11,)&gt;0,VLOOKUP(A52,Dates,11,)+'Date Calcs'!S$2,IF(VLOOKUP(A52,Dates,9,)&gt;0,VLOOKUP(A52,Dates,9,)+'Date Calcs'!S$2,$I52+S$2))))</f>
        <v>45868</v>
      </c>
      <c r="T52" s="21">
        <f t="shared" si="89"/>
        <v>45869</v>
      </c>
      <c r="U52" s="21">
        <f t="shared" si="97"/>
        <v>45873</v>
      </c>
      <c r="V52" s="115"/>
      <c r="W52" s="21">
        <f t="shared" si="24"/>
        <v>46111</v>
      </c>
      <c r="X52" s="21">
        <f t="shared" si="98"/>
        <v>45880</v>
      </c>
      <c r="Y52" s="21">
        <f t="shared" si="99"/>
        <v>45887</v>
      </c>
      <c r="Z52" s="21">
        <f t="shared" si="100"/>
        <v>45887</v>
      </c>
      <c r="AA52" s="21">
        <f t="shared" si="101"/>
        <v>45887</v>
      </c>
      <c r="AB52" s="21">
        <f t="shared" si="102"/>
        <v>45887</v>
      </c>
      <c r="AC52" s="21">
        <f t="shared" si="103"/>
        <v>45888</v>
      </c>
      <c r="AD52" s="21">
        <f t="shared" si="30"/>
        <v>45880</v>
      </c>
      <c r="AE52" s="21">
        <f t="shared" si="104"/>
        <v>45890</v>
      </c>
      <c r="AF52" s="21">
        <f t="shared" si="90"/>
        <v>46104</v>
      </c>
    </row>
    <row r="53" spans="1:32" x14ac:dyDescent="0.25">
      <c r="A53" s="18" t="s">
        <v>292</v>
      </c>
      <c r="B53" s="18" t="s">
        <v>281</v>
      </c>
      <c r="C53" s="30">
        <v>45821</v>
      </c>
      <c r="D53">
        <v>2</v>
      </c>
      <c r="E53">
        <v>3</v>
      </c>
      <c r="F53">
        <v>32</v>
      </c>
      <c r="G53">
        <v>34</v>
      </c>
      <c r="H53" s="21">
        <f t="shared" si="87"/>
        <v>45842</v>
      </c>
      <c r="I53" s="21">
        <f t="shared" si="91"/>
        <v>45861</v>
      </c>
      <c r="J53" s="21">
        <f t="shared" si="88"/>
        <v>45859</v>
      </c>
      <c r="K53" s="21">
        <f t="shared" si="92"/>
        <v>45868</v>
      </c>
      <c r="L53" s="21">
        <f t="shared" si="93"/>
        <v>45873</v>
      </c>
      <c r="M53" s="21">
        <f t="shared" si="94"/>
        <v>45880</v>
      </c>
      <c r="N53" s="21">
        <f t="shared" si="95"/>
        <v>45887</v>
      </c>
      <c r="O53" s="21">
        <f t="shared" si="96"/>
        <v>45894</v>
      </c>
      <c r="P53" s="21">
        <f t="shared" si="70"/>
        <v>45835</v>
      </c>
      <c r="Q53" s="21">
        <f t="shared" si="70"/>
        <v>45835</v>
      </c>
      <c r="R53" s="20"/>
      <c r="S53" s="21">
        <f>IF(VLOOKUP(A53,Dates,15,)&gt;0,VLOOKUP(A53,Dates,15,)+'Date Calcs'!S$2,IF(VLOOKUP(A53,Dates,13,)&gt;0,VLOOKUP(A53,Dates,13,)+'Date Calcs'!S$2,IF(VLOOKUP(A53,Dates,11,)&gt;0,VLOOKUP(A53,Dates,11,)+'Date Calcs'!S$2,IF(VLOOKUP(A53,Dates,9,)&gt;0,VLOOKUP(A53,Dates,9,)+'Date Calcs'!S$2,$I53+S$2))))</f>
        <v>45868</v>
      </c>
      <c r="T53" s="21">
        <f t="shared" si="89"/>
        <v>45869</v>
      </c>
      <c r="U53" s="21">
        <f t="shared" si="97"/>
        <v>45873</v>
      </c>
      <c r="V53" s="115"/>
      <c r="W53" s="21">
        <f t="shared" si="24"/>
        <v>46111</v>
      </c>
      <c r="X53" s="21">
        <f t="shared" si="98"/>
        <v>45880</v>
      </c>
      <c r="Y53" s="21">
        <f t="shared" si="99"/>
        <v>45887</v>
      </c>
      <c r="Z53" s="21">
        <f t="shared" si="100"/>
        <v>45887</v>
      </c>
      <c r="AA53" s="21">
        <f t="shared" si="101"/>
        <v>45887</v>
      </c>
      <c r="AB53" s="21">
        <f t="shared" si="102"/>
        <v>45887</v>
      </c>
      <c r="AC53" s="21">
        <f t="shared" si="103"/>
        <v>45888</v>
      </c>
      <c r="AD53" s="21">
        <f t="shared" si="30"/>
        <v>45880</v>
      </c>
      <c r="AE53" s="21">
        <f t="shared" si="104"/>
        <v>45890</v>
      </c>
      <c r="AF53" s="21">
        <f t="shared" si="90"/>
        <v>46104</v>
      </c>
    </row>
    <row r="54" spans="1:32" x14ac:dyDescent="0.25">
      <c r="A54" s="18" t="s">
        <v>293</v>
      </c>
      <c r="B54" s="18" t="s">
        <v>281</v>
      </c>
      <c r="C54" s="30">
        <v>45821</v>
      </c>
      <c r="D54">
        <v>2</v>
      </c>
      <c r="E54">
        <v>3</v>
      </c>
      <c r="F54">
        <v>36</v>
      </c>
      <c r="G54">
        <v>38</v>
      </c>
      <c r="H54" s="21">
        <f t="shared" si="87"/>
        <v>45842</v>
      </c>
      <c r="I54" s="21">
        <f t="shared" si="91"/>
        <v>45861</v>
      </c>
      <c r="J54" s="21">
        <f t="shared" si="88"/>
        <v>45859</v>
      </c>
      <c r="K54" s="21">
        <f t="shared" si="92"/>
        <v>45868</v>
      </c>
      <c r="L54" s="21">
        <f t="shared" si="93"/>
        <v>45873</v>
      </c>
      <c r="M54" s="21">
        <f t="shared" si="94"/>
        <v>45880</v>
      </c>
      <c r="N54" s="21">
        <f t="shared" si="95"/>
        <v>45887</v>
      </c>
      <c r="O54" s="21">
        <f t="shared" si="96"/>
        <v>45894</v>
      </c>
      <c r="P54" s="21">
        <f t="shared" si="70"/>
        <v>45835</v>
      </c>
      <c r="Q54" s="21">
        <f t="shared" si="70"/>
        <v>45835</v>
      </c>
      <c r="R54" s="20"/>
      <c r="S54" s="21">
        <f>IF(VLOOKUP(A54,Dates,15,)&gt;0,VLOOKUP(A54,Dates,15,)+'Date Calcs'!S$2,IF(VLOOKUP(A54,Dates,13,)&gt;0,VLOOKUP(A54,Dates,13,)+'Date Calcs'!S$2,IF(VLOOKUP(A54,Dates,11,)&gt;0,VLOOKUP(A54,Dates,11,)+'Date Calcs'!S$2,IF(VLOOKUP(A54,Dates,9,)&gt;0,VLOOKUP(A54,Dates,9,)+'Date Calcs'!S$2,$I54+S$2))))</f>
        <v>45868</v>
      </c>
      <c r="T54" s="21">
        <f t="shared" si="89"/>
        <v>45869</v>
      </c>
      <c r="U54" s="21">
        <f t="shared" si="97"/>
        <v>45873</v>
      </c>
      <c r="V54" s="115"/>
      <c r="W54" s="21">
        <f t="shared" si="24"/>
        <v>46139</v>
      </c>
      <c r="X54" s="21">
        <f t="shared" si="98"/>
        <v>45880</v>
      </c>
      <c r="Y54" s="21">
        <f t="shared" si="99"/>
        <v>45887</v>
      </c>
      <c r="Z54" s="21">
        <f t="shared" si="100"/>
        <v>45887</v>
      </c>
      <c r="AA54" s="21">
        <f t="shared" si="101"/>
        <v>45887</v>
      </c>
      <c r="AB54" s="21">
        <f t="shared" si="102"/>
        <v>45887</v>
      </c>
      <c r="AC54" s="21">
        <f t="shared" si="103"/>
        <v>45888</v>
      </c>
      <c r="AD54" s="21">
        <f t="shared" si="30"/>
        <v>45880</v>
      </c>
      <c r="AE54" s="21">
        <f t="shared" si="104"/>
        <v>45890</v>
      </c>
      <c r="AF54" s="21">
        <f t="shared" si="90"/>
        <v>46132</v>
      </c>
    </row>
    <row r="55" spans="1:32" x14ac:dyDescent="0.25">
      <c r="A55" s="18" t="s">
        <v>294</v>
      </c>
      <c r="B55" s="18" t="s">
        <v>281</v>
      </c>
      <c r="C55" s="30">
        <v>45821</v>
      </c>
      <c r="D55">
        <v>2</v>
      </c>
      <c r="E55">
        <v>3</v>
      </c>
      <c r="F55">
        <v>36</v>
      </c>
      <c r="G55">
        <v>38</v>
      </c>
      <c r="H55" s="21">
        <f t="shared" si="87"/>
        <v>45842</v>
      </c>
      <c r="I55" s="21">
        <f t="shared" si="91"/>
        <v>45861</v>
      </c>
      <c r="J55" s="21">
        <f t="shared" si="88"/>
        <v>45859</v>
      </c>
      <c r="K55" s="21">
        <f t="shared" si="92"/>
        <v>45868</v>
      </c>
      <c r="L55" s="21">
        <f t="shared" si="93"/>
        <v>45873</v>
      </c>
      <c r="M55" s="21">
        <f t="shared" si="94"/>
        <v>45880</v>
      </c>
      <c r="N55" s="21">
        <f t="shared" si="95"/>
        <v>45887</v>
      </c>
      <c r="O55" s="21">
        <f t="shared" si="96"/>
        <v>45894</v>
      </c>
      <c r="P55" s="21">
        <f t="shared" si="70"/>
        <v>45835</v>
      </c>
      <c r="Q55" s="21">
        <f t="shared" si="70"/>
        <v>45835</v>
      </c>
      <c r="R55" s="20"/>
      <c r="S55" s="21">
        <f>IF(VLOOKUP(A55,Dates,15,)&gt;0,VLOOKUP(A55,Dates,15,)+'Date Calcs'!S$2,IF(VLOOKUP(A55,Dates,13,)&gt;0,VLOOKUP(A55,Dates,13,)+'Date Calcs'!S$2,IF(VLOOKUP(A55,Dates,11,)&gt;0,VLOOKUP(A55,Dates,11,)+'Date Calcs'!S$2,IF(VLOOKUP(A55,Dates,9,)&gt;0,VLOOKUP(A55,Dates,9,)+'Date Calcs'!S$2,$I55+S$2))))</f>
        <v>45868</v>
      </c>
      <c r="T55" s="21">
        <f t="shared" si="89"/>
        <v>45869</v>
      </c>
      <c r="U55" s="21">
        <f t="shared" si="97"/>
        <v>45873</v>
      </c>
      <c r="V55" s="115"/>
      <c r="W55" s="21">
        <f t="shared" si="24"/>
        <v>46139</v>
      </c>
      <c r="X55" s="21">
        <f t="shared" si="98"/>
        <v>45880</v>
      </c>
      <c r="Y55" s="21">
        <f t="shared" si="99"/>
        <v>45887</v>
      </c>
      <c r="Z55" s="21">
        <f t="shared" si="100"/>
        <v>45887</v>
      </c>
      <c r="AA55" s="21">
        <f t="shared" si="101"/>
        <v>45887</v>
      </c>
      <c r="AB55" s="21">
        <f t="shared" si="102"/>
        <v>45887</v>
      </c>
      <c r="AC55" s="21">
        <f t="shared" si="103"/>
        <v>45888</v>
      </c>
      <c r="AD55" s="21">
        <f t="shared" si="30"/>
        <v>45880</v>
      </c>
      <c r="AE55" s="21">
        <f t="shared" si="104"/>
        <v>45890</v>
      </c>
      <c r="AF55" s="21">
        <f t="shared" si="90"/>
        <v>46132</v>
      </c>
    </row>
    <row r="56" spans="1:32" x14ac:dyDescent="0.25">
      <c r="A56" s="18" t="s">
        <v>295</v>
      </c>
      <c r="B56" s="18" t="s">
        <v>281</v>
      </c>
      <c r="C56" s="30">
        <v>45821</v>
      </c>
      <c r="D56">
        <v>2</v>
      </c>
      <c r="E56">
        <v>3</v>
      </c>
      <c r="F56">
        <v>40</v>
      </c>
      <c r="G56">
        <v>42</v>
      </c>
      <c r="H56" s="21">
        <f t="shared" si="87"/>
        <v>45842</v>
      </c>
      <c r="I56" s="21">
        <f t="shared" si="91"/>
        <v>45861</v>
      </c>
      <c r="J56" s="21">
        <f t="shared" si="88"/>
        <v>45859</v>
      </c>
      <c r="K56" s="21">
        <f t="shared" si="92"/>
        <v>45868</v>
      </c>
      <c r="L56" s="21">
        <f t="shared" si="93"/>
        <v>45873</v>
      </c>
      <c r="M56" s="21">
        <f t="shared" si="94"/>
        <v>45880</v>
      </c>
      <c r="N56" s="21">
        <f t="shared" si="95"/>
        <v>45887</v>
      </c>
      <c r="O56" s="21">
        <f t="shared" si="96"/>
        <v>45894</v>
      </c>
      <c r="P56" s="21">
        <f t="shared" si="70"/>
        <v>45835</v>
      </c>
      <c r="Q56" s="21">
        <f t="shared" si="70"/>
        <v>45835</v>
      </c>
      <c r="R56" s="20"/>
      <c r="S56" s="21">
        <f>IF(VLOOKUP(A56,Dates,15,)&gt;0,VLOOKUP(A56,Dates,15,)+'Date Calcs'!S$2,IF(VLOOKUP(A56,Dates,13,)&gt;0,VLOOKUP(A56,Dates,13,)+'Date Calcs'!S$2,IF(VLOOKUP(A56,Dates,11,)&gt;0,VLOOKUP(A56,Dates,11,)+'Date Calcs'!S$2,IF(VLOOKUP(A56,Dates,9,)&gt;0,VLOOKUP(A56,Dates,9,)+'Date Calcs'!S$2,$I56+S$2))))</f>
        <v>45868</v>
      </c>
      <c r="T56" s="21">
        <f t="shared" si="89"/>
        <v>45869</v>
      </c>
      <c r="U56" s="21">
        <f t="shared" si="97"/>
        <v>45873</v>
      </c>
      <c r="V56" s="115"/>
      <c r="W56" s="21">
        <f t="shared" si="24"/>
        <v>46167</v>
      </c>
      <c r="X56" s="21">
        <f t="shared" si="98"/>
        <v>45880</v>
      </c>
      <c r="Y56" s="21">
        <f t="shared" si="99"/>
        <v>45887</v>
      </c>
      <c r="Z56" s="21">
        <f t="shared" si="100"/>
        <v>45887</v>
      </c>
      <c r="AA56" s="21">
        <f t="shared" si="101"/>
        <v>45887</v>
      </c>
      <c r="AB56" s="21">
        <f t="shared" si="102"/>
        <v>45887</v>
      </c>
      <c r="AC56" s="21">
        <f t="shared" si="103"/>
        <v>45888</v>
      </c>
      <c r="AD56" s="21">
        <f t="shared" si="30"/>
        <v>45880</v>
      </c>
      <c r="AE56" s="21">
        <f t="shared" si="104"/>
        <v>45890</v>
      </c>
      <c r="AF56" s="21">
        <f t="shared" si="90"/>
        <v>46160</v>
      </c>
    </row>
    <row r="57" spans="1:32" x14ac:dyDescent="0.25">
      <c r="A57" s="18" t="s">
        <v>296</v>
      </c>
      <c r="B57" s="18" t="s">
        <v>281</v>
      </c>
      <c r="C57" s="30">
        <v>45821</v>
      </c>
      <c r="D57">
        <v>2</v>
      </c>
      <c r="E57">
        <v>3</v>
      </c>
      <c r="F57">
        <v>40</v>
      </c>
      <c r="G57">
        <v>42</v>
      </c>
      <c r="H57" s="21">
        <f t="shared" si="87"/>
        <v>45842</v>
      </c>
      <c r="I57" s="21">
        <f t="shared" si="91"/>
        <v>45861</v>
      </c>
      <c r="J57" s="21">
        <f t="shared" si="88"/>
        <v>45859</v>
      </c>
      <c r="K57" s="21">
        <f t="shared" si="92"/>
        <v>45868</v>
      </c>
      <c r="L57" s="21">
        <f t="shared" si="93"/>
        <v>45873</v>
      </c>
      <c r="M57" s="21">
        <f t="shared" si="94"/>
        <v>45880</v>
      </c>
      <c r="N57" s="21">
        <f t="shared" si="95"/>
        <v>45887</v>
      </c>
      <c r="O57" s="21">
        <f t="shared" si="96"/>
        <v>45894</v>
      </c>
      <c r="P57" s="21">
        <f t="shared" si="70"/>
        <v>45835</v>
      </c>
      <c r="Q57" s="21">
        <f t="shared" si="70"/>
        <v>45835</v>
      </c>
      <c r="R57" s="20"/>
      <c r="S57" s="21">
        <f>IF(VLOOKUP(A57,Dates,15,)&gt;0,VLOOKUP(A57,Dates,15,)+'Date Calcs'!S$2,IF(VLOOKUP(A57,Dates,13,)&gt;0,VLOOKUP(A57,Dates,13,)+'Date Calcs'!S$2,IF(VLOOKUP(A57,Dates,11,)&gt;0,VLOOKUP(A57,Dates,11,)+'Date Calcs'!S$2,IF(VLOOKUP(A57,Dates,9,)&gt;0,VLOOKUP(A57,Dates,9,)+'Date Calcs'!S$2,$I57+S$2))))</f>
        <v>45868</v>
      </c>
      <c r="T57" s="21">
        <f t="shared" si="89"/>
        <v>45869</v>
      </c>
      <c r="U57" s="21">
        <f t="shared" si="97"/>
        <v>45873</v>
      </c>
      <c r="V57" s="115"/>
      <c r="W57" s="21">
        <f t="shared" si="24"/>
        <v>46167</v>
      </c>
      <c r="X57" s="21">
        <f t="shared" si="98"/>
        <v>45880</v>
      </c>
      <c r="Y57" s="21">
        <f t="shared" si="99"/>
        <v>45887</v>
      </c>
      <c r="Z57" s="21">
        <f t="shared" si="100"/>
        <v>45887</v>
      </c>
      <c r="AA57" s="21">
        <f t="shared" si="101"/>
        <v>45887</v>
      </c>
      <c r="AB57" s="21">
        <f t="shared" si="102"/>
        <v>45887</v>
      </c>
      <c r="AC57" s="21">
        <f t="shared" si="103"/>
        <v>45888</v>
      </c>
      <c r="AD57" s="21">
        <f t="shared" si="30"/>
        <v>45880</v>
      </c>
      <c r="AE57" s="21">
        <f t="shared" si="104"/>
        <v>45890</v>
      </c>
      <c r="AF57" s="21">
        <f t="shared" si="90"/>
        <v>46160</v>
      </c>
    </row>
    <row r="58" spans="1:32" x14ac:dyDescent="0.25">
      <c r="A58" s="18" t="s">
        <v>297</v>
      </c>
      <c r="B58" s="18" t="s">
        <v>301</v>
      </c>
      <c r="C58" s="30">
        <v>45824</v>
      </c>
      <c r="D58">
        <v>2</v>
      </c>
      <c r="E58">
        <v>3</v>
      </c>
      <c r="F58">
        <v>11</v>
      </c>
      <c r="G58">
        <v>13</v>
      </c>
      <c r="H58" s="21">
        <f t="shared" si="87"/>
        <v>45845</v>
      </c>
      <c r="I58" s="21">
        <f t="shared" ref="I58:I61" si="105">IF(VLOOKUP($A58,Dates,8,)=0,H58+I$2,VLOOKUP($A58,Dates,8,)+I$2)</f>
        <v>45855</v>
      </c>
      <c r="J58" s="21">
        <f t="shared" si="88"/>
        <v>45852</v>
      </c>
      <c r="K58" s="21">
        <f t="shared" ref="K58:K61" si="106">IF(VLOOKUP($A58,Dates,10,)=0,J58+K$2,VLOOKUP($A58,Dates,10,)+K$2)</f>
        <v>45859</v>
      </c>
      <c r="L58" s="21">
        <f t="shared" ref="L58:L61" si="107">IF(VLOOKUP($A58,Dates,11,)=0,K58+L$2,VLOOKUP($A58,Dates,11,)+L$2)</f>
        <v>45866</v>
      </c>
      <c r="M58" s="21">
        <f t="shared" ref="M58:M61" si="108">IF(VLOOKUP($A58,Dates,12,)=0,L58+M$2,VLOOKUP($A58,Dates,12,)+M$2)</f>
        <v>45873</v>
      </c>
      <c r="N58" s="21">
        <f t="shared" ref="N58:N61" si="109">IF(VLOOKUP($A58,Dates,13,)=0,M58+N$2,VLOOKUP($A58,Dates,13,)+N$2)</f>
        <v>45880</v>
      </c>
      <c r="O58" s="21">
        <f t="shared" ref="O58:O61" si="110">IF(VLOOKUP($A58,Dates,14,)=0,N58+O$2,VLOOKUP($A58,Dates,14,)+O$2)</f>
        <v>45887</v>
      </c>
      <c r="P58" s="21">
        <f t="shared" si="70"/>
        <v>45838</v>
      </c>
      <c r="Q58" s="21">
        <f t="shared" si="70"/>
        <v>45838</v>
      </c>
      <c r="R58" s="20"/>
      <c r="S58" s="21">
        <f>IF(VLOOKUP(A58,Dates,15,)&gt;0,VLOOKUP(A58,Dates,15,)+'Date Calcs'!S$2,IF(VLOOKUP(A58,Dates,13,)&gt;0,VLOOKUP(A58,Dates,13,)+'Date Calcs'!S$2,IF(VLOOKUP(A58,Dates,11,)&gt;0,VLOOKUP(A58,Dates,11,)+'Date Calcs'!S$2,IF(VLOOKUP(A58,Dates,9,)&gt;0,VLOOKUP(A58,Dates,9,)+'Date Calcs'!S$2,$I58+S$2))))</f>
        <v>45847</v>
      </c>
      <c r="T58" s="21">
        <f t="shared" si="89"/>
        <v>45848</v>
      </c>
      <c r="U58" s="21">
        <f t="shared" ref="U58:U61" si="111">S58+U$2-S$2</f>
        <v>45852</v>
      </c>
      <c r="V58" s="115"/>
      <c r="W58" s="21">
        <f t="shared" si="24"/>
        <v>45943</v>
      </c>
      <c r="X58" s="21">
        <f t="shared" ref="X58:X61" si="112">S58+X$2-S$2</f>
        <v>45859</v>
      </c>
      <c r="Y58" s="21">
        <f t="shared" ref="Y58:Y61" si="113">S58+Y$2-S$2</f>
        <v>45866</v>
      </c>
      <c r="Z58" s="21">
        <f t="shared" ref="Z58:Z61" si="114">Y58</f>
        <v>45866</v>
      </c>
      <c r="AA58" s="21">
        <f t="shared" ref="AA58:AA61" si="115">Z58</f>
        <v>45866</v>
      </c>
      <c r="AB58" s="21">
        <f t="shared" si="102"/>
        <v>45866</v>
      </c>
      <c r="AC58" s="21">
        <f t="shared" si="103"/>
        <v>45867</v>
      </c>
      <c r="AD58" s="21">
        <f t="shared" si="30"/>
        <v>45859</v>
      </c>
      <c r="AE58" s="21">
        <f t="shared" si="104"/>
        <v>45869</v>
      </c>
      <c r="AF58" s="21">
        <f t="shared" si="90"/>
        <v>45936</v>
      </c>
    </row>
    <row r="59" spans="1:32" x14ac:dyDescent="0.25">
      <c r="A59" s="18" t="s">
        <v>298</v>
      </c>
      <c r="B59" s="18" t="s">
        <v>301</v>
      </c>
      <c r="C59" s="30">
        <v>45824</v>
      </c>
      <c r="D59">
        <v>2</v>
      </c>
      <c r="E59">
        <v>3</v>
      </c>
      <c r="F59">
        <v>11</v>
      </c>
      <c r="G59">
        <v>13</v>
      </c>
      <c r="H59" s="21">
        <f t="shared" si="87"/>
        <v>45845</v>
      </c>
      <c r="I59" s="21">
        <f t="shared" si="105"/>
        <v>45855</v>
      </c>
      <c r="J59" s="21">
        <f t="shared" si="88"/>
        <v>45852</v>
      </c>
      <c r="K59" s="21">
        <f t="shared" si="106"/>
        <v>45859</v>
      </c>
      <c r="L59" s="21">
        <f t="shared" si="107"/>
        <v>45866</v>
      </c>
      <c r="M59" s="21">
        <f t="shared" si="108"/>
        <v>45873</v>
      </c>
      <c r="N59" s="21">
        <f t="shared" si="109"/>
        <v>45880</v>
      </c>
      <c r="O59" s="21">
        <f t="shared" si="110"/>
        <v>45887</v>
      </c>
      <c r="P59" s="21">
        <f t="shared" si="70"/>
        <v>45838</v>
      </c>
      <c r="Q59" s="21">
        <f t="shared" si="70"/>
        <v>45838</v>
      </c>
      <c r="R59" s="20"/>
      <c r="S59" s="21">
        <f>IF(VLOOKUP(A59,Dates,15,)&gt;0,VLOOKUP(A59,Dates,15,)+'Date Calcs'!S$2,IF(VLOOKUP(A59,Dates,13,)&gt;0,VLOOKUP(A59,Dates,13,)+'Date Calcs'!S$2,IF(VLOOKUP(A59,Dates,11,)&gt;0,VLOOKUP(A59,Dates,11,)+'Date Calcs'!S$2,IF(VLOOKUP(A59,Dates,9,)&gt;0,VLOOKUP(A59,Dates,9,)+'Date Calcs'!S$2,$I59+S$2))))</f>
        <v>45847</v>
      </c>
      <c r="T59" s="21">
        <f t="shared" si="89"/>
        <v>45848</v>
      </c>
      <c r="U59" s="21">
        <f t="shared" si="111"/>
        <v>45852</v>
      </c>
      <c r="V59" s="115"/>
      <c r="W59" s="21">
        <f t="shared" si="24"/>
        <v>45943</v>
      </c>
      <c r="X59" s="21">
        <f t="shared" si="112"/>
        <v>45859</v>
      </c>
      <c r="Y59" s="21">
        <f t="shared" si="113"/>
        <v>45866</v>
      </c>
      <c r="Z59" s="21">
        <f t="shared" si="114"/>
        <v>45866</v>
      </c>
      <c r="AA59" s="21">
        <f t="shared" si="115"/>
        <v>45866</v>
      </c>
      <c r="AB59" s="21">
        <f t="shared" si="102"/>
        <v>45866</v>
      </c>
      <c r="AC59" s="21">
        <f t="shared" si="103"/>
        <v>45867</v>
      </c>
      <c r="AD59" s="21">
        <f t="shared" si="30"/>
        <v>45859</v>
      </c>
      <c r="AE59" s="21">
        <f t="shared" si="104"/>
        <v>45869</v>
      </c>
      <c r="AF59" s="21">
        <f t="shared" si="90"/>
        <v>45936</v>
      </c>
    </row>
    <row r="60" spans="1:32" x14ac:dyDescent="0.25">
      <c r="A60" s="18" t="s">
        <v>299</v>
      </c>
      <c r="B60" s="18" t="s">
        <v>108</v>
      </c>
      <c r="C60" s="30">
        <v>45824</v>
      </c>
      <c r="D60">
        <v>2</v>
      </c>
      <c r="E60">
        <v>3</v>
      </c>
      <c r="F60">
        <v>12</v>
      </c>
      <c r="G60">
        <v>14</v>
      </c>
      <c r="H60" s="21">
        <f t="shared" si="87"/>
        <v>45845</v>
      </c>
      <c r="I60" s="21">
        <f t="shared" si="105"/>
        <v>45868</v>
      </c>
      <c r="J60" s="21">
        <f t="shared" si="88"/>
        <v>45862</v>
      </c>
      <c r="K60" s="21">
        <f t="shared" si="106"/>
        <v>45867</v>
      </c>
      <c r="L60" s="21">
        <f t="shared" si="107"/>
        <v>45874</v>
      </c>
      <c r="M60" s="21">
        <f t="shared" si="108"/>
        <v>45881</v>
      </c>
      <c r="N60" s="21">
        <f t="shared" si="109"/>
        <v>45888</v>
      </c>
      <c r="O60" s="21">
        <f t="shared" si="110"/>
        <v>45895</v>
      </c>
      <c r="P60" s="21">
        <f t="shared" si="70"/>
        <v>45838</v>
      </c>
      <c r="Q60" s="21">
        <f t="shared" si="70"/>
        <v>45838</v>
      </c>
      <c r="R60" s="20"/>
      <c r="S60" s="21">
        <f>IF(VLOOKUP(A60,Dates,15,)&gt;0,VLOOKUP(A60,Dates,15,)+'Date Calcs'!S$2,IF(VLOOKUP(A60,Dates,13,)&gt;0,VLOOKUP(A60,Dates,13,)+'Date Calcs'!S$2,IF(VLOOKUP(A60,Dates,11,)&gt;0,VLOOKUP(A60,Dates,11,)+'Date Calcs'!S$2,IF(VLOOKUP(A60,Dates,9,)&gt;0,VLOOKUP(A60,Dates,9,)+'Date Calcs'!S$2,$I60+S$2))))</f>
        <v>45857</v>
      </c>
      <c r="T60" s="21">
        <f t="shared" si="89"/>
        <v>45858</v>
      </c>
      <c r="U60" s="21">
        <f t="shared" si="111"/>
        <v>45862</v>
      </c>
      <c r="V60" s="115"/>
      <c r="W60" s="21">
        <f t="shared" si="24"/>
        <v>45960</v>
      </c>
      <c r="X60" s="21">
        <f t="shared" si="112"/>
        <v>45869</v>
      </c>
      <c r="Y60" s="21">
        <f t="shared" si="113"/>
        <v>45876</v>
      </c>
      <c r="Z60" s="21">
        <f t="shared" si="114"/>
        <v>45876</v>
      </c>
      <c r="AA60" s="21">
        <f t="shared" si="115"/>
        <v>45876</v>
      </c>
      <c r="AB60" s="21">
        <f t="shared" si="102"/>
        <v>45876</v>
      </c>
      <c r="AC60" s="21">
        <f t="shared" si="103"/>
        <v>45877</v>
      </c>
      <c r="AD60" s="21">
        <f t="shared" si="30"/>
        <v>45869</v>
      </c>
      <c r="AE60" s="21">
        <f t="shared" si="104"/>
        <v>45879</v>
      </c>
      <c r="AF60" s="21">
        <f t="shared" si="90"/>
        <v>45953</v>
      </c>
    </row>
    <row r="61" spans="1:32" x14ac:dyDescent="0.25">
      <c r="A61" s="18" t="s">
        <v>300</v>
      </c>
      <c r="B61" s="18" t="s">
        <v>108</v>
      </c>
      <c r="C61" s="30">
        <v>45824</v>
      </c>
      <c r="D61">
        <v>2</v>
      </c>
      <c r="E61">
        <v>3</v>
      </c>
      <c r="F61">
        <v>12</v>
      </c>
      <c r="G61">
        <v>14</v>
      </c>
      <c r="H61" s="21">
        <f t="shared" si="87"/>
        <v>45845</v>
      </c>
      <c r="I61" s="21">
        <f t="shared" si="105"/>
        <v>45868</v>
      </c>
      <c r="J61" s="21">
        <f t="shared" si="88"/>
        <v>45866</v>
      </c>
      <c r="K61" s="21">
        <f t="shared" si="106"/>
        <v>45875</v>
      </c>
      <c r="L61" s="21">
        <f t="shared" si="107"/>
        <v>45891</v>
      </c>
      <c r="M61" s="21">
        <f t="shared" si="108"/>
        <v>45895</v>
      </c>
      <c r="N61" s="21">
        <f t="shared" si="109"/>
        <v>45902</v>
      </c>
      <c r="O61" s="21">
        <f t="shared" si="110"/>
        <v>45909</v>
      </c>
      <c r="P61" s="21">
        <f t="shared" si="70"/>
        <v>45838</v>
      </c>
      <c r="Q61" s="21">
        <f t="shared" si="70"/>
        <v>45838</v>
      </c>
      <c r="R61" s="20"/>
      <c r="S61" s="21">
        <f>IF(VLOOKUP(A61,Dates,15,)&gt;0,VLOOKUP(A61,Dates,15,)+'Date Calcs'!S$2,IF(VLOOKUP(A61,Dates,13,)&gt;0,VLOOKUP(A61,Dates,13,)+'Date Calcs'!S$2,IF(VLOOKUP(A61,Dates,11,)&gt;0,VLOOKUP(A61,Dates,11,)+'Date Calcs'!S$2,IF(VLOOKUP(A61,Dates,9,)&gt;0,VLOOKUP(A61,Dates,9,)+'Date Calcs'!S$2,$I61+S$2))))</f>
        <v>45886</v>
      </c>
      <c r="T61" s="21">
        <f t="shared" si="89"/>
        <v>45887</v>
      </c>
      <c r="U61" s="21">
        <f t="shared" si="111"/>
        <v>45891</v>
      </c>
      <c r="V61" s="115"/>
      <c r="W61" s="21">
        <f t="shared" si="24"/>
        <v>45989</v>
      </c>
      <c r="X61" s="21">
        <f t="shared" si="112"/>
        <v>45898</v>
      </c>
      <c r="Y61" s="21">
        <f t="shared" si="113"/>
        <v>45905</v>
      </c>
      <c r="Z61" s="21">
        <f t="shared" si="114"/>
        <v>45905</v>
      </c>
      <c r="AA61" s="21">
        <f t="shared" si="115"/>
        <v>45905</v>
      </c>
      <c r="AB61" s="21">
        <f t="shared" si="102"/>
        <v>45905</v>
      </c>
      <c r="AC61" s="21">
        <f t="shared" si="103"/>
        <v>45906</v>
      </c>
      <c r="AD61" s="21">
        <f t="shared" si="30"/>
        <v>45898</v>
      </c>
      <c r="AE61" s="21">
        <f t="shared" si="104"/>
        <v>45908</v>
      </c>
      <c r="AF61" s="21">
        <f t="shared" si="90"/>
        <v>45982</v>
      </c>
    </row>
    <row r="62" spans="1:32" x14ac:dyDescent="0.25">
      <c r="A62" s="18" t="s">
        <v>302</v>
      </c>
      <c r="B62" s="18" t="s">
        <v>309</v>
      </c>
      <c r="C62" s="30">
        <v>45825</v>
      </c>
      <c r="D62">
        <v>2</v>
      </c>
      <c r="E62">
        <v>4</v>
      </c>
      <c r="F62">
        <v>22</v>
      </c>
      <c r="G62">
        <v>26</v>
      </c>
      <c r="H62" s="21">
        <f t="shared" si="87"/>
        <v>45853</v>
      </c>
      <c r="I62" s="21">
        <f t="shared" si="91"/>
        <v>45880</v>
      </c>
      <c r="J62" s="21">
        <f t="shared" si="88"/>
        <v>45888</v>
      </c>
      <c r="K62" s="21">
        <f t="shared" si="92"/>
        <v>45895</v>
      </c>
      <c r="L62" s="21">
        <f t="shared" si="93"/>
        <v>45902</v>
      </c>
      <c r="M62" s="21">
        <f t="shared" si="94"/>
        <v>45909</v>
      </c>
      <c r="N62" s="21">
        <f t="shared" si="95"/>
        <v>45916</v>
      </c>
      <c r="O62" s="21">
        <f t="shared" si="96"/>
        <v>45923</v>
      </c>
      <c r="P62" s="21">
        <f t="shared" si="70"/>
        <v>45839</v>
      </c>
      <c r="Q62" s="21">
        <f t="shared" si="70"/>
        <v>45839</v>
      </c>
      <c r="R62" s="20"/>
      <c r="S62" s="21">
        <f>IF(VLOOKUP(A62,Dates,15,)&gt;0,VLOOKUP(A62,Dates,15,)+'Date Calcs'!S$2,IF(VLOOKUP(A62,Dates,13,)&gt;0,VLOOKUP(A62,Dates,13,)+'Date Calcs'!S$2,IF(VLOOKUP(A62,Dates,11,)&gt;0,VLOOKUP(A62,Dates,11,)+'Date Calcs'!S$2,IF(VLOOKUP(A62,Dates,9,)&gt;0,VLOOKUP(A62,Dates,9,)+'Date Calcs'!S$2,$I62+S$2))))</f>
        <v>45883</v>
      </c>
      <c r="T62" s="21">
        <f t="shared" si="89"/>
        <v>45884</v>
      </c>
      <c r="U62" s="21">
        <f t="shared" si="97"/>
        <v>45888</v>
      </c>
      <c r="V62" s="115"/>
      <c r="W62" s="21">
        <f t="shared" si="24"/>
        <v>46070</v>
      </c>
      <c r="X62" s="21">
        <f t="shared" si="98"/>
        <v>45895</v>
      </c>
      <c r="Y62" s="21">
        <f t="shared" si="99"/>
        <v>45902</v>
      </c>
      <c r="Z62" s="21">
        <f t="shared" si="100"/>
        <v>45902</v>
      </c>
      <c r="AA62" s="21">
        <f t="shared" si="101"/>
        <v>45902</v>
      </c>
      <c r="AB62" s="21">
        <f t="shared" si="102"/>
        <v>45902</v>
      </c>
      <c r="AC62" s="21">
        <f t="shared" si="103"/>
        <v>45903</v>
      </c>
      <c r="AD62" s="21">
        <f t="shared" si="30"/>
        <v>45895</v>
      </c>
      <c r="AE62" s="21">
        <f t="shared" si="104"/>
        <v>45905</v>
      </c>
      <c r="AF62" s="21">
        <f t="shared" si="90"/>
        <v>46063</v>
      </c>
    </row>
    <row r="63" spans="1:32" x14ac:dyDescent="0.25">
      <c r="A63" s="18" t="s">
        <v>303</v>
      </c>
      <c r="B63" s="18" t="s">
        <v>310</v>
      </c>
      <c r="C63" s="30">
        <v>45833</v>
      </c>
      <c r="D63">
        <v>2</v>
      </c>
      <c r="E63">
        <v>3</v>
      </c>
      <c r="F63">
        <v>22</v>
      </c>
      <c r="G63">
        <v>26</v>
      </c>
      <c r="H63" s="21">
        <f t="shared" si="87"/>
        <v>45854</v>
      </c>
      <c r="I63" s="21">
        <f t="shared" si="91"/>
        <v>45875</v>
      </c>
      <c r="J63" s="21">
        <f t="shared" si="88"/>
        <v>45882</v>
      </c>
      <c r="K63" s="21">
        <f t="shared" si="92"/>
        <v>45890</v>
      </c>
      <c r="L63" s="21">
        <f t="shared" si="93"/>
        <v>45894</v>
      </c>
      <c r="M63" s="21">
        <f t="shared" si="94"/>
        <v>45901</v>
      </c>
      <c r="N63" s="21">
        <f t="shared" si="95"/>
        <v>45908</v>
      </c>
      <c r="O63" s="21">
        <f t="shared" si="96"/>
        <v>45915</v>
      </c>
      <c r="P63" s="21">
        <f t="shared" si="70"/>
        <v>45847</v>
      </c>
      <c r="Q63" s="21">
        <f t="shared" si="70"/>
        <v>45847</v>
      </c>
      <c r="R63" s="20"/>
      <c r="S63" s="21">
        <f>IF(VLOOKUP(A63,Dates,15,)&gt;0,VLOOKUP(A63,Dates,15,)+'Date Calcs'!S$2,IF(VLOOKUP(A63,Dates,13,)&gt;0,VLOOKUP(A63,Dates,13,)+'Date Calcs'!S$2,IF(VLOOKUP(A63,Dates,11,)&gt;0,VLOOKUP(A63,Dates,11,)+'Date Calcs'!S$2,IF(VLOOKUP(A63,Dates,9,)&gt;0,VLOOKUP(A63,Dates,9,)+'Date Calcs'!S$2,$I63+S$2))))</f>
        <v>45889</v>
      </c>
      <c r="T63" s="21">
        <f t="shared" si="89"/>
        <v>45890</v>
      </c>
      <c r="U63" s="21">
        <f t="shared" si="97"/>
        <v>45894</v>
      </c>
      <c r="V63" s="115"/>
      <c r="W63" s="21">
        <f t="shared" si="24"/>
        <v>46076</v>
      </c>
      <c r="X63" s="21">
        <f t="shared" si="98"/>
        <v>45901</v>
      </c>
      <c r="Y63" s="21">
        <f t="shared" si="99"/>
        <v>45908</v>
      </c>
      <c r="Z63" s="21">
        <f t="shared" si="100"/>
        <v>45908</v>
      </c>
      <c r="AA63" s="21">
        <f t="shared" si="101"/>
        <v>45908</v>
      </c>
      <c r="AB63" s="21">
        <f t="shared" si="102"/>
        <v>45908</v>
      </c>
      <c r="AC63" s="21">
        <f t="shared" si="103"/>
        <v>45909</v>
      </c>
      <c r="AD63" s="21">
        <f t="shared" si="30"/>
        <v>45901</v>
      </c>
      <c r="AE63" s="21">
        <f t="shared" si="104"/>
        <v>45911</v>
      </c>
      <c r="AF63" s="21">
        <f t="shared" si="90"/>
        <v>46069</v>
      </c>
    </row>
    <row r="64" spans="1:32" x14ac:dyDescent="0.25">
      <c r="A64" s="18" t="s">
        <v>304</v>
      </c>
      <c r="B64" s="18" t="s">
        <v>310</v>
      </c>
      <c r="C64" s="30">
        <v>45833</v>
      </c>
      <c r="D64">
        <v>2</v>
      </c>
      <c r="E64">
        <v>3</v>
      </c>
      <c r="F64">
        <v>22</v>
      </c>
      <c r="G64">
        <v>26</v>
      </c>
      <c r="H64" s="21">
        <f t="shared" si="87"/>
        <v>45854</v>
      </c>
      <c r="I64" s="21">
        <f t="shared" si="91"/>
        <v>45873</v>
      </c>
      <c r="J64" s="21">
        <f t="shared" si="88"/>
        <v>45877</v>
      </c>
      <c r="K64" s="21">
        <f t="shared" si="92"/>
        <v>45887</v>
      </c>
      <c r="L64" s="21">
        <f t="shared" si="93"/>
        <v>45894</v>
      </c>
      <c r="M64" s="21">
        <f t="shared" si="94"/>
        <v>45901</v>
      </c>
      <c r="N64" s="21">
        <f t="shared" si="95"/>
        <v>45908</v>
      </c>
      <c r="O64" s="21">
        <f t="shared" si="96"/>
        <v>45915</v>
      </c>
      <c r="P64" s="21">
        <f t="shared" si="70"/>
        <v>45847</v>
      </c>
      <c r="Q64" s="21">
        <f t="shared" si="70"/>
        <v>45847</v>
      </c>
      <c r="R64" s="20"/>
      <c r="S64" s="21">
        <f>IF(VLOOKUP(A64,Dates,15,)&gt;0,VLOOKUP(A64,Dates,15,)+'Date Calcs'!S$2,IF(VLOOKUP(A64,Dates,13,)&gt;0,VLOOKUP(A64,Dates,13,)+'Date Calcs'!S$2,IF(VLOOKUP(A64,Dates,11,)&gt;0,VLOOKUP(A64,Dates,11,)+'Date Calcs'!S$2,IF(VLOOKUP(A64,Dates,9,)&gt;0,VLOOKUP(A64,Dates,9,)+'Date Calcs'!S$2,$I64+S$2))))</f>
        <v>45889</v>
      </c>
      <c r="T64" s="21">
        <f t="shared" si="89"/>
        <v>45890</v>
      </c>
      <c r="U64" s="21">
        <f t="shared" si="97"/>
        <v>45894</v>
      </c>
      <c r="V64" s="115"/>
      <c r="W64" s="21">
        <f t="shared" si="24"/>
        <v>46076</v>
      </c>
      <c r="X64" s="21">
        <f t="shared" si="98"/>
        <v>45901</v>
      </c>
      <c r="Y64" s="21">
        <f t="shared" si="99"/>
        <v>45908</v>
      </c>
      <c r="Z64" s="21">
        <f t="shared" si="100"/>
        <v>45908</v>
      </c>
      <c r="AA64" s="21">
        <f t="shared" si="101"/>
        <v>45908</v>
      </c>
      <c r="AB64" s="21">
        <f t="shared" si="102"/>
        <v>45908</v>
      </c>
      <c r="AC64" s="21">
        <f t="shared" si="103"/>
        <v>45909</v>
      </c>
      <c r="AD64" s="21">
        <f t="shared" si="30"/>
        <v>45901</v>
      </c>
      <c r="AE64" s="21">
        <f t="shared" si="104"/>
        <v>45911</v>
      </c>
      <c r="AF64" s="21">
        <f t="shared" si="90"/>
        <v>46069</v>
      </c>
    </row>
    <row r="65" spans="1:32" x14ac:dyDescent="0.25">
      <c r="A65" s="18" t="s">
        <v>305</v>
      </c>
      <c r="B65" s="18" t="s">
        <v>310</v>
      </c>
      <c r="C65" s="30">
        <v>45833</v>
      </c>
      <c r="D65">
        <v>2</v>
      </c>
      <c r="E65">
        <v>3</v>
      </c>
      <c r="F65">
        <v>22</v>
      </c>
      <c r="G65">
        <v>26</v>
      </c>
      <c r="H65" s="21">
        <f t="shared" si="87"/>
        <v>45854</v>
      </c>
      <c r="I65" s="21">
        <f t="shared" si="91"/>
        <v>45873</v>
      </c>
      <c r="J65" s="21">
        <f t="shared" si="88"/>
        <v>45877</v>
      </c>
      <c r="K65" s="21">
        <f t="shared" si="92"/>
        <v>45887</v>
      </c>
      <c r="L65" s="21">
        <f t="shared" si="93"/>
        <v>45894</v>
      </c>
      <c r="M65" s="21">
        <f t="shared" si="94"/>
        <v>45901</v>
      </c>
      <c r="N65" s="21">
        <f t="shared" si="95"/>
        <v>45908</v>
      </c>
      <c r="O65" s="21">
        <f t="shared" si="96"/>
        <v>45915</v>
      </c>
      <c r="P65" s="21">
        <f t="shared" si="70"/>
        <v>45847</v>
      </c>
      <c r="Q65" s="21">
        <f t="shared" si="70"/>
        <v>45847</v>
      </c>
      <c r="R65" s="20"/>
      <c r="S65" s="21">
        <f>IF(VLOOKUP(A65,Dates,15,)&gt;0,VLOOKUP(A65,Dates,15,)+'Date Calcs'!S$2,IF(VLOOKUP(A65,Dates,13,)&gt;0,VLOOKUP(A65,Dates,13,)+'Date Calcs'!S$2,IF(VLOOKUP(A65,Dates,11,)&gt;0,VLOOKUP(A65,Dates,11,)+'Date Calcs'!S$2,IF(VLOOKUP(A65,Dates,9,)&gt;0,VLOOKUP(A65,Dates,9,)+'Date Calcs'!S$2,$I65+S$2))))</f>
        <v>45889</v>
      </c>
      <c r="T65" s="21">
        <f t="shared" si="89"/>
        <v>45890</v>
      </c>
      <c r="U65" s="21">
        <f t="shared" si="97"/>
        <v>45894</v>
      </c>
      <c r="V65" s="115"/>
      <c r="W65" s="21">
        <f t="shared" si="24"/>
        <v>46076</v>
      </c>
      <c r="X65" s="21">
        <f t="shared" si="98"/>
        <v>45901</v>
      </c>
      <c r="Y65" s="21">
        <f t="shared" si="99"/>
        <v>45908</v>
      </c>
      <c r="Z65" s="21">
        <f t="shared" si="100"/>
        <v>45908</v>
      </c>
      <c r="AA65" s="21">
        <f t="shared" si="101"/>
        <v>45908</v>
      </c>
      <c r="AB65" s="21">
        <f t="shared" si="102"/>
        <v>45908</v>
      </c>
      <c r="AC65" s="21">
        <f t="shared" si="103"/>
        <v>45909</v>
      </c>
      <c r="AD65" s="21">
        <f t="shared" si="30"/>
        <v>45901</v>
      </c>
      <c r="AE65" s="21">
        <f t="shared" si="104"/>
        <v>45911</v>
      </c>
      <c r="AF65" s="21">
        <f t="shared" si="90"/>
        <v>46069</v>
      </c>
    </row>
    <row r="66" spans="1:32" x14ac:dyDescent="0.25">
      <c r="A66" s="18" t="s">
        <v>306</v>
      </c>
      <c r="B66" s="18" t="s">
        <v>85</v>
      </c>
      <c r="C66" s="30">
        <v>45835</v>
      </c>
      <c r="D66">
        <v>2</v>
      </c>
      <c r="E66">
        <v>3</v>
      </c>
      <c r="F66">
        <v>22</v>
      </c>
      <c r="G66">
        <v>26</v>
      </c>
      <c r="H66" s="21">
        <f t="shared" si="87"/>
        <v>45856</v>
      </c>
      <c r="I66" s="21">
        <f t="shared" si="76"/>
        <v>45870</v>
      </c>
      <c r="J66" s="21">
        <f t="shared" si="88"/>
        <v>45876</v>
      </c>
      <c r="K66" s="21">
        <f t="shared" si="77"/>
        <v>45897</v>
      </c>
      <c r="L66" s="21">
        <f t="shared" si="78"/>
        <v>45904</v>
      </c>
      <c r="M66" s="21">
        <f t="shared" si="79"/>
        <v>45911</v>
      </c>
      <c r="N66" s="21">
        <f t="shared" si="80"/>
        <v>45918</v>
      </c>
      <c r="O66" s="21">
        <f t="shared" si="81"/>
        <v>45925</v>
      </c>
      <c r="P66" s="21">
        <f t="shared" si="70"/>
        <v>45849</v>
      </c>
      <c r="Q66" s="21">
        <f t="shared" si="70"/>
        <v>45849</v>
      </c>
      <c r="R66" s="20"/>
      <c r="S66" s="21">
        <f>IF(VLOOKUP(A66,Dates,15,)&gt;0,VLOOKUP(A66,Dates,15,)+'Date Calcs'!S$2,IF(VLOOKUP(A66,Dates,13,)&gt;0,VLOOKUP(A66,Dates,13,)+'Date Calcs'!S$2,IF(VLOOKUP(A66,Dates,11,)&gt;0,VLOOKUP(A66,Dates,11,)+'Date Calcs'!S$2,IF(VLOOKUP(A66,Dates,9,)&gt;0,VLOOKUP(A66,Dates,9,)+'Date Calcs'!S$2,$I66+S$2))))</f>
        <v>45871</v>
      </c>
      <c r="T66" s="21">
        <f t="shared" si="89"/>
        <v>45872</v>
      </c>
      <c r="U66" s="21">
        <f t="shared" si="82"/>
        <v>45876</v>
      </c>
      <c r="V66" s="115"/>
      <c r="W66" s="21">
        <f t="shared" si="24"/>
        <v>46058</v>
      </c>
      <c r="X66" s="21">
        <f t="shared" si="83"/>
        <v>45883</v>
      </c>
      <c r="Y66" s="21">
        <f t="shared" si="84"/>
        <v>45890</v>
      </c>
      <c r="Z66" s="21">
        <f t="shared" si="85"/>
        <v>45890</v>
      </c>
      <c r="AA66" s="21">
        <f t="shared" si="86"/>
        <v>45890</v>
      </c>
      <c r="AB66" s="21">
        <f t="shared" si="102"/>
        <v>45890</v>
      </c>
      <c r="AC66" s="21">
        <f t="shared" si="103"/>
        <v>45891</v>
      </c>
      <c r="AD66" s="21">
        <f t="shared" si="30"/>
        <v>45883</v>
      </c>
      <c r="AE66" s="21">
        <f t="shared" si="104"/>
        <v>45893</v>
      </c>
      <c r="AF66" s="21">
        <f t="shared" si="90"/>
        <v>46051</v>
      </c>
    </row>
    <row r="67" spans="1:32" x14ac:dyDescent="0.25">
      <c r="A67" s="18" t="s">
        <v>311</v>
      </c>
      <c r="B67" s="18" t="s">
        <v>312</v>
      </c>
      <c r="C67" s="30">
        <v>45853</v>
      </c>
      <c r="D67">
        <v>2</v>
      </c>
      <c r="E67">
        <v>3</v>
      </c>
      <c r="F67">
        <v>22</v>
      </c>
      <c r="G67">
        <v>26</v>
      </c>
      <c r="H67" s="21">
        <f t="shared" si="87"/>
        <v>45874</v>
      </c>
      <c r="I67" s="21">
        <f t="shared" si="76"/>
        <v>45898</v>
      </c>
      <c r="J67" s="21">
        <f t="shared" si="88"/>
        <v>45951</v>
      </c>
      <c r="K67" s="21">
        <f t="shared" si="77"/>
        <v>45966</v>
      </c>
      <c r="L67" s="21">
        <f t="shared" si="78"/>
        <v>45967</v>
      </c>
      <c r="M67" s="21">
        <f t="shared" si="79"/>
        <v>45972</v>
      </c>
      <c r="N67" s="21">
        <f t="shared" si="80"/>
        <v>46062</v>
      </c>
      <c r="O67" s="21">
        <f t="shared" si="81"/>
        <v>46069</v>
      </c>
      <c r="P67" s="21">
        <f t="shared" si="70"/>
        <v>45867</v>
      </c>
      <c r="Q67" s="21">
        <f t="shared" si="70"/>
        <v>45867</v>
      </c>
      <c r="R67" s="20"/>
      <c r="S67" s="21">
        <f>IF(VLOOKUP(A67,Dates,15,)&gt;0,VLOOKUP(A67,Dates,15,)+'Date Calcs'!S$2,IF(VLOOKUP(A67,Dates,13,)&gt;0,VLOOKUP(A67,Dates,13,)+'Date Calcs'!S$2,IF(VLOOKUP(A67,Dates,11,)&gt;0,VLOOKUP(A67,Dates,11,)+'Date Calcs'!S$2,IF(VLOOKUP(A67,Dates,9,)&gt;0,VLOOKUP(A67,Dates,9,)+'Date Calcs'!S$2,$I67+S$2))))</f>
        <v>46057</v>
      </c>
      <c r="T67" s="21">
        <f t="shared" si="89"/>
        <v>46058</v>
      </c>
      <c r="U67" s="21">
        <f t="shared" si="82"/>
        <v>46062</v>
      </c>
      <c r="V67" s="115"/>
      <c r="W67" s="21">
        <f t="shared" si="24"/>
        <v>46244</v>
      </c>
      <c r="X67" s="21">
        <f t="shared" si="83"/>
        <v>46069</v>
      </c>
      <c r="Y67" s="21">
        <f t="shared" si="84"/>
        <v>46076</v>
      </c>
      <c r="Z67" s="21">
        <f t="shared" si="85"/>
        <v>46076</v>
      </c>
      <c r="AA67" s="21">
        <f t="shared" si="86"/>
        <v>46076</v>
      </c>
      <c r="AB67" s="21">
        <f t="shared" si="102"/>
        <v>46076</v>
      </c>
      <c r="AC67" s="21">
        <f t="shared" si="103"/>
        <v>46077</v>
      </c>
      <c r="AD67" s="21">
        <f t="shared" si="30"/>
        <v>46069</v>
      </c>
      <c r="AE67" s="21">
        <f t="shared" si="104"/>
        <v>46079</v>
      </c>
      <c r="AF67" s="21">
        <f t="shared" si="90"/>
        <v>46237</v>
      </c>
    </row>
    <row r="68" spans="1:32" x14ac:dyDescent="0.25">
      <c r="A68" s="18" t="s">
        <v>313</v>
      </c>
      <c r="B68" s="18" t="s">
        <v>314</v>
      </c>
      <c r="C68" s="30">
        <v>45856</v>
      </c>
      <c r="D68">
        <v>2</v>
      </c>
      <c r="E68">
        <v>3</v>
      </c>
      <c r="F68">
        <v>13</v>
      </c>
      <c r="G68">
        <v>15</v>
      </c>
      <c r="H68" s="21">
        <f t="shared" si="87"/>
        <v>45877</v>
      </c>
      <c r="I68" s="21">
        <f t="shared" ref="I68:I77" si="116">IF(VLOOKUP($A68,Dates,8,)=0,H68+I$2,VLOOKUP($A68,Dates,8,)+I$2)</f>
        <v>45891</v>
      </c>
      <c r="J68" s="21">
        <f t="shared" si="88"/>
        <v>45887</v>
      </c>
      <c r="K68" s="21">
        <f t="shared" ref="K68:K77" si="117">IF(VLOOKUP($A68,Dates,10,)=0,J68+K$2,VLOOKUP($A68,Dates,10,)+K$2)</f>
        <v>45894</v>
      </c>
      <c r="L68" s="21">
        <f t="shared" ref="L68:L77" si="118">IF(VLOOKUP($A68,Dates,11,)=0,K68+L$2,VLOOKUP($A68,Dates,11,)+L$2)</f>
        <v>45952</v>
      </c>
      <c r="M68" s="21">
        <f t="shared" ref="M68:M77" si="119">IF(VLOOKUP($A68,Dates,12,)=0,L68+M$2,VLOOKUP($A68,Dates,12,)+M$2)</f>
        <v>45958</v>
      </c>
      <c r="N68" s="21">
        <f t="shared" ref="N68:N77" si="120">IF(VLOOKUP($A68,Dates,13,)=0,M68+N$2,VLOOKUP($A68,Dates,13,)+N$2)</f>
        <v>45961</v>
      </c>
      <c r="O68" s="21">
        <f t="shared" ref="O68:O77" si="121">IF(VLOOKUP($A68,Dates,14,)=0,N68+O$2,VLOOKUP($A68,Dates,14,)+O$2)</f>
        <v>45968</v>
      </c>
      <c r="P68" s="21">
        <f t="shared" si="70"/>
        <v>45870</v>
      </c>
      <c r="Q68" s="21">
        <f t="shared" si="70"/>
        <v>45870</v>
      </c>
      <c r="R68" s="20"/>
      <c r="S68" s="21">
        <f>IF(VLOOKUP(A68,Dates,15,)&gt;0,VLOOKUP(A68,Dates,15,)+'Date Calcs'!S$2,IF(VLOOKUP(A68,Dates,13,)&gt;0,VLOOKUP(A68,Dates,13,)+'Date Calcs'!S$2,IF(VLOOKUP(A68,Dates,11,)&gt;0,VLOOKUP(A68,Dates,11,)+'Date Calcs'!S$2,IF(VLOOKUP(A68,Dates,9,)&gt;0,VLOOKUP(A68,Dates,9,)+'Date Calcs'!S$2,$I68+S$2))))</f>
        <v>45967</v>
      </c>
      <c r="T68" s="21">
        <f t="shared" si="89"/>
        <v>45968</v>
      </c>
      <c r="U68" s="21">
        <f t="shared" ref="U68:U77" si="122">S68+U$2-S$2</f>
        <v>45972</v>
      </c>
      <c r="V68" s="115">
        <v>3</v>
      </c>
      <c r="W68" s="21">
        <f t="shared" si="24"/>
        <v>46098</v>
      </c>
      <c r="X68" s="21">
        <f t="shared" ref="X68:X77" si="123">S68+X$2-S$2</f>
        <v>45979</v>
      </c>
      <c r="Y68" s="21">
        <f t="shared" ref="Y68:Y77" si="124">S68+Y$2-S$2</f>
        <v>45986</v>
      </c>
      <c r="Z68" s="21">
        <f t="shared" ref="Z68:Z77" si="125">Y68</f>
        <v>45986</v>
      </c>
      <c r="AA68" s="21">
        <f t="shared" ref="AA68:AA77" si="126">Z68</f>
        <v>45986</v>
      </c>
      <c r="AB68" s="21">
        <f t="shared" si="102"/>
        <v>45986</v>
      </c>
      <c r="AC68" s="21">
        <f t="shared" si="103"/>
        <v>45987</v>
      </c>
      <c r="AD68" s="21">
        <f t="shared" si="30"/>
        <v>45979</v>
      </c>
      <c r="AE68" s="21">
        <f t="shared" si="104"/>
        <v>45989</v>
      </c>
      <c r="AF68" s="21">
        <f t="shared" si="90"/>
        <v>46070</v>
      </c>
    </row>
    <row r="69" spans="1:32" x14ac:dyDescent="0.25">
      <c r="A69" s="18" t="s">
        <v>315</v>
      </c>
      <c r="B69" s="18" t="s">
        <v>140</v>
      </c>
      <c r="C69" s="30">
        <v>45860</v>
      </c>
      <c r="D69">
        <v>2</v>
      </c>
      <c r="E69">
        <v>3</v>
      </c>
      <c r="F69">
        <v>14</v>
      </c>
      <c r="G69">
        <v>16</v>
      </c>
      <c r="H69" s="21">
        <f t="shared" ref="H69:H100" si="127">C69+E69*7</f>
        <v>45881</v>
      </c>
      <c r="I69" s="21">
        <f t="shared" si="116"/>
        <v>45895</v>
      </c>
      <c r="J69" s="21">
        <f t="shared" ref="J69:J100" si="128">IF(VLOOKUP(A69,Dates,9,)=0,I69+J$2,VLOOKUP(A69,Dates,9,)+J$2)</f>
        <v>45890</v>
      </c>
      <c r="K69" s="21">
        <f t="shared" si="117"/>
        <v>45895</v>
      </c>
      <c r="L69" s="21">
        <f t="shared" si="118"/>
        <v>45902</v>
      </c>
      <c r="M69" s="21">
        <f t="shared" si="119"/>
        <v>45909</v>
      </c>
      <c r="N69" s="21">
        <f t="shared" si="120"/>
        <v>45916</v>
      </c>
      <c r="O69" s="21">
        <f t="shared" si="121"/>
        <v>45923</v>
      </c>
      <c r="P69" s="21">
        <f t="shared" si="70"/>
        <v>45874</v>
      </c>
      <c r="Q69" s="21">
        <f t="shared" si="70"/>
        <v>45874</v>
      </c>
      <c r="R69" s="20"/>
      <c r="S69" s="21">
        <f>IF(VLOOKUP(A69,Dates,15,)&gt;0,VLOOKUP(A69,Dates,15,)+'Date Calcs'!S$2,IF(VLOOKUP(A69,Dates,13,)&gt;0,VLOOKUP(A69,Dates,13,)+'Date Calcs'!S$2,IF(VLOOKUP(A69,Dates,11,)&gt;0,VLOOKUP(A69,Dates,11,)+'Date Calcs'!S$2,IF(VLOOKUP(A69,Dates,9,)&gt;0,VLOOKUP(A69,Dates,9,)+'Date Calcs'!S$2,$I69+S$2))))</f>
        <v>45885</v>
      </c>
      <c r="T69" s="21">
        <f t="shared" ref="T69:T100" si="129">$S69+T$2</f>
        <v>45886</v>
      </c>
      <c r="U69" s="21">
        <f t="shared" si="122"/>
        <v>45890</v>
      </c>
      <c r="V69" s="115"/>
      <c r="W69" s="21">
        <f t="shared" si="24"/>
        <v>46002</v>
      </c>
      <c r="X69" s="21">
        <f t="shared" si="123"/>
        <v>45897</v>
      </c>
      <c r="Y69" s="21">
        <f t="shared" si="124"/>
        <v>45904</v>
      </c>
      <c r="Z69" s="21">
        <f t="shared" si="125"/>
        <v>45904</v>
      </c>
      <c r="AA69" s="21">
        <f t="shared" si="126"/>
        <v>45904</v>
      </c>
      <c r="AB69" s="21">
        <f t="shared" si="102"/>
        <v>45904</v>
      </c>
      <c r="AC69" s="21">
        <f t="shared" si="103"/>
        <v>45905</v>
      </c>
      <c r="AD69" s="21">
        <f t="shared" si="30"/>
        <v>45897</v>
      </c>
      <c r="AE69" s="21">
        <f t="shared" si="104"/>
        <v>45907</v>
      </c>
      <c r="AF69" s="21">
        <f t="shared" ref="AF69:AF100" si="130">S69-S$2+G69*7</f>
        <v>45995</v>
      </c>
    </row>
    <row r="70" spans="1:32" x14ac:dyDescent="0.25">
      <c r="A70" s="18" t="s">
        <v>316</v>
      </c>
      <c r="B70" s="18" t="s">
        <v>72</v>
      </c>
      <c r="C70" s="30">
        <v>45868</v>
      </c>
      <c r="D70">
        <v>0</v>
      </c>
      <c r="E70">
        <v>0</v>
      </c>
      <c r="F70">
        <v>22</v>
      </c>
      <c r="G70">
        <v>26</v>
      </c>
      <c r="H70" s="21">
        <f t="shared" si="127"/>
        <v>45868</v>
      </c>
      <c r="I70" s="21">
        <f t="shared" si="116"/>
        <v>45882</v>
      </c>
      <c r="J70" s="21">
        <f t="shared" si="128"/>
        <v>45889</v>
      </c>
      <c r="K70" s="21">
        <f t="shared" si="117"/>
        <v>45896</v>
      </c>
      <c r="L70" s="21">
        <f t="shared" si="118"/>
        <v>45903</v>
      </c>
      <c r="M70" s="21">
        <f t="shared" si="119"/>
        <v>45910</v>
      </c>
      <c r="N70" s="21">
        <f t="shared" si="120"/>
        <v>45917</v>
      </c>
      <c r="O70" s="21">
        <f t="shared" si="121"/>
        <v>45924</v>
      </c>
      <c r="P70" s="21">
        <f t="shared" si="70"/>
        <v>45882</v>
      </c>
      <c r="Q70" s="21">
        <f t="shared" si="70"/>
        <v>45882</v>
      </c>
      <c r="R70" s="20"/>
      <c r="S70" s="21">
        <f>IF(VLOOKUP(A70,Dates,15,)&gt;0,VLOOKUP(A70,Dates,15,)+'Date Calcs'!S$2,IF(VLOOKUP(A70,Dates,13,)&gt;0,VLOOKUP(A70,Dates,13,)+'Date Calcs'!S$2,IF(VLOOKUP(A70,Dates,11,)&gt;0,VLOOKUP(A70,Dates,11,)+'Date Calcs'!S$2,IF(VLOOKUP(A70,Dates,9,)&gt;0,VLOOKUP(A70,Dates,9,)+'Date Calcs'!S$2,$I70+S$2))))</f>
        <v>45884</v>
      </c>
      <c r="T70" s="21">
        <f t="shared" si="129"/>
        <v>45885</v>
      </c>
      <c r="U70" s="21">
        <f t="shared" si="122"/>
        <v>45889</v>
      </c>
      <c r="V70" s="115"/>
      <c r="W70" s="21">
        <f t="shared" ref="W70:W121" si="131">(G70*7)+(V70*7)+U70</f>
        <v>46071</v>
      </c>
      <c r="X70" s="21">
        <f t="shared" si="123"/>
        <v>45896</v>
      </c>
      <c r="Y70" s="21">
        <f t="shared" si="124"/>
        <v>45903</v>
      </c>
      <c r="Z70" s="21">
        <f t="shared" si="125"/>
        <v>45903</v>
      </c>
      <c r="AA70" s="21">
        <f t="shared" si="126"/>
        <v>45903</v>
      </c>
      <c r="AB70" s="21">
        <f t="shared" si="102"/>
        <v>45903</v>
      </c>
      <c r="AC70" s="21">
        <f t="shared" si="103"/>
        <v>45904</v>
      </c>
      <c r="AD70" s="21">
        <f t="shared" ref="AD70:AD121" si="132">U70+$AD$2</f>
        <v>45896</v>
      </c>
      <c r="AE70" s="21">
        <f t="shared" si="104"/>
        <v>45906</v>
      </c>
      <c r="AF70" s="21">
        <f t="shared" si="130"/>
        <v>46064</v>
      </c>
    </row>
    <row r="71" spans="1:32" x14ac:dyDescent="0.25">
      <c r="A71" s="18" t="s">
        <v>317</v>
      </c>
      <c r="B71" s="18" t="s">
        <v>79</v>
      </c>
      <c r="C71" s="30">
        <v>45876</v>
      </c>
      <c r="D71">
        <v>2</v>
      </c>
      <c r="E71">
        <v>3</v>
      </c>
      <c r="F71">
        <v>10</v>
      </c>
      <c r="G71">
        <v>12</v>
      </c>
      <c r="H71" s="21">
        <f t="shared" si="127"/>
        <v>45897</v>
      </c>
      <c r="I71" s="21">
        <f t="shared" si="116"/>
        <v>45911</v>
      </c>
      <c r="J71" s="21">
        <f t="shared" si="128"/>
        <v>45915</v>
      </c>
      <c r="K71" s="21">
        <f t="shared" si="117"/>
        <v>45922</v>
      </c>
      <c r="L71" s="21">
        <f t="shared" si="118"/>
        <v>45929</v>
      </c>
      <c r="M71" s="21">
        <f t="shared" si="119"/>
        <v>45936</v>
      </c>
      <c r="N71" s="21">
        <f t="shared" si="120"/>
        <v>45943</v>
      </c>
      <c r="O71" s="21">
        <f t="shared" si="121"/>
        <v>45950</v>
      </c>
      <c r="P71" s="21">
        <f t="shared" si="70"/>
        <v>45890</v>
      </c>
      <c r="Q71" s="21">
        <f t="shared" si="70"/>
        <v>45890</v>
      </c>
      <c r="R71" s="20"/>
      <c r="S71" s="21">
        <f>IF(VLOOKUP(A71,Dates,15,)&gt;0,VLOOKUP(A71,Dates,15,)+'Date Calcs'!S$2,IF(VLOOKUP(A71,Dates,13,)&gt;0,VLOOKUP(A71,Dates,13,)+'Date Calcs'!S$2,IF(VLOOKUP(A71,Dates,11,)&gt;0,VLOOKUP(A71,Dates,11,)+'Date Calcs'!S$2,IF(VLOOKUP(A71,Dates,9,)&gt;0,VLOOKUP(A71,Dates,9,)+'Date Calcs'!S$2,$I71+S$2))))</f>
        <v>45910</v>
      </c>
      <c r="T71" s="21">
        <f t="shared" si="129"/>
        <v>45911</v>
      </c>
      <c r="U71" s="21">
        <f t="shared" si="122"/>
        <v>45915</v>
      </c>
      <c r="V71" s="115"/>
      <c r="W71" s="21">
        <f t="shared" si="131"/>
        <v>45999</v>
      </c>
      <c r="X71" s="21">
        <f t="shared" si="123"/>
        <v>45922</v>
      </c>
      <c r="Y71" s="21">
        <f t="shared" si="124"/>
        <v>45929</v>
      </c>
      <c r="Z71" s="21">
        <f t="shared" si="125"/>
        <v>45929</v>
      </c>
      <c r="AA71" s="21">
        <f t="shared" si="126"/>
        <v>45929</v>
      </c>
      <c r="AB71" s="21">
        <f t="shared" si="102"/>
        <v>45929</v>
      </c>
      <c r="AC71" s="21">
        <f t="shared" si="103"/>
        <v>45930</v>
      </c>
      <c r="AD71" s="21">
        <f t="shared" si="132"/>
        <v>45922</v>
      </c>
      <c r="AE71" s="21">
        <f t="shared" si="104"/>
        <v>45932</v>
      </c>
      <c r="AF71" s="21">
        <f t="shared" si="130"/>
        <v>45992</v>
      </c>
    </row>
    <row r="72" spans="1:32" x14ac:dyDescent="0.25">
      <c r="A72" s="18" t="s">
        <v>318</v>
      </c>
      <c r="B72" s="18" t="s">
        <v>321</v>
      </c>
      <c r="C72" s="30">
        <v>45882</v>
      </c>
      <c r="D72">
        <v>2</v>
      </c>
      <c r="E72">
        <v>3</v>
      </c>
      <c r="F72">
        <v>6</v>
      </c>
      <c r="G72">
        <v>7</v>
      </c>
      <c r="H72" s="21">
        <f t="shared" si="127"/>
        <v>45903</v>
      </c>
      <c r="I72" s="21">
        <f t="shared" si="116"/>
        <v>45917</v>
      </c>
      <c r="J72" s="21">
        <f t="shared" si="128"/>
        <v>45916</v>
      </c>
      <c r="K72" s="21">
        <f t="shared" si="117"/>
        <v>45922</v>
      </c>
      <c r="L72" s="21">
        <f t="shared" si="118"/>
        <v>45929</v>
      </c>
      <c r="M72" s="21">
        <f t="shared" si="119"/>
        <v>45936</v>
      </c>
      <c r="N72" s="21">
        <f t="shared" si="120"/>
        <v>45943</v>
      </c>
      <c r="O72" s="21">
        <f t="shared" si="121"/>
        <v>45950</v>
      </c>
      <c r="P72" s="21">
        <f t="shared" si="70"/>
        <v>45896</v>
      </c>
      <c r="Q72" s="21">
        <f t="shared" si="70"/>
        <v>45896</v>
      </c>
      <c r="R72" s="20"/>
      <c r="S72" s="21">
        <f>IF(VLOOKUP(A72,Dates,15,)&gt;0,VLOOKUP(A72,Dates,15,)+'Date Calcs'!S$2,IF(VLOOKUP(A72,Dates,13,)&gt;0,VLOOKUP(A72,Dates,13,)+'Date Calcs'!S$2,IF(VLOOKUP(A72,Dates,11,)&gt;0,VLOOKUP(A72,Dates,11,)+'Date Calcs'!S$2,IF(VLOOKUP(A72,Dates,9,)&gt;0,VLOOKUP(A72,Dates,9,)+'Date Calcs'!S$2,$I72+S$2))))</f>
        <v>45911</v>
      </c>
      <c r="T72" s="21">
        <f t="shared" si="129"/>
        <v>45912</v>
      </c>
      <c r="U72" s="21">
        <f t="shared" si="122"/>
        <v>45916</v>
      </c>
      <c r="V72" s="115"/>
      <c r="W72" s="21">
        <f t="shared" si="131"/>
        <v>45965</v>
      </c>
      <c r="X72" s="21">
        <f t="shared" si="123"/>
        <v>45923</v>
      </c>
      <c r="Y72" s="21">
        <f t="shared" si="124"/>
        <v>45930</v>
      </c>
      <c r="Z72" s="21">
        <f t="shared" si="125"/>
        <v>45930</v>
      </c>
      <c r="AA72" s="21">
        <f t="shared" si="126"/>
        <v>45930</v>
      </c>
      <c r="AB72" s="21">
        <f t="shared" si="102"/>
        <v>45930</v>
      </c>
      <c r="AC72" s="21">
        <f t="shared" si="103"/>
        <v>45931</v>
      </c>
      <c r="AD72" s="21">
        <f t="shared" si="132"/>
        <v>45923</v>
      </c>
      <c r="AE72" s="21">
        <f t="shared" si="104"/>
        <v>45933</v>
      </c>
      <c r="AF72" s="21">
        <f t="shared" si="130"/>
        <v>45958</v>
      </c>
    </row>
    <row r="73" spans="1:32" x14ac:dyDescent="0.25">
      <c r="A73" s="18" t="s">
        <v>319</v>
      </c>
      <c r="B73" s="18" t="s">
        <v>322</v>
      </c>
      <c r="C73" s="30">
        <v>45891</v>
      </c>
      <c r="D73">
        <v>3</v>
      </c>
      <c r="E73">
        <v>4.5</v>
      </c>
      <c r="F73">
        <v>20</v>
      </c>
      <c r="G73">
        <v>24</v>
      </c>
      <c r="H73" s="21">
        <f t="shared" si="127"/>
        <v>45922.5</v>
      </c>
      <c r="I73" s="21">
        <f t="shared" si="116"/>
        <v>45936</v>
      </c>
      <c r="J73" s="21">
        <f t="shared" si="128"/>
        <v>45989</v>
      </c>
      <c r="K73" s="21">
        <f t="shared" si="117"/>
        <v>46002</v>
      </c>
      <c r="L73" s="21">
        <f t="shared" si="118"/>
        <v>46009</v>
      </c>
      <c r="M73" s="21">
        <f t="shared" si="119"/>
        <v>46016</v>
      </c>
      <c r="N73" s="21">
        <f t="shared" si="120"/>
        <v>46023</v>
      </c>
      <c r="O73" s="21">
        <f t="shared" si="121"/>
        <v>46030</v>
      </c>
      <c r="P73" s="21">
        <f t="shared" si="70"/>
        <v>45905</v>
      </c>
      <c r="Q73" s="21">
        <f t="shared" si="70"/>
        <v>45905</v>
      </c>
      <c r="R73" s="20"/>
      <c r="S73" s="21">
        <f>IF(VLOOKUP(A73,Dates,15,)&gt;0,VLOOKUP(A73,Dates,15,)+'Date Calcs'!S$2,IF(VLOOKUP(A73,Dates,13,)&gt;0,VLOOKUP(A73,Dates,13,)+'Date Calcs'!S$2,IF(VLOOKUP(A73,Dates,11,)&gt;0,VLOOKUP(A73,Dates,11,)+'Date Calcs'!S$2,IF(VLOOKUP(A73,Dates,9,)&gt;0,VLOOKUP(A73,Dates,9,)+'Date Calcs'!S$2,$I73+S$2))))</f>
        <v>45984</v>
      </c>
      <c r="T73" s="21">
        <f t="shared" si="129"/>
        <v>45985</v>
      </c>
      <c r="U73" s="21">
        <f t="shared" si="122"/>
        <v>45989</v>
      </c>
      <c r="V73" s="115"/>
      <c r="W73" s="21">
        <f t="shared" si="131"/>
        <v>46157</v>
      </c>
      <c r="X73" s="21">
        <f t="shared" si="123"/>
        <v>45996</v>
      </c>
      <c r="Y73" s="21">
        <f t="shared" si="124"/>
        <v>46003</v>
      </c>
      <c r="Z73" s="21">
        <f t="shared" si="125"/>
        <v>46003</v>
      </c>
      <c r="AA73" s="21">
        <f t="shared" si="126"/>
        <v>46003</v>
      </c>
      <c r="AB73" s="21">
        <f t="shared" si="102"/>
        <v>46003</v>
      </c>
      <c r="AC73" s="21">
        <f t="shared" si="103"/>
        <v>46004</v>
      </c>
      <c r="AD73" s="21">
        <f t="shared" si="132"/>
        <v>45996</v>
      </c>
      <c r="AE73" s="21">
        <f t="shared" si="104"/>
        <v>46006</v>
      </c>
      <c r="AF73" s="21">
        <f t="shared" si="130"/>
        <v>46150</v>
      </c>
    </row>
    <row r="74" spans="1:32" x14ac:dyDescent="0.25">
      <c r="A74" s="18" t="s">
        <v>320</v>
      </c>
      <c r="B74" s="18" t="s">
        <v>84</v>
      </c>
      <c r="C74" s="30">
        <v>45887</v>
      </c>
      <c r="D74">
        <v>1</v>
      </c>
      <c r="E74">
        <v>1</v>
      </c>
      <c r="F74">
        <v>2</v>
      </c>
      <c r="G74">
        <v>3</v>
      </c>
      <c r="H74" s="21">
        <f t="shared" si="127"/>
        <v>45894</v>
      </c>
      <c r="I74" s="21">
        <f t="shared" si="116"/>
        <v>45905</v>
      </c>
      <c r="J74" s="21">
        <f t="shared" si="128"/>
        <v>45912</v>
      </c>
      <c r="K74" s="21">
        <f t="shared" si="117"/>
        <v>45919</v>
      </c>
      <c r="L74" s="21">
        <f t="shared" si="118"/>
        <v>45926</v>
      </c>
      <c r="M74" s="21">
        <f t="shared" si="119"/>
        <v>45933</v>
      </c>
      <c r="N74" s="21">
        <f t="shared" si="120"/>
        <v>45940</v>
      </c>
      <c r="O74" s="21">
        <f t="shared" si="121"/>
        <v>45947</v>
      </c>
      <c r="P74" s="21">
        <f t="shared" si="70"/>
        <v>45901</v>
      </c>
      <c r="Q74" s="21">
        <f t="shared" si="70"/>
        <v>45901</v>
      </c>
      <c r="R74" s="20"/>
      <c r="S74" s="21">
        <f>IF(VLOOKUP(A74,Dates,15,)&gt;0,VLOOKUP(A74,Dates,15,)+'Date Calcs'!S$2,IF(VLOOKUP(A74,Dates,13,)&gt;0,VLOOKUP(A74,Dates,13,)+'Date Calcs'!S$2,IF(VLOOKUP(A74,Dates,11,)&gt;0,VLOOKUP(A74,Dates,11,)+'Date Calcs'!S$2,IF(VLOOKUP(A74,Dates,9,)&gt;0,VLOOKUP(A74,Dates,9,)+'Date Calcs'!S$2,$I74+S$2))))</f>
        <v>45907</v>
      </c>
      <c r="T74" s="21">
        <f t="shared" si="129"/>
        <v>45908</v>
      </c>
      <c r="U74" s="21">
        <f t="shared" si="122"/>
        <v>45912</v>
      </c>
      <c r="V74" s="115"/>
      <c r="W74" s="21">
        <f t="shared" si="131"/>
        <v>45933</v>
      </c>
      <c r="X74" s="21">
        <f t="shared" si="123"/>
        <v>45919</v>
      </c>
      <c r="Y74" s="21">
        <f t="shared" si="124"/>
        <v>45926</v>
      </c>
      <c r="Z74" s="21">
        <f t="shared" si="125"/>
        <v>45926</v>
      </c>
      <c r="AA74" s="21">
        <f t="shared" si="126"/>
        <v>45926</v>
      </c>
      <c r="AB74" s="21">
        <f t="shared" si="102"/>
        <v>45926</v>
      </c>
      <c r="AC74" s="21">
        <f t="shared" si="103"/>
        <v>45927</v>
      </c>
      <c r="AD74" s="21">
        <f t="shared" si="132"/>
        <v>45919</v>
      </c>
      <c r="AE74" s="21">
        <f t="shared" si="104"/>
        <v>45929</v>
      </c>
      <c r="AF74" s="21">
        <f t="shared" si="130"/>
        <v>45926</v>
      </c>
    </row>
    <row r="75" spans="1:32" x14ac:dyDescent="0.25">
      <c r="A75" s="18" t="s">
        <v>324</v>
      </c>
      <c r="B75" s="18" t="s">
        <v>74</v>
      </c>
      <c r="C75" s="30">
        <v>45904</v>
      </c>
      <c r="D75">
        <v>1</v>
      </c>
      <c r="E75">
        <v>1</v>
      </c>
      <c r="F75">
        <v>1</v>
      </c>
      <c r="G75">
        <v>1</v>
      </c>
      <c r="H75" s="21">
        <f t="shared" si="127"/>
        <v>45911</v>
      </c>
      <c r="I75" s="21">
        <f t="shared" si="116"/>
        <v>45925</v>
      </c>
      <c r="J75" s="21">
        <f t="shared" si="128"/>
        <v>45932</v>
      </c>
      <c r="K75" s="21">
        <f t="shared" si="117"/>
        <v>45939</v>
      </c>
      <c r="L75" s="21">
        <f t="shared" si="118"/>
        <v>45946</v>
      </c>
      <c r="M75" s="21">
        <f t="shared" si="119"/>
        <v>45953</v>
      </c>
      <c r="N75" s="21">
        <f t="shared" si="120"/>
        <v>45960</v>
      </c>
      <c r="O75" s="21">
        <f t="shared" si="121"/>
        <v>45967</v>
      </c>
      <c r="P75" s="21">
        <f t="shared" si="70"/>
        <v>45918</v>
      </c>
      <c r="Q75" s="21">
        <f t="shared" si="70"/>
        <v>45918</v>
      </c>
      <c r="R75" s="20"/>
      <c r="S75" s="21">
        <f>IF(VLOOKUP(A75,Dates,15,)&gt;0,VLOOKUP(A75,Dates,15,)+'Date Calcs'!S$2,IF(VLOOKUP(A75,Dates,13,)&gt;0,VLOOKUP(A75,Dates,13,)+'Date Calcs'!S$2,IF(VLOOKUP(A75,Dates,11,)&gt;0,VLOOKUP(A75,Dates,11,)+'Date Calcs'!S$2,IF(VLOOKUP(A75,Dates,9,)&gt;0,VLOOKUP(A75,Dates,9,)+'Date Calcs'!S$2,$I75+S$2))))</f>
        <v>45927</v>
      </c>
      <c r="T75" s="21">
        <f t="shared" si="129"/>
        <v>45928</v>
      </c>
      <c r="U75" s="21">
        <f t="shared" si="122"/>
        <v>45932</v>
      </c>
      <c r="V75" s="115"/>
      <c r="W75" s="21">
        <f t="shared" si="131"/>
        <v>45939</v>
      </c>
      <c r="X75" s="21">
        <f t="shared" si="123"/>
        <v>45939</v>
      </c>
      <c r="Y75" s="21">
        <f t="shared" si="124"/>
        <v>45946</v>
      </c>
      <c r="Z75" s="21">
        <f t="shared" si="125"/>
        <v>45946</v>
      </c>
      <c r="AA75" s="21">
        <f t="shared" si="126"/>
        <v>45946</v>
      </c>
      <c r="AB75" s="21">
        <f t="shared" si="102"/>
        <v>45946</v>
      </c>
      <c r="AC75" s="21">
        <f t="shared" si="103"/>
        <v>45947</v>
      </c>
      <c r="AD75" s="21">
        <f t="shared" si="132"/>
        <v>45939</v>
      </c>
      <c r="AE75" s="21">
        <f t="shared" si="104"/>
        <v>45949</v>
      </c>
      <c r="AF75" s="21">
        <f t="shared" si="130"/>
        <v>45932</v>
      </c>
    </row>
    <row r="76" spans="1:32" x14ac:dyDescent="0.25">
      <c r="A76" s="18" t="s">
        <v>325</v>
      </c>
      <c r="B76" s="18" t="s">
        <v>113</v>
      </c>
      <c r="C76" s="30">
        <v>45910</v>
      </c>
      <c r="D76">
        <v>3</v>
      </c>
      <c r="E76">
        <v>4</v>
      </c>
      <c r="F76">
        <v>16</v>
      </c>
      <c r="G76">
        <v>18</v>
      </c>
      <c r="H76" s="21">
        <f t="shared" si="127"/>
        <v>45938</v>
      </c>
      <c r="I76" s="21">
        <f t="shared" si="116"/>
        <v>45945</v>
      </c>
      <c r="J76" s="21">
        <f t="shared" si="128"/>
        <v>45944</v>
      </c>
      <c r="K76" s="21">
        <f t="shared" si="117"/>
        <v>45951</v>
      </c>
      <c r="L76" s="21">
        <f t="shared" si="118"/>
        <v>45960</v>
      </c>
      <c r="M76" s="21">
        <f t="shared" si="119"/>
        <v>45964</v>
      </c>
      <c r="N76" s="21">
        <f t="shared" si="120"/>
        <v>45971</v>
      </c>
      <c r="O76" s="21">
        <f t="shared" si="121"/>
        <v>45978</v>
      </c>
      <c r="P76" s="21">
        <f t="shared" si="70"/>
        <v>45924</v>
      </c>
      <c r="Q76" s="21">
        <f t="shared" si="70"/>
        <v>45924</v>
      </c>
      <c r="R76" s="20"/>
      <c r="S76" s="21">
        <f>IF(VLOOKUP(A76,Dates,15,)&gt;0,VLOOKUP(A76,Dates,15,)+'Date Calcs'!S$2,IF(VLOOKUP(A76,Dates,13,)&gt;0,VLOOKUP(A76,Dates,13,)+'Date Calcs'!S$2,IF(VLOOKUP(A76,Dates,11,)&gt;0,VLOOKUP(A76,Dates,11,)+'Date Calcs'!S$2,IF(VLOOKUP(A76,Dates,9,)&gt;0,VLOOKUP(A76,Dates,9,)+'Date Calcs'!S$2,$I76+S$2))))</f>
        <v>45955</v>
      </c>
      <c r="T76" s="21">
        <f t="shared" si="129"/>
        <v>45956</v>
      </c>
      <c r="U76" s="21">
        <f t="shared" si="122"/>
        <v>45960</v>
      </c>
      <c r="V76" s="115"/>
      <c r="W76" s="21">
        <f t="shared" si="131"/>
        <v>46086</v>
      </c>
      <c r="X76" s="21">
        <f t="shared" si="123"/>
        <v>45967</v>
      </c>
      <c r="Y76" s="21">
        <f t="shared" si="124"/>
        <v>45974</v>
      </c>
      <c r="Z76" s="21">
        <f t="shared" si="125"/>
        <v>45974</v>
      </c>
      <c r="AA76" s="21">
        <f t="shared" si="126"/>
        <v>45974</v>
      </c>
      <c r="AB76" s="21">
        <f t="shared" si="102"/>
        <v>45974</v>
      </c>
      <c r="AC76" s="21">
        <f t="shared" si="103"/>
        <v>45975</v>
      </c>
      <c r="AD76" s="21">
        <f t="shared" si="132"/>
        <v>45967</v>
      </c>
      <c r="AE76" s="21">
        <f t="shared" si="104"/>
        <v>45977</v>
      </c>
      <c r="AF76" s="21">
        <f t="shared" si="130"/>
        <v>46079</v>
      </c>
    </row>
    <row r="77" spans="1:32" x14ac:dyDescent="0.25">
      <c r="A77" s="18" t="s">
        <v>326</v>
      </c>
      <c r="B77" s="18" t="s">
        <v>113</v>
      </c>
      <c r="C77" s="30">
        <v>45910</v>
      </c>
      <c r="D77">
        <v>3</v>
      </c>
      <c r="E77">
        <v>4</v>
      </c>
      <c r="F77">
        <v>16</v>
      </c>
      <c r="G77">
        <v>18</v>
      </c>
      <c r="H77" s="21">
        <f t="shared" si="127"/>
        <v>45938</v>
      </c>
      <c r="I77" s="21">
        <f t="shared" si="116"/>
        <v>45945</v>
      </c>
      <c r="J77" s="21">
        <f t="shared" si="128"/>
        <v>45944</v>
      </c>
      <c r="K77" s="21">
        <f t="shared" si="117"/>
        <v>45951</v>
      </c>
      <c r="L77" s="21">
        <f t="shared" si="118"/>
        <v>45960</v>
      </c>
      <c r="M77" s="21">
        <f t="shared" si="119"/>
        <v>45964</v>
      </c>
      <c r="N77" s="21">
        <f t="shared" si="120"/>
        <v>45971</v>
      </c>
      <c r="O77" s="21">
        <f t="shared" si="121"/>
        <v>45978</v>
      </c>
      <c r="P77" s="21">
        <f t="shared" si="70"/>
        <v>45924</v>
      </c>
      <c r="Q77" s="21">
        <f t="shared" si="70"/>
        <v>45924</v>
      </c>
      <c r="R77" s="20"/>
      <c r="S77" s="21">
        <f>IF(VLOOKUP(A77,Dates,15,)&gt;0,VLOOKUP(A77,Dates,15,)+'Date Calcs'!S$2,IF(VLOOKUP(A77,Dates,13,)&gt;0,VLOOKUP(A77,Dates,13,)+'Date Calcs'!S$2,IF(VLOOKUP(A77,Dates,11,)&gt;0,VLOOKUP(A77,Dates,11,)+'Date Calcs'!S$2,IF(VLOOKUP(A77,Dates,9,)&gt;0,VLOOKUP(A77,Dates,9,)+'Date Calcs'!S$2,$I77+S$2))))</f>
        <v>45955</v>
      </c>
      <c r="T77" s="21">
        <f t="shared" si="129"/>
        <v>45956</v>
      </c>
      <c r="U77" s="21">
        <f t="shared" si="122"/>
        <v>45960</v>
      </c>
      <c r="V77" s="115"/>
      <c r="W77" s="21">
        <f t="shared" si="131"/>
        <v>46086</v>
      </c>
      <c r="X77" s="21">
        <f t="shared" si="123"/>
        <v>45967</v>
      </c>
      <c r="Y77" s="21">
        <f t="shared" si="124"/>
        <v>45974</v>
      </c>
      <c r="Z77" s="21">
        <f t="shared" si="125"/>
        <v>45974</v>
      </c>
      <c r="AA77" s="21">
        <f t="shared" si="126"/>
        <v>45974</v>
      </c>
      <c r="AB77" s="21">
        <f t="shared" si="102"/>
        <v>45974</v>
      </c>
      <c r="AC77" s="21">
        <f t="shared" si="103"/>
        <v>45975</v>
      </c>
      <c r="AD77" s="21">
        <f t="shared" si="132"/>
        <v>45967</v>
      </c>
      <c r="AE77" s="21">
        <f t="shared" si="104"/>
        <v>45977</v>
      </c>
      <c r="AF77" s="21">
        <f t="shared" si="130"/>
        <v>46079</v>
      </c>
    </row>
    <row r="78" spans="1:32" x14ac:dyDescent="0.25">
      <c r="A78" s="18" t="s">
        <v>327</v>
      </c>
      <c r="B78" s="18" t="s">
        <v>87</v>
      </c>
      <c r="C78" s="30">
        <v>45915</v>
      </c>
      <c r="D78">
        <v>2</v>
      </c>
      <c r="E78">
        <v>3</v>
      </c>
      <c r="F78">
        <v>12</v>
      </c>
      <c r="G78">
        <v>14</v>
      </c>
      <c r="H78" s="21">
        <f t="shared" si="127"/>
        <v>45936</v>
      </c>
      <c r="I78" s="21">
        <f t="shared" si="76"/>
        <v>45950</v>
      </c>
      <c r="J78" s="21">
        <f t="shared" si="128"/>
        <v>45957</v>
      </c>
      <c r="K78" s="21">
        <f t="shared" si="77"/>
        <v>45986</v>
      </c>
      <c r="L78" s="21">
        <f t="shared" si="78"/>
        <v>45993</v>
      </c>
      <c r="M78" s="21">
        <f t="shared" si="79"/>
        <v>46000</v>
      </c>
      <c r="N78" s="21">
        <f t="shared" si="80"/>
        <v>46007</v>
      </c>
      <c r="O78" s="21">
        <f t="shared" si="81"/>
        <v>46014</v>
      </c>
      <c r="P78" s="21">
        <f t="shared" si="70"/>
        <v>45929</v>
      </c>
      <c r="Q78" s="21">
        <f t="shared" si="70"/>
        <v>45929</v>
      </c>
      <c r="R78" s="20"/>
      <c r="S78" s="21">
        <f>IF(VLOOKUP(A78,Dates,15,)&gt;0,VLOOKUP(A78,Dates,15,)+'Date Calcs'!S$2,IF(VLOOKUP(A78,Dates,13,)&gt;0,VLOOKUP(A78,Dates,13,)+'Date Calcs'!S$2,IF(VLOOKUP(A78,Dates,11,)&gt;0,VLOOKUP(A78,Dates,11,)+'Date Calcs'!S$2,IF(VLOOKUP(A78,Dates,9,)&gt;0,VLOOKUP(A78,Dates,9,)+'Date Calcs'!S$2,$I78+S$2))))</f>
        <v>45952</v>
      </c>
      <c r="T78" s="21">
        <f t="shared" si="129"/>
        <v>45953</v>
      </c>
      <c r="U78" s="21">
        <f t="shared" si="82"/>
        <v>45957</v>
      </c>
      <c r="V78" s="115"/>
      <c r="W78" s="21">
        <f t="shared" si="131"/>
        <v>46055</v>
      </c>
      <c r="X78" s="21">
        <f t="shared" si="83"/>
        <v>45964</v>
      </c>
      <c r="Y78" s="21">
        <f t="shared" si="84"/>
        <v>45971</v>
      </c>
      <c r="Z78" s="21">
        <f t="shared" si="85"/>
        <v>45971</v>
      </c>
      <c r="AA78" s="21">
        <f t="shared" si="86"/>
        <v>45971</v>
      </c>
      <c r="AB78" s="21">
        <f t="shared" si="102"/>
        <v>45971</v>
      </c>
      <c r="AC78" s="21">
        <f t="shared" si="103"/>
        <v>45972</v>
      </c>
      <c r="AD78" s="21">
        <f t="shared" si="132"/>
        <v>45964</v>
      </c>
      <c r="AE78" s="21">
        <f t="shared" si="104"/>
        <v>45974</v>
      </c>
      <c r="AF78" s="21">
        <f t="shared" si="130"/>
        <v>46048</v>
      </c>
    </row>
    <row r="79" spans="1:32" x14ac:dyDescent="0.25">
      <c r="A79" s="18" t="s">
        <v>328</v>
      </c>
      <c r="B79" s="18" t="s">
        <v>81</v>
      </c>
      <c r="C79" s="30">
        <v>45919</v>
      </c>
      <c r="D79">
        <v>3</v>
      </c>
      <c r="E79">
        <v>4</v>
      </c>
      <c r="F79">
        <v>1</v>
      </c>
      <c r="G79">
        <v>1</v>
      </c>
      <c r="H79" s="21">
        <f t="shared" si="127"/>
        <v>45947</v>
      </c>
      <c r="I79" s="21">
        <f t="shared" ref="I79:I121" si="133">IF(VLOOKUP($A79,Dates,8,)=0,H79+I$2,VLOOKUP($A79,Dates,8,)+I$2)</f>
        <v>45960</v>
      </c>
      <c r="J79" s="21">
        <f t="shared" si="128"/>
        <v>45980</v>
      </c>
      <c r="K79" s="21">
        <f t="shared" ref="K79:K121" si="134">IF(VLOOKUP($A79,Dates,10,)=0,J79+K$2,VLOOKUP($A79,Dates,10,)+K$2)</f>
        <v>45987</v>
      </c>
      <c r="L79" s="21">
        <f t="shared" ref="L79:L121" si="135">IF(VLOOKUP($A79,Dates,11,)=0,K79+L$2,VLOOKUP($A79,Dates,11,)+L$2)</f>
        <v>46062</v>
      </c>
      <c r="M79" s="21">
        <f t="shared" ref="M79:M121" si="136">IF(VLOOKUP($A79,Dates,12,)=0,L79+M$2,VLOOKUP($A79,Dates,12,)+M$2)</f>
        <v>46073</v>
      </c>
      <c r="N79" s="21">
        <f t="shared" ref="N79:N121" si="137">IF(VLOOKUP($A79,Dates,13,)=0,M79+N$2,VLOOKUP($A79,Dates,13,)+N$2)</f>
        <v>46080</v>
      </c>
      <c r="O79" s="21">
        <f t="shared" ref="O79:O121" si="138">IF(VLOOKUP($A79,Dates,14,)=0,N79+O$2,VLOOKUP($A79,Dates,14,)+O$2)</f>
        <v>46087</v>
      </c>
      <c r="P79" s="21">
        <f t="shared" si="70"/>
        <v>45933</v>
      </c>
      <c r="Q79" s="21">
        <f t="shared" si="70"/>
        <v>45933</v>
      </c>
      <c r="R79" s="20"/>
      <c r="S79" s="21">
        <f>IF(VLOOKUP(A79,Dates,15,)&gt;0,VLOOKUP(A79,Dates,15,)+'Date Calcs'!S$2,IF(VLOOKUP(A79,Dates,13,)&gt;0,VLOOKUP(A79,Dates,13,)+'Date Calcs'!S$2,IF(VLOOKUP(A79,Dates,11,)&gt;0,VLOOKUP(A79,Dates,11,)+'Date Calcs'!S$2,IF(VLOOKUP(A79,Dates,9,)&gt;0,VLOOKUP(A79,Dates,9,)+'Date Calcs'!S$2,$I79+S$2))))</f>
        <v>46057</v>
      </c>
      <c r="T79" s="21">
        <f t="shared" si="129"/>
        <v>46058</v>
      </c>
      <c r="U79" s="21">
        <f t="shared" ref="U79:U121" si="139">S79+U$2-S$2</f>
        <v>46062</v>
      </c>
      <c r="V79" s="115"/>
      <c r="W79" s="21">
        <f t="shared" si="131"/>
        <v>46069</v>
      </c>
      <c r="X79" s="21">
        <f t="shared" ref="X79:X121" si="140">S79+X$2-S$2</f>
        <v>46069</v>
      </c>
      <c r="Y79" s="21">
        <f t="shared" ref="Y79:Y121" si="141">S79+Y$2-S$2</f>
        <v>46076</v>
      </c>
      <c r="Z79" s="21">
        <f t="shared" ref="Z79:Z121" si="142">Y79</f>
        <v>46076</v>
      </c>
      <c r="AA79" s="21">
        <f t="shared" ref="AA79:AA121" si="143">Z79</f>
        <v>46076</v>
      </c>
      <c r="AB79" s="21">
        <f t="shared" si="102"/>
        <v>46076</v>
      </c>
      <c r="AC79" s="21">
        <f t="shared" si="103"/>
        <v>46077</v>
      </c>
      <c r="AD79" s="21">
        <f t="shared" si="132"/>
        <v>46069</v>
      </c>
      <c r="AE79" s="21">
        <f t="shared" si="104"/>
        <v>46079</v>
      </c>
      <c r="AF79" s="21">
        <f t="shared" si="130"/>
        <v>46062</v>
      </c>
    </row>
    <row r="80" spans="1:32" x14ac:dyDescent="0.25">
      <c r="A80" s="18" t="s">
        <v>329</v>
      </c>
      <c r="B80" s="18" t="s">
        <v>83</v>
      </c>
      <c r="C80" s="30">
        <v>45922</v>
      </c>
      <c r="D80">
        <v>2</v>
      </c>
      <c r="E80">
        <v>3</v>
      </c>
      <c r="F80">
        <v>10</v>
      </c>
      <c r="G80">
        <v>11</v>
      </c>
      <c r="H80" s="21">
        <f t="shared" si="127"/>
        <v>45943</v>
      </c>
      <c r="I80" s="21">
        <f t="shared" si="133"/>
        <v>45959</v>
      </c>
      <c r="J80" s="21">
        <f t="shared" si="128"/>
        <v>45953</v>
      </c>
      <c r="K80" s="21">
        <f t="shared" si="134"/>
        <v>45960</v>
      </c>
      <c r="L80" s="21">
        <f t="shared" si="135"/>
        <v>45967</v>
      </c>
      <c r="M80" s="21">
        <f t="shared" si="136"/>
        <v>45974</v>
      </c>
      <c r="N80" s="21">
        <f t="shared" si="137"/>
        <v>45981</v>
      </c>
      <c r="O80" s="21">
        <f t="shared" si="138"/>
        <v>45988</v>
      </c>
      <c r="P80" s="21">
        <f t="shared" si="70"/>
        <v>45936</v>
      </c>
      <c r="Q80" s="21">
        <f t="shared" si="70"/>
        <v>45936</v>
      </c>
      <c r="R80" s="20"/>
      <c r="S80" s="21">
        <f>IF(VLOOKUP(A80,Dates,15,)&gt;0,VLOOKUP(A80,Dates,15,)+'Date Calcs'!S$2,IF(VLOOKUP(A80,Dates,13,)&gt;0,VLOOKUP(A80,Dates,13,)+'Date Calcs'!S$2,IF(VLOOKUP(A80,Dates,11,)&gt;0,VLOOKUP(A80,Dates,11,)+'Date Calcs'!S$2,IF(VLOOKUP(A80,Dates,9,)&gt;0,VLOOKUP(A80,Dates,9,)+'Date Calcs'!S$2,$I80+S$2))))</f>
        <v>45948</v>
      </c>
      <c r="T80" s="21">
        <f t="shared" si="129"/>
        <v>45949</v>
      </c>
      <c r="U80" s="21">
        <f t="shared" si="139"/>
        <v>45953</v>
      </c>
      <c r="V80" s="115"/>
      <c r="W80" s="21">
        <f t="shared" si="131"/>
        <v>46030</v>
      </c>
      <c r="X80" s="21">
        <f t="shared" si="140"/>
        <v>45960</v>
      </c>
      <c r="Y80" s="21">
        <f t="shared" si="141"/>
        <v>45967</v>
      </c>
      <c r="Z80" s="21">
        <f t="shared" si="142"/>
        <v>45967</v>
      </c>
      <c r="AA80" s="21">
        <f t="shared" si="143"/>
        <v>45967</v>
      </c>
      <c r="AB80" s="21">
        <f t="shared" si="102"/>
        <v>45967</v>
      </c>
      <c r="AC80" s="21">
        <f t="shared" si="103"/>
        <v>45968</v>
      </c>
      <c r="AD80" s="21">
        <f t="shared" si="132"/>
        <v>45960</v>
      </c>
      <c r="AE80" s="21">
        <f t="shared" si="104"/>
        <v>45970</v>
      </c>
      <c r="AF80" s="21">
        <f t="shared" si="130"/>
        <v>46023</v>
      </c>
    </row>
    <row r="81" spans="1:32" x14ac:dyDescent="0.25">
      <c r="A81" s="18" t="s">
        <v>330</v>
      </c>
      <c r="B81" s="18" t="s">
        <v>83</v>
      </c>
      <c r="C81" s="30">
        <v>45922</v>
      </c>
      <c r="D81">
        <v>2</v>
      </c>
      <c r="E81">
        <v>3</v>
      </c>
      <c r="F81">
        <v>10</v>
      </c>
      <c r="G81">
        <v>11</v>
      </c>
      <c r="H81" s="21">
        <f t="shared" si="127"/>
        <v>45943</v>
      </c>
      <c r="I81" s="21">
        <f t="shared" si="133"/>
        <v>45959</v>
      </c>
      <c r="J81" s="21">
        <f t="shared" si="128"/>
        <v>45953</v>
      </c>
      <c r="K81" s="21">
        <f t="shared" si="134"/>
        <v>45960</v>
      </c>
      <c r="L81" s="21">
        <f t="shared" si="135"/>
        <v>45967</v>
      </c>
      <c r="M81" s="21">
        <f t="shared" si="136"/>
        <v>45974</v>
      </c>
      <c r="N81" s="21">
        <f t="shared" si="137"/>
        <v>45981</v>
      </c>
      <c r="O81" s="21">
        <f t="shared" si="138"/>
        <v>45988</v>
      </c>
      <c r="P81" s="21">
        <f t="shared" si="70"/>
        <v>45936</v>
      </c>
      <c r="Q81" s="21">
        <f t="shared" si="70"/>
        <v>45936</v>
      </c>
      <c r="R81" s="20"/>
      <c r="S81" s="21">
        <f>IF(VLOOKUP(A81,Dates,15,)&gt;0,VLOOKUP(A81,Dates,15,)+'Date Calcs'!S$2,IF(VLOOKUP(A81,Dates,13,)&gt;0,VLOOKUP(A81,Dates,13,)+'Date Calcs'!S$2,IF(VLOOKUP(A81,Dates,11,)&gt;0,VLOOKUP(A81,Dates,11,)+'Date Calcs'!S$2,IF(VLOOKUP(A81,Dates,9,)&gt;0,VLOOKUP(A81,Dates,9,)+'Date Calcs'!S$2,$I81+S$2))))</f>
        <v>45948</v>
      </c>
      <c r="T81" s="21">
        <f t="shared" si="129"/>
        <v>45949</v>
      </c>
      <c r="U81" s="21">
        <f t="shared" si="139"/>
        <v>45953</v>
      </c>
      <c r="V81" s="115"/>
      <c r="W81" s="21">
        <f t="shared" si="131"/>
        <v>46030</v>
      </c>
      <c r="X81" s="21">
        <f t="shared" si="140"/>
        <v>45960</v>
      </c>
      <c r="Y81" s="21">
        <f t="shared" si="141"/>
        <v>45967</v>
      </c>
      <c r="Z81" s="21">
        <f t="shared" si="142"/>
        <v>45967</v>
      </c>
      <c r="AA81" s="21">
        <f t="shared" si="143"/>
        <v>45967</v>
      </c>
      <c r="AB81" s="21">
        <f t="shared" si="102"/>
        <v>45967</v>
      </c>
      <c r="AC81" s="21">
        <f t="shared" si="103"/>
        <v>45968</v>
      </c>
      <c r="AD81" s="21">
        <f t="shared" si="132"/>
        <v>45960</v>
      </c>
      <c r="AE81" s="21">
        <f t="shared" si="104"/>
        <v>45970</v>
      </c>
      <c r="AF81" s="21">
        <f t="shared" si="130"/>
        <v>46023</v>
      </c>
    </row>
    <row r="82" spans="1:32" x14ac:dyDescent="0.25">
      <c r="A82" s="18" t="s">
        <v>331</v>
      </c>
      <c r="B82" s="18" t="s">
        <v>332</v>
      </c>
      <c r="C82" s="30">
        <v>45924</v>
      </c>
      <c r="D82">
        <v>3</v>
      </c>
      <c r="E82">
        <v>4</v>
      </c>
      <c r="F82">
        <v>16</v>
      </c>
      <c r="G82">
        <v>18</v>
      </c>
      <c r="H82" s="21">
        <f t="shared" si="127"/>
        <v>45952</v>
      </c>
      <c r="I82" s="21">
        <f t="shared" si="133"/>
        <v>45966</v>
      </c>
      <c r="J82" s="21">
        <f t="shared" si="128"/>
        <v>45961</v>
      </c>
      <c r="K82" s="21">
        <f t="shared" si="134"/>
        <v>45967</v>
      </c>
      <c r="L82" s="21">
        <f t="shared" si="135"/>
        <v>45974</v>
      </c>
      <c r="M82" s="21">
        <f t="shared" si="136"/>
        <v>45981</v>
      </c>
      <c r="N82" s="21">
        <f t="shared" si="137"/>
        <v>45988</v>
      </c>
      <c r="O82" s="21">
        <f t="shared" si="138"/>
        <v>45995</v>
      </c>
      <c r="P82" s="21">
        <f t="shared" si="70"/>
        <v>45938</v>
      </c>
      <c r="Q82" s="21">
        <f t="shared" si="70"/>
        <v>45938</v>
      </c>
      <c r="R82" s="20"/>
      <c r="S82" s="21">
        <f>IF(VLOOKUP(A82,Dates,15,)&gt;0,VLOOKUP(A82,Dates,15,)+'Date Calcs'!S$2,IF(VLOOKUP(A82,Dates,13,)&gt;0,VLOOKUP(A82,Dates,13,)+'Date Calcs'!S$2,IF(VLOOKUP(A82,Dates,11,)&gt;0,VLOOKUP(A82,Dates,11,)+'Date Calcs'!S$2,IF(VLOOKUP(A82,Dates,9,)&gt;0,VLOOKUP(A82,Dates,9,)+'Date Calcs'!S$2,$I82+S$2))))</f>
        <v>45956</v>
      </c>
      <c r="T82" s="21">
        <f t="shared" si="129"/>
        <v>45957</v>
      </c>
      <c r="U82" s="21">
        <f t="shared" si="139"/>
        <v>45961</v>
      </c>
      <c r="V82" s="115">
        <v>2</v>
      </c>
      <c r="W82" s="21">
        <f t="shared" si="131"/>
        <v>46101</v>
      </c>
      <c r="X82" s="21">
        <f t="shared" si="140"/>
        <v>45968</v>
      </c>
      <c r="Y82" s="21">
        <f t="shared" si="141"/>
        <v>45975</v>
      </c>
      <c r="Z82" s="21">
        <v>46079</v>
      </c>
      <c r="AA82" s="21">
        <f t="shared" si="143"/>
        <v>46079</v>
      </c>
      <c r="AB82" s="21">
        <f t="shared" si="102"/>
        <v>45975</v>
      </c>
      <c r="AC82" s="21">
        <f t="shared" si="103"/>
        <v>46080</v>
      </c>
      <c r="AD82" s="21">
        <f t="shared" si="132"/>
        <v>45968</v>
      </c>
      <c r="AE82" s="21">
        <f t="shared" si="104"/>
        <v>46082</v>
      </c>
      <c r="AF82" s="21">
        <f t="shared" si="130"/>
        <v>46080</v>
      </c>
    </row>
    <row r="83" spans="1:32" x14ac:dyDescent="0.25">
      <c r="A83" s="18" t="s">
        <v>333</v>
      </c>
      <c r="B83" s="18" t="s">
        <v>301</v>
      </c>
      <c r="C83" s="30">
        <v>45932</v>
      </c>
      <c r="D83">
        <v>3</v>
      </c>
      <c r="E83">
        <v>4</v>
      </c>
      <c r="F83">
        <v>14</v>
      </c>
      <c r="G83">
        <v>16</v>
      </c>
      <c r="H83" s="21">
        <f t="shared" si="127"/>
        <v>45960</v>
      </c>
      <c r="I83" s="21">
        <f t="shared" si="133"/>
        <v>45973</v>
      </c>
      <c r="J83" s="21">
        <f t="shared" si="128"/>
        <v>45966</v>
      </c>
      <c r="K83" s="21">
        <f t="shared" si="134"/>
        <v>45973</v>
      </c>
      <c r="L83" s="21">
        <f t="shared" si="135"/>
        <v>45980</v>
      </c>
      <c r="M83" s="21">
        <f t="shared" si="136"/>
        <v>45987</v>
      </c>
      <c r="N83" s="21">
        <f t="shared" si="137"/>
        <v>45994</v>
      </c>
      <c r="O83" s="21">
        <f t="shared" si="138"/>
        <v>46001</v>
      </c>
      <c r="P83" s="21">
        <f t="shared" si="70"/>
        <v>45946</v>
      </c>
      <c r="Q83" s="21">
        <f t="shared" si="70"/>
        <v>45946</v>
      </c>
      <c r="R83" s="20"/>
      <c r="S83" s="21">
        <f>IF(VLOOKUP(A83,Dates,15,)&gt;0,VLOOKUP(A83,Dates,15,)+'Date Calcs'!S$2,IF(VLOOKUP(A83,Dates,13,)&gt;0,VLOOKUP(A83,Dates,13,)+'Date Calcs'!S$2,IF(VLOOKUP(A83,Dates,11,)&gt;0,VLOOKUP(A83,Dates,11,)+'Date Calcs'!S$2,IF(VLOOKUP(A83,Dates,9,)&gt;0,VLOOKUP(A83,Dates,9,)+'Date Calcs'!S$2,$I83+S$2))))</f>
        <v>45961</v>
      </c>
      <c r="T83" s="21">
        <f t="shared" si="129"/>
        <v>45962</v>
      </c>
      <c r="U83" s="21">
        <f t="shared" si="139"/>
        <v>45966</v>
      </c>
      <c r="V83" s="115"/>
      <c r="W83" s="21">
        <f t="shared" si="131"/>
        <v>46078</v>
      </c>
      <c r="X83" s="21">
        <f t="shared" si="140"/>
        <v>45973</v>
      </c>
      <c r="Y83" s="21">
        <f t="shared" si="141"/>
        <v>45980</v>
      </c>
      <c r="Z83" s="21">
        <f t="shared" si="142"/>
        <v>45980</v>
      </c>
      <c r="AA83" s="21">
        <f t="shared" si="143"/>
        <v>45980</v>
      </c>
      <c r="AB83" s="21">
        <f t="shared" si="102"/>
        <v>45980</v>
      </c>
      <c r="AC83" s="21">
        <f t="shared" si="103"/>
        <v>45981</v>
      </c>
      <c r="AD83" s="21">
        <f t="shared" si="132"/>
        <v>45973</v>
      </c>
      <c r="AE83" s="21">
        <f t="shared" si="104"/>
        <v>45983</v>
      </c>
      <c r="AF83" s="21">
        <f t="shared" si="130"/>
        <v>46071</v>
      </c>
    </row>
    <row r="84" spans="1:32" x14ac:dyDescent="0.25">
      <c r="A84" s="18" t="s">
        <v>334</v>
      </c>
      <c r="B84" s="18" t="s">
        <v>86</v>
      </c>
      <c r="C84" s="30">
        <v>45954</v>
      </c>
      <c r="D84">
        <v>3</v>
      </c>
      <c r="E84">
        <v>4</v>
      </c>
      <c r="F84">
        <v>16</v>
      </c>
      <c r="G84">
        <v>18</v>
      </c>
      <c r="H84" s="21">
        <f t="shared" si="127"/>
        <v>45982</v>
      </c>
      <c r="I84" s="21">
        <f t="shared" si="133"/>
        <v>45995</v>
      </c>
      <c r="J84" s="21">
        <f t="shared" si="128"/>
        <v>45999</v>
      </c>
      <c r="K84" s="21">
        <f t="shared" si="134"/>
        <v>46006</v>
      </c>
      <c r="L84" s="21">
        <f t="shared" si="135"/>
        <v>46013</v>
      </c>
      <c r="M84" s="21">
        <f t="shared" si="136"/>
        <v>46020</v>
      </c>
      <c r="N84" s="21">
        <f t="shared" si="137"/>
        <v>46027</v>
      </c>
      <c r="O84" s="21">
        <f t="shared" si="138"/>
        <v>46034</v>
      </c>
      <c r="P84" s="21">
        <f t="shared" si="70"/>
        <v>45968</v>
      </c>
      <c r="Q84" s="21">
        <f t="shared" si="70"/>
        <v>45968</v>
      </c>
      <c r="R84" s="20"/>
      <c r="S84" s="21">
        <f>IF(VLOOKUP(A84,Dates,15,)&gt;0,VLOOKUP(A84,Dates,15,)+'Date Calcs'!S$2,IF(VLOOKUP(A84,Dates,13,)&gt;0,VLOOKUP(A84,Dates,13,)+'Date Calcs'!S$2,IF(VLOOKUP(A84,Dates,11,)&gt;0,VLOOKUP(A84,Dates,11,)+'Date Calcs'!S$2,IF(VLOOKUP(A84,Dates,9,)&gt;0,VLOOKUP(A84,Dates,9,)+'Date Calcs'!S$2,$I84+S$2))))</f>
        <v>45994</v>
      </c>
      <c r="T84" s="21">
        <f t="shared" si="129"/>
        <v>45995</v>
      </c>
      <c r="U84" s="21">
        <f t="shared" si="139"/>
        <v>45999</v>
      </c>
      <c r="V84" s="115"/>
      <c r="W84" s="21">
        <f t="shared" si="131"/>
        <v>46125</v>
      </c>
      <c r="X84" s="21">
        <f t="shared" si="140"/>
        <v>46006</v>
      </c>
      <c r="Y84" s="21">
        <f t="shared" si="141"/>
        <v>46013</v>
      </c>
      <c r="Z84" s="21">
        <f t="shared" si="142"/>
        <v>46013</v>
      </c>
      <c r="AA84" s="21">
        <f t="shared" si="143"/>
        <v>46013</v>
      </c>
      <c r="AB84" s="21">
        <f t="shared" si="102"/>
        <v>46013</v>
      </c>
      <c r="AC84" s="21">
        <f t="shared" si="103"/>
        <v>46014</v>
      </c>
      <c r="AD84" s="21">
        <f t="shared" si="132"/>
        <v>46006</v>
      </c>
      <c r="AE84" s="21">
        <f t="shared" si="104"/>
        <v>46016</v>
      </c>
      <c r="AF84" s="21">
        <f t="shared" si="130"/>
        <v>46118</v>
      </c>
    </row>
    <row r="85" spans="1:32" x14ac:dyDescent="0.25">
      <c r="A85" s="18" t="s">
        <v>335</v>
      </c>
      <c r="B85" s="18" t="s">
        <v>310</v>
      </c>
      <c r="C85" s="30">
        <v>45968</v>
      </c>
      <c r="D85">
        <v>3</v>
      </c>
      <c r="E85">
        <v>5</v>
      </c>
      <c r="F85">
        <v>16</v>
      </c>
      <c r="G85">
        <v>18</v>
      </c>
      <c r="H85" s="21">
        <f t="shared" si="127"/>
        <v>46003</v>
      </c>
      <c r="I85" s="21">
        <f t="shared" ref="I85:I103" si="144">IF(VLOOKUP($A85,Dates,8,)=0,H85+I$2,VLOOKUP($A85,Dates,8,)+I$2)</f>
        <v>46017</v>
      </c>
      <c r="J85" s="21">
        <f t="shared" si="128"/>
        <v>46041</v>
      </c>
      <c r="K85" s="21">
        <f t="shared" ref="K85:K103" si="145">IF(VLOOKUP($A85,Dates,10,)=0,J85+K$2,VLOOKUP($A85,Dates,10,)+K$2)</f>
        <v>46048</v>
      </c>
      <c r="L85" s="21">
        <f t="shared" ref="L85:L103" si="146">IF(VLOOKUP($A85,Dates,11,)=0,K85+L$2,VLOOKUP($A85,Dates,11,)+L$2)</f>
        <v>46062</v>
      </c>
      <c r="M85" s="21">
        <f t="shared" ref="M85:M103" si="147">IF(VLOOKUP($A85,Dates,12,)=0,L85+M$2,VLOOKUP($A85,Dates,12,)+M$2)</f>
        <v>46064</v>
      </c>
      <c r="N85" s="21">
        <f t="shared" ref="N85:N103" si="148">IF(VLOOKUP($A85,Dates,13,)=0,M85+N$2,VLOOKUP($A85,Dates,13,)+N$2)</f>
        <v>46079</v>
      </c>
      <c r="O85" s="21">
        <f t="shared" ref="O85:O103" si="149">IF(VLOOKUP($A85,Dates,14,)=0,N85+O$2,VLOOKUP($A85,Dates,14,)+O$2)</f>
        <v>46086</v>
      </c>
      <c r="P85" s="21">
        <f t="shared" si="70"/>
        <v>45982</v>
      </c>
      <c r="Q85" s="21">
        <f t="shared" si="70"/>
        <v>45982</v>
      </c>
      <c r="R85" s="20"/>
      <c r="S85" s="21">
        <f>IF(VLOOKUP(A85,Dates,15,)&gt;0,VLOOKUP(A85,Dates,15,)+'Date Calcs'!S$2,IF(VLOOKUP(A85,Dates,13,)&gt;0,VLOOKUP(A85,Dates,13,)+'Date Calcs'!S$2,IF(VLOOKUP(A85,Dates,11,)&gt;0,VLOOKUP(A85,Dates,11,)+'Date Calcs'!S$2,IF(VLOOKUP(A85,Dates,9,)&gt;0,VLOOKUP(A85,Dates,9,)+'Date Calcs'!S$2,$I85+S$2))))</f>
        <v>46074</v>
      </c>
      <c r="T85" s="21">
        <f t="shared" si="129"/>
        <v>46075</v>
      </c>
      <c r="U85" s="21">
        <f t="shared" ref="U85:U103" si="150">S85+U$2-S$2</f>
        <v>46079</v>
      </c>
      <c r="V85" s="115"/>
      <c r="W85" s="21">
        <f t="shared" si="131"/>
        <v>46205</v>
      </c>
      <c r="X85" s="21">
        <f t="shared" ref="X85:X103" si="151">S85+X$2-S$2</f>
        <v>46086</v>
      </c>
      <c r="Y85" s="21">
        <f t="shared" ref="Y85:Y103" si="152">S85+Y$2-S$2</f>
        <v>46093</v>
      </c>
      <c r="Z85" s="21">
        <f t="shared" ref="Z85:Z103" si="153">Y85</f>
        <v>46093</v>
      </c>
      <c r="AA85" s="21">
        <f t="shared" ref="AA85:AA103" si="154">Z85</f>
        <v>46093</v>
      </c>
      <c r="AB85" s="21">
        <f t="shared" si="102"/>
        <v>46093</v>
      </c>
      <c r="AC85" s="21">
        <f t="shared" si="103"/>
        <v>46094</v>
      </c>
      <c r="AD85" s="21">
        <f t="shared" si="132"/>
        <v>46086</v>
      </c>
      <c r="AE85" s="21">
        <f t="shared" si="104"/>
        <v>46096</v>
      </c>
      <c r="AF85" s="21">
        <f t="shared" si="130"/>
        <v>46198</v>
      </c>
    </row>
    <row r="86" spans="1:32" x14ac:dyDescent="0.25">
      <c r="A86" s="18" t="s">
        <v>336</v>
      </c>
      <c r="B86" s="18" t="s">
        <v>310</v>
      </c>
      <c r="C86" s="30">
        <v>45968</v>
      </c>
      <c r="D86">
        <v>3</v>
      </c>
      <c r="E86">
        <v>5</v>
      </c>
      <c r="F86">
        <v>16</v>
      </c>
      <c r="G86">
        <v>18</v>
      </c>
      <c r="H86" s="21">
        <f t="shared" si="127"/>
        <v>46003</v>
      </c>
      <c r="I86" s="21">
        <f t="shared" si="144"/>
        <v>46017</v>
      </c>
      <c r="J86" s="21">
        <f t="shared" si="128"/>
        <v>46041</v>
      </c>
      <c r="K86" s="21">
        <f t="shared" si="145"/>
        <v>46051</v>
      </c>
      <c r="L86" s="21">
        <f t="shared" si="146"/>
        <v>46062</v>
      </c>
      <c r="M86" s="21">
        <f t="shared" si="147"/>
        <v>46064</v>
      </c>
      <c r="N86" s="21">
        <f t="shared" si="148"/>
        <v>46079</v>
      </c>
      <c r="O86" s="21">
        <f t="shared" si="149"/>
        <v>46086</v>
      </c>
      <c r="P86" s="21">
        <f t="shared" si="70"/>
        <v>45982</v>
      </c>
      <c r="Q86" s="21">
        <f t="shared" si="70"/>
        <v>45982</v>
      </c>
      <c r="R86" s="20"/>
      <c r="S86" s="21">
        <f>IF(VLOOKUP(A86,Dates,15,)&gt;0,VLOOKUP(A86,Dates,15,)+'Date Calcs'!S$2,IF(VLOOKUP(A86,Dates,13,)&gt;0,VLOOKUP(A86,Dates,13,)+'Date Calcs'!S$2,IF(VLOOKUP(A86,Dates,11,)&gt;0,VLOOKUP(A86,Dates,11,)+'Date Calcs'!S$2,IF(VLOOKUP(A86,Dates,9,)&gt;0,VLOOKUP(A86,Dates,9,)+'Date Calcs'!S$2,$I86+S$2))))</f>
        <v>46074</v>
      </c>
      <c r="T86" s="21">
        <f t="shared" si="129"/>
        <v>46075</v>
      </c>
      <c r="U86" s="21">
        <f t="shared" si="150"/>
        <v>46079</v>
      </c>
      <c r="V86" s="115"/>
      <c r="W86" s="21">
        <f t="shared" si="131"/>
        <v>46205</v>
      </c>
      <c r="X86" s="21">
        <f t="shared" si="151"/>
        <v>46086</v>
      </c>
      <c r="Y86" s="21">
        <f t="shared" si="152"/>
        <v>46093</v>
      </c>
      <c r="Z86" s="21">
        <f t="shared" si="153"/>
        <v>46093</v>
      </c>
      <c r="AA86" s="21">
        <f t="shared" si="154"/>
        <v>46093</v>
      </c>
      <c r="AB86" s="21">
        <f t="shared" si="102"/>
        <v>46093</v>
      </c>
      <c r="AC86" s="21">
        <f t="shared" si="103"/>
        <v>46094</v>
      </c>
      <c r="AD86" s="21">
        <f t="shared" si="132"/>
        <v>46086</v>
      </c>
      <c r="AE86" s="21">
        <f t="shared" si="104"/>
        <v>46096</v>
      </c>
      <c r="AF86" s="21">
        <f t="shared" si="130"/>
        <v>46198</v>
      </c>
    </row>
    <row r="87" spans="1:32" x14ac:dyDescent="0.25">
      <c r="A87" s="18" t="s">
        <v>337</v>
      </c>
      <c r="B87" s="18" t="s">
        <v>310</v>
      </c>
      <c r="C87" s="30">
        <v>45968</v>
      </c>
      <c r="D87">
        <v>3</v>
      </c>
      <c r="E87">
        <v>5</v>
      </c>
      <c r="F87">
        <v>16</v>
      </c>
      <c r="G87">
        <v>18</v>
      </c>
      <c r="H87" s="21">
        <f t="shared" si="127"/>
        <v>46003</v>
      </c>
      <c r="I87" s="21">
        <f t="shared" si="144"/>
        <v>46017</v>
      </c>
      <c r="J87" s="21">
        <f t="shared" si="128"/>
        <v>46041</v>
      </c>
      <c r="K87" s="21">
        <f t="shared" si="145"/>
        <v>46051</v>
      </c>
      <c r="L87" s="21">
        <f t="shared" si="146"/>
        <v>46062</v>
      </c>
      <c r="M87" s="21">
        <f t="shared" si="147"/>
        <v>46064</v>
      </c>
      <c r="N87" s="21">
        <f t="shared" si="148"/>
        <v>46079</v>
      </c>
      <c r="O87" s="21">
        <f t="shared" si="149"/>
        <v>46086</v>
      </c>
      <c r="P87" s="21">
        <f t="shared" si="70"/>
        <v>45982</v>
      </c>
      <c r="Q87" s="21">
        <f t="shared" si="70"/>
        <v>45982</v>
      </c>
      <c r="R87" s="20"/>
      <c r="S87" s="21">
        <f>IF(VLOOKUP(A87,Dates,15,)&gt;0,VLOOKUP(A87,Dates,15,)+'Date Calcs'!S$2,IF(VLOOKUP(A87,Dates,13,)&gt;0,VLOOKUP(A87,Dates,13,)+'Date Calcs'!S$2,IF(VLOOKUP(A87,Dates,11,)&gt;0,VLOOKUP(A87,Dates,11,)+'Date Calcs'!S$2,IF(VLOOKUP(A87,Dates,9,)&gt;0,VLOOKUP(A87,Dates,9,)+'Date Calcs'!S$2,$I87+S$2))))</f>
        <v>46074</v>
      </c>
      <c r="T87" s="21">
        <f t="shared" si="129"/>
        <v>46075</v>
      </c>
      <c r="U87" s="21">
        <f t="shared" si="150"/>
        <v>46079</v>
      </c>
      <c r="V87" s="115"/>
      <c r="W87" s="21">
        <f t="shared" si="131"/>
        <v>46205</v>
      </c>
      <c r="X87" s="21">
        <f t="shared" si="151"/>
        <v>46086</v>
      </c>
      <c r="Y87" s="21">
        <f t="shared" si="152"/>
        <v>46093</v>
      </c>
      <c r="Z87" s="21">
        <f t="shared" si="153"/>
        <v>46093</v>
      </c>
      <c r="AA87" s="21">
        <f t="shared" si="154"/>
        <v>46093</v>
      </c>
      <c r="AB87" s="21">
        <f t="shared" si="102"/>
        <v>46093</v>
      </c>
      <c r="AC87" s="21">
        <f t="shared" si="103"/>
        <v>46094</v>
      </c>
      <c r="AD87" s="21">
        <f t="shared" si="132"/>
        <v>46086</v>
      </c>
      <c r="AE87" s="21">
        <f t="shared" si="104"/>
        <v>46096</v>
      </c>
      <c r="AF87" s="21">
        <f t="shared" si="130"/>
        <v>46198</v>
      </c>
    </row>
    <row r="88" spans="1:32" x14ac:dyDescent="0.25">
      <c r="A88" s="18" t="s">
        <v>338</v>
      </c>
      <c r="B88" s="18" t="s">
        <v>310</v>
      </c>
      <c r="C88" s="30">
        <v>45968</v>
      </c>
      <c r="D88">
        <v>3</v>
      </c>
      <c r="E88">
        <v>5</v>
      </c>
      <c r="F88">
        <v>16</v>
      </c>
      <c r="G88">
        <v>18</v>
      </c>
      <c r="H88" s="21">
        <f t="shared" si="127"/>
        <v>46003</v>
      </c>
      <c r="I88" s="21">
        <f t="shared" si="144"/>
        <v>46017</v>
      </c>
      <c r="J88" s="21">
        <f t="shared" si="128"/>
        <v>46041</v>
      </c>
      <c r="K88" s="21">
        <f t="shared" si="145"/>
        <v>46057</v>
      </c>
      <c r="L88" s="21">
        <f t="shared" si="146"/>
        <v>46062</v>
      </c>
      <c r="M88" s="21">
        <f t="shared" si="147"/>
        <v>46064</v>
      </c>
      <c r="N88" s="21">
        <f t="shared" si="148"/>
        <v>46079</v>
      </c>
      <c r="O88" s="21">
        <f t="shared" si="149"/>
        <v>46086</v>
      </c>
      <c r="P88" s="21">
        <f t="shared" si="70"/>
        <v>45982</v>
      </c>
      <c r="Q88" s="21">
        <f t="shared" si="70"/>
        <v>45982</v>
      </c>
      <c r="R88" s="20"/>
      <c r="S88" s="21">
        <f>IF(VLOOKUP(A88,Dates,15,)&gt;0,VLOOKUP(A88,Dates,15,)+'Date Calcs'!S$2,IF(VLOOKUP(A88,Dates,13,)&gt;0,VLOOKUP(A88,Dates,13,)+'Date Calcs'!S$2,IF(VLOOKUP(A88,Dates,11,)&gt;0,VLOOKUP(A88,Dates,11,)+'Date Calcs'!S$2,IF(VLOOKUP(A88,Dates,9,)&gt;0,VLOOKUP(A88,Dates,9,)+'Date Calcs'!S$2,$I88+S$2))))</f>
        <v>46074</v>
      </c>
      <c r="T88" s="21">
        <f t="shared" si="129"/>
        <v>46075</v>
      </c>
      <c r="U88" s="21">
        <f t="shared" si="150"/>
        <v>46079</v>
      </c>
      <c r="V88" s="115"/>
      <c r="W88" s="21">
        <f t="shared" si="131"/>
        <v>46205</v>
      </c>
      <c r="X88" s="21">
        <f t="shared" si="151"/>
        <v>46086</v>
      </c>
      <c r="Y88" s="21">
        <f t="shared" si="152"/>
        <v>46093</v>
      </c>
      <c r="Z88" s="21">
        <f t="shared" si="153"/>
        <v>46093</v>
      </c>
      <c r="AA88" s="21">
        <f t="shared" si="154"/>
        <v>46093</v>
      </c>
      <c r="AB88" s="21">
        <f t="shared" si="102"/>
        <v>46093</v>
      </c>
      <c r="AC88" s="21">
        <f t="shared" si="103"/>
        <v>46094</v>
      </c>
      <c r="AD88" s="21">
        <f t="shared" si="132"/>
        <v>46086</v>
      </c>
      <c r="AE88" s="21">
        <f t="shared" si="104"/>
        <v>46096</v>
      </c>
      <c r="AF88" s="21">
        <f t="shared" si="130"/>
        <v>46198</v>
      </c>
    </row>
    <row r="89" spans="1:32" x14ac:dyDescent="0.25">
      <c r="A89" s="18" t="s">
        <v>339</v>
      </c>
      <c r="B89" s="18" t="s">
        <v>310</v>
      </c>
      <c r="C89" s="30">
        <v>45968</v>
      </c>
      <c r="D89">
        <v>3</v>
      </c>
      <c r="E89">
        <v>5</v>
      </c>
      <c r="F89">
        <v>16</v>
      </c>
      <c r="G89">
        <v>18</v>
      </c>
      <c r="H89" s="21">
        <f t="shared" si="127"/>
        <v>46003</v>
      </c>
      <c r="I89" s="21">
        <f t="shared" si="144"/>
        <v>46017</v>
      </c>
      <c r="J89" s="21">
        <f t="shared" si="128"/>
        <v>46041</v>
      </c>
      <c r="K89" s="21">
        <f t="shared" si="145"/>
        <v>46057</v>
      </c>
      <c r="L89" s="21">
        <f t="shared" si="146"/>
        <v>46062</v>
      </c>
      <c r="M89" s="21">
        <f t="shared" si="147"/>
        <v>46065</v>
      </c>
      <c r="N89" s="21">
        <f t="shared" si="148"/>
        <v>46079</v>
      </c>
      <c r="O89" s="21">
        <f t="shared" si="149"/>
        <v>46086</v>
      </c>
      <c r="P89" s="21">
        <f t="shared" si="70"/>
        <v>45982</v>
      </c>
      <c r="Q89" s="21">
        <f t="shared" si="70"/>
        <v>45982</v>
      </c>
      <c r="R89" s="20"/>
      <c r="S89" s="21">
        <f>IF(VLOOKUP(A89,Dates,15,)&gt;0,VLOOKUP(A89,Dates,15,)+'Date Calcs'!S$2,IF(VLOOKUP(A89,Dates,13,)&gt;0,VLOOKUP(A89,Dates,13,)+'Date Calcs'!S$2,IF(VLOOKUP(A89,Dates,11,)&gt;0,VLOOKUP(A89,Dates,11,)+'Date Calcs'!S$2,IF(VLOOKUP(A89,Dates,9,)&gt;0,VLOOKUP(A89,Dates,9,)+'Date Calcs'!S$2,$I89+S$2))))</f>
        <v>46074</v>
      </c>
      <c r="T89" s="21">
        <f t="shared" si="129"/>
        <v>46075</v>
      </c>
      <c r="U89" s="21">
        <f t="shared" si="150"/>
        <v>46079</v>
      </c>
      <c r="V89" s="115"/>
      <c r="W89" s="21">
        <f t="shared" si="131"/>
        <v>46205</v>
      </c>
      <c r="X89" s="21">
        <f t="shared" si="151"/>
        <v>46086</v>
      </c>
      <c r="Y89" s="21">
        <f t="shared" si="152"/>
        <v>46093</v>
      </c>
      <c r="Z89" s="21">
        <f t="shared" si="153"/>
        <v>46093</v>
      </c>
      <c r="AA89" s="21">
        <f t="shared" si="154"/>
        <v>46093</v>
      </c>
      <c r="AB89" s="21">
        <f t="shared" si="102"/>
        <v>46093</v>
      </c>
      <c r="AC89" s="21">
        <f t="shared" si="103"/>
        <v>46094</v>
      </c>
      <c r="AD89" s="21">
        <f t="shared" si="132"/>
        <v>46086</v>
      </c>
      <c r="AE89" s="21">
        <f t="shared" si="104"/>
        <v>46096</v>
      </c>
      <c r="AF89" s="21">
        <f t="shared" si="130"/>
        <v>46198</v>
      </c>
    </row>
    <row r="90" spans="1:32" x14ac:dyDescent="0.25">
      <c r="A90" s="18" t="s">
        <v>340</v>
      </c>
      <c r="B90" s="18" t="s">
        <v>310</v>
      </c>
      <c r="C90" s="30">
        <v>46055</v>
      </c>
      <c r="D90">
        <v>3</v>
      </c>
      <c r="E90">
        <v>4</v>
      </c>
      <c r="F90">
        <v>16</v>
      </c>
      <c r="G90">
        <v>18</v>
      </c>
      <c r="H90" s="21">
        <f t="shared" si="127"/>
        <v>46083</v>
      </c>
      <c r="I90" s="21">
        <f t="shared" si="144"/>
        <v>46001</v>
      </c>
      <c r="J90" s="21">
        <f t="shared" si="128"/>
        <v>46062</v>
      </c>
      <c r="K90" s="21">
        <f t="shared" si="145"/>
        <v>46069</v>
      </c>
      <c r="L90" s="21">
        <f t="shared" si="146"/>
        <v>46076</v>
      </c>
      <c r="M90" s="21">
        <f t="shared" si="147"/>
        <v>46083</v>
      </c>
      <c r="N90" s="21">
        <f t="shared" si="148"/>
        <v>46090</v>
      </c>
      <c r="O90" s="21">
        <f t="shared" si="149"/>
        <v>46097</v>
      </c>
      <c r="P90" s="21">
        <f t="shared" si="70"/>
        <v>46069</v>
      </c>
      <c r="Q90" s="21">
        <f t="shared" si="70"/>
        <v>46069</v>
      </c>
      <c r="R90" s="20"/>
      <c r="S90" s="21">
        <f>IF(VLOOKUP(A90,Dates,15,)&gt;0,VLOOKUP(A90,Dates,15,)+'Date Calcs'!S$2,IF(VLOOKUP(A90,Dates,13,)&gt;0,VLOOKUP(A90,Dates,13,)+'Date Calcs'!S$2,IF(VLOOKUP(A90,Dates,11,)&gt;0,VLOOKUP(A90,Dates,11,)+'Date Calcs'!S$2,IF(VLOOKUP(A90,Dates,9,)&gt;0,VLOOKUP(A90,Dates,9,)+'Date Calcs'!S$2,$I90+S$2))))</f>
        <v>46057</v>
      </c>
      <c r="T90" s="21">
        <f t="shared" si="129"/>
        <v>46058</v>
      </c>
      <c r="U90" s="21">
        <f t="shared" si="150"/>
        <v>46062</v>
      </c>
      <c r="V90" s="115"/>
      <c r="W90" s="21">
        <f t="shared" si="131"/>
        <v>46188</v>
      </c>
      <c r="X90" s="21">
        <f t="shared" si="151"/>
        <v>46069</v>
      </c>
      <c r="Y90" s="21">
        <f t="shared" si="152"/>
        <v>46076</v>
      </c>
      <c r="Z90" s="21">
        <f t="shared" si="153"/>
        <v>46076</v>
      </c>
      <c r="AA90" s="21">
        <f t="shared" si="154"/>
        <v>46076</v>
      </c>
      <c r="AB90" s="21">
        <f t="shared" si="102"/>
        <v>46076</v>
      </c>
      <c r="AC90" s="21">
        <f t="shared" si="103"/>
        <v>46077</v>
      </c>
      <c r="AD90" s="21">
        <f t="shared" si="132"/>
        <v>46069</v>
      </c>
      <c r="AE90" s="21">
        <f t="shared" si="104"/>
        <v>46079</v>
      </c>
      <c r="AF90" s="21">
        <f t="shared" si="130"/>
        <v>46181</v>
      </c>
    </row>
    <row r="91" spans="1:32" x14ac:dyDescent="0.25">
      <c r="A91" s="18" t="s">
        <v>341</v>
      </c>
      <c r="B91" s="18" t="s">
        <v>310</v>
      </c>
      <c r="C91" s="30">
        <v>45960</v>
      </c>
      <c r="D91">
        <v>3</v>
      </c>
      <c r="E91">
        <v>4</v>
      </c>
      <c r="F91">
        <v>16</v>
      </c>
      <c r="G91">
        <v>18</v>
      </c>
      <c r="H91" s="21">
        <f t="shared" si="127"/>
        <v>45988</v>
      </c>
      <c r="I91" s="21">
        <f t="shared" si="144"/>
        <v>46001</v>
      </c>
      <c r="J91" s="21">
        <f t="shared" si="128"/>
        <v>46062</v>
      </c>
      <c r="K91" s="21">
        <f t="shared" si="145"/>
        <v>46071</v>
      </c>
      <c r="L91" s="21">
        <f t="shared" si="146"/>
        <v>46078</v>
      </c>
      <c r="M91" s="21">
        <f t="shared" si="147"/>
        <v>46085</v>
      </c>
      <c r="N91" s="21">
        <f t="shared" si="148"/>
        <v>46092</v>
      </c>
      <c r="O91" s="21">
        <f t="shared" si="149"/>
        <v>46099</v>
      </c>
      <c r="P91" s="21">
        <f t="shared" si="70"/>
        <v>45974</v>
      </c>
      <c r="Q91" s="21">
        <f t="shared" si="70"/>
        <v>45974</v>
      </c>
      <c r="R91" s="20"/>
      <c r="S91" s="21">
        <f>IF(VLOOKUP(A91,Dates,15,)&gt;0,VLOOKUP(A91,Dates,15,)+'Date Calcs'!S$2,IF(VLOOKUP(A91,Dates,13,)&gt;0,VLOOKUP(A91,Dates,13,)+'Date Calcs'!S$2,IF(VLOOKUP(A91,Dates,11,)&gt;0,VLOOKUP(A91,Dates,11,)+'Date Calcs'!S$2,IF(VLOOKUP(A91,Dates,9,)&gt;0,VLOOKUP(A91,Dates,9,)+'Date Calcs'!S$2,$I91+S$2))))</f>
        <v>46057</v>
      </c>
      <c r="T91" s="21">
        <f t="shared" si="129"/>
        <v>46058</v>
      </c>
      <c r="U91" s="21">
        <f t="shared" si="150"/>
        <v>46062</v>
      </c>
      <c r="V91" s="115"/>
      <c r="W91" s="21">
        <f t="shared" si="131"/>
        <v>46188</v>
      </c>
      <c r="X91" s="21">
        <f t="shared" si="151"/>
        <v>46069</v>
      </c>
      <c r="Y91" s="21">
        <f t="shared" si="152"/>
        <v>46076</v>
      </c>
      <c r="Z91" s="21">
        <f t="shared" si="153"/>
        <v>46076</v>
      </c>
      <c r="AA91" s="21">
        <f t="shared" si="154"/>
        <v>46076</v>
      </c>
      <c r="AB91" s="21">
        <f t="shared" si="102"/>
        <v>46076</v>
      </c>
      <c r="AC91" s="21">
        <f t="shared" si="103"/>
        <v>46077</v>
      </c>
      <c r="AD91" s="21">
        <f t="shared" si="132"/>
        <v>46069</v>
      </c>
      <c r="AE91" s="21">
        <f t="shared" si="104"/>
        <v>46079</v>
      </c>
      <c r="AF91" s="21">
        <f t="shared" si="130"/>
        <v>46181</v>
      </c>
    </row>
    <row r="92" spans="1:32" x14ac:dyDescent="0.25">
      <c r="A92" s="18" t="s">
        <v>342</v>
      </c>
      <c r="B92" s="18" t="s">
        <v>310</v>
      </c>
      <c r="C92" s="30">
        <v>45960</v>
      </c>
      <c r="D92">
        <v>3</v>
      </c>
      <c r="E92">
        <v>4</v>
      </c>
      <c r="F92">
        <v>16</v>
      </c>
      <c r="G92">
        <v>18</v>
      </c>
      <c r="H92" s="21">
        <f t="shared" si="127"/>
        <v>45988</v>
      </c>
      <c r="I92" s="21">
        <f t="shared" si="144"/>
        <v>46001</v>
      </c>
      <c r="J92" s="21">
        <f t="shared" si="128"/>
        <v>46010</v>
      </c>
      <c r="K92" s="21">
        <f t="shared" si="145"/>
        <v>46017</v>
      </c>
      <c r="L92" s="21">
        <f t="shared" si="146"/>
        <v>46041</v>
      </c>
      <c r="M92" s="21">
        <f t="shared" si="147"/>
        <v>46048</v>
      </c>
      <c r="N92" s="21">
        <f t="shared" si="148"/>
        <v>46052</v>
      </c>
      <c r="O92" s="21">
        <f t="shared" si="149"/>
        <v>46059</v>
      </c>
      <c r="P92" s="21">
        <f t="shared" si="70"/>
        <v>45974</v>
      </c>
      <c r="Q92" s="21">
        <f t="shared" si="70"/>
        <v>45974</v>
      </c>
      <c r="R92" s="20"/>
      <c r="S92" s="21">
        <f>IF(VLOOKUP(A92,Dates,15,)&gt;0,VLOOKUP(A92,Dates,15,)+'Date Calcs'!S$2,IF(VLOOKUP(A92,Dates,13,)&gt;0,VLOOKUP(A92,Dates,13,)+'Date Calcs'!S$2,IF(VLOOKUP(A92,Dates,11,)&gt;0,VLOOKUP(A92,Dates,11,)+'Date Calcs'!S$2,IF(VLOOKUP(A92,Dates,9,)&gt;0,VLOOKUP(A92,Dates,9,)+'Date Calcs'!S$2,$I92+S$2))))</f>
        <v>46074</v>
      </c>
      <c r="T92" s="21">
        <f t="shared" si="129"/>
        <v>46075</v>
      </c>
      <c r="U92" s="21">
        <f t="shared" si="150"/>
        <v>46079</v>
      </c>
      <c r="V92" s="115"/>
      <c r="W92" s="21">
        <f t="shared" si="131"/>
        <v>46205</v>
      </c>
      <c r="X92" s="21">
        <f t="shared" si="151"/>
        <v>46086</v>
      </c>
      <c r="Y92" s="21">
        <f t="shared" si="152"/>
        <v>46093</v>
      </c>
      <c r="Z92" s="21">
        <f t="shared" si="153"/>
        <v>46093</v>
      </c>
      <c r="AA92" s="21">
        <f t="shared" si="154"/>
        <v>46093</v>
      </c>
      <c r="AB92" s="21">
        <f t="shared" si="102"/>
        <v>46093</v>
      </c>
      <c r="AC92" s="21">
        <f t="shared" si="103"/>
        <v>46094</v>
      </c>
      <c r="AD92" s="21">
        <f t="shared" si="132"/>
        <v>46086</v>
      </c>
      <c r="AE92" s="21">
        <f t="shared" si="104"/>
        <v>46096</v>
      </c>
      <c r="AF92" s="21">
        <f t="shared" si="130"/>
        <v>46198</v>
      </c>
    </row>
    <row r="93" spans="1:32" x14ac:dyDescent="0.25">
      <c r="A93" s="18" t="s">
        <v>343</v>
      </c>
      <c r="B93" s="18" t="s">
        <v>310</v>
      </c>
      <c r="C93" s="30">
        <v>45960</v>
      </c>
      <c r="D93">
        <v>3</v>
      </c>
      <c r="E93">
        <v>4</v>
      </c>
      <c r="F93">
        <v>16</v>
      </c>
      <c r="G93">
        <v>18</v>
      </c>
      <c r="H93" s="21">
        <f t="shared" si="127"/>
        <v>45988</v>
      </c>
      <c r="I93" s="21">
        <f t="shared" si="144"/>
        <v>46001</v>
      </c>
      <c r="J93" s="21">
        <f t="shared" si="128"/>
        <v>46010</v>
      </c>
      <c r="K93" s="21">
        <f t="shared" si="145"/>
        <v>46020</v>
      </c>
      <c r="L93" s="21">
        <f t="shared" si="146"/>
        <v>46041</v>
      </c>
      <c r="M93" s="21">
        <f t="shared" si="147"/>
        <v>46048</v>
      </c>
      <c r="N93" s="21">
        <f t="shared" si="148"/>
        <v>46052</v>
      </c>
      <c r="O93" s="21">
        <f t="shared" si="149"/>
        <v>46059</v>
      </c>
      <c r="P93" s="21">
        <f t="shared" si="70"/>
        <v>45974</v>
      </c>
      <c r="Q93" s="21">
        <f t="shared" si="70"/>
        <v>45974</v>
      </c>
      <c r="R93" s="20"/>
      <c r="S93" s="21">
        <f>IF(VLOOKUP(A93,Dates,15,)&gt;0,VLOOKUP(A93,Dates,15,)+'Date Calcs'!S$2,IF(VLOOKUP(A93,Dates,13,)&gt;0,VLOOKUP(A93,Dates,13,)+'Date Calcs'!S$2,IF(VLOOKUP(A93,Dates,11,)&gt;0,VLOOKUP(A93,Dates,11,)+'Date Calcs'!S$2,IF(VLOOKUP(A93,Dates,9,)&gt;0,VLOOKUP(A93,Dates,9,)+'Date Calcs'!S$2,$I93+S$2))))</f>
        <v>46047</v>
      </c>
      <c r="T93" s="21">
        <f t="shared" si="129"/>
        <v>46048</v>
      </c>
      <c r="U93" s="21">
        <f t="shared" si="150"/>
        <v>46052</v>
      </c>
      <c r="V93" s="115"/>
      <c r="W93" s="21">
        <f t="shared" si="131"/>
        <v>46178</v>
      </c>
      <c r="X93" s="21">
        <f t="shared" si="151"/>
        <v>46059</v>
      </c>
      <c r="Y93" s="21">
        <f t="shared" si="152"/>
        <v>46066</v>
      </c>
      <c r="Z93" s="21">
        <f t="shared" si="153"/>
        <v>46066</v>
      </c>
      <c r="AA93" s="21">
        <f t="shared" si="154"/>
        <v>46066</v>
      </c>
      <c r="AB93" s="21">
        <f t="shared" si="102"/>
        <v>46066</v>
      </c>
      <c r="AC93" s="21">
        <f t="shared" si="103"/>
        <v>46067</v>
      </c>
      <c r="AD93" s="21">
        <f t="shared" si="132"/>
        <v>46059</v>
      </c>
      <c r="AE93" s="21">
        <f t="shared" si="104"/>
        <v>46069</v>
      </c>
      <c r="AF93" s="21">
        <f t="shared" si="130"/>
        <v>46171</v>
      </c>
    </row>
    <row r="94" spans="1:32" x14ac:dyDescent="0.25">
      <c r="A94" s="18" t="s">
        <v>344</v>
      </c>
      <c r="B94" s="18" t="s">
        <v>310</v>
      </c>
      <c r="C94" s="30">
        <v>45960</v>
      </c>
      <c r="D94">
        <v>3</v>
      </c>
      <c r="E94">
        <v>4</v>
      </c>
      <c r="F94">
        <v>16</v>
      </c>
      <c r="G94">
        <v>18</v>
      </c>
      <c r="H94" s="21">
        <f t="shared" si="127"/>
        <v>45988</v>
      </c>
      <c r="I94" s="21">
        <f t="shared" si="144"/>
        <v>46001</v>
      </c>
      <c r="J94" s="21">
        <f t="shared" si="128"/>
        <v>46010</v>
      </c>
      <c r="K94" s="21">
        <f t="shared" si="145"/>
        <v>46017</v>
      </c>
      <c r="L94" s="21">
        <f t="shared" si="146"/>
        <v>46041</v>
      </c>
      <c r="M94" s="21">
        <f t="shared" si="147"/>
        <v>46050</v>
      </c>
      <c r="N94" s="21">
        <f t="shared" si="148"/>
        <v>46052</v>
      </c>
      <c r="O94" s="21">
        <f t="shared" si="149"/>
        <v>46059</v>
      </c>
      <c r="P94" s="21">
        <f t="shared" si="70"/>
        <v>45974</v>
      </c>
      <c r="Q94" s="21">
        <f t="shared" si="70"/>
        <v>45974</v>
      </c>
      <c r="R94" s="20"/>
      <c r="S94" s="21">
        <f>IF(VLOOKUP(A94,Dates,15,)&gt;0,VLOOKUP(A94,Dates,15,)+'Date Calcs'!S$2,IF(VLOOKUP(A94,Dates,13,)&gt;0,VLOOKUP(A94,Dates,13,)+'Date Calcs'!S$2,IF(VLOOKUP(A94,Dates,11,)&gt;0,VLOOKUP(A94,Dates,11,)+'Date Calcs'!S$2,IF(VLOOKUP(A94,Dates,9,)&gt;0,VLOOKUP(A94,Dates,9,)+'Date Calcs'!S$2,$I94+S$2))))</f>
        <v>46047</v>
      </c>
      <c r="T94" s="21">
        <f t="shared" si="129"/>
        <v>46048</v>
      </c>
      <c r="U94" s="21">
        <f t="shared" si="150"/>
        <v>46052</v>
      </c>
      <c r="V94" s="115"/>
      <c r="W94" s="21">
        <f t="shared" si="131"/>
        <v>46178</v>
      </c>
      <c r="X94" s="21">
        <f t="shared" si="151"/>
        <v>46059</v>
      </c>
      <c r="Y94" s="21">
        <f t="shared" si="152"/>
        <v>46066</v>
      </c>
      <c r="Z94" s="21">
        <f t="shared" si="153"/>
        <v>46066</v>
      </c>
      <c r="AA94" s="21">
        <f t="shared" si="154"/>
        <v>46066</v>
      </c>
      <c r="AB94" s="21">
        <f t="shared" si="102"/>
        <v>46066</v>
      </c>
      <c r="AC94" s="21">
        <f t="shared" si="103"/>
        <v>46067</v>
      </c>
      <c r="AD94" s="21">
        <f t="shared" si="132"/>
        <v>46059</v>
      </c>
      <c r="AE94" s="21">
        <f t="shared" si="104"/>
        <v>46069</v>
      </c>
      <c r="AF94" s="21">
        <f t="shared" si="130"/>
        <v>46171</v>
      </c>
    </row>
    <row r="95" spans="1:32" x14ac:dyDescent="0.25">
      <c r="A95" s="18" t="s">
        <v>345</v>
      </c>
      <c r="B95" s="18" t="s">
        <v>310</v>
      </c>
      <c r="C95" s="30">
        <v>45960</v>
      </c>
      <c r="D95">
        <v>3</v>
      </c>
      <c r="E95">
        <v>4</v>
      </c>
      <c r="F95">
        <v>16</v>
      </c>
      <c r="G95">
        <v>18</v>
      </c>
      <c r="H95" s="21">
        <f t="shared" si="127"/>
        <v>45988</v>
      </c>
      <c r="I95" s="21">
        <f t="shared" si="144"/>
        <v>46001</v>
      </c>
      <c r="J95" s="21">
        <f t="shared" si="128"/>
        <v>46010</v>
      </c>
      <c r="K95" s="21">
        <f t="shared" si="145"/>
        <v>46017</v>
      </c>
      <c r="L95" s="21">
        <f t="shared" si="146"/>
        <v>46041</v>
      </c>
      <c r="M95" s="21">
        <f t="shared" si="147"/>
        <v>46050</v>
      </c>
      <c r="N95" s="21">
        <f t="shared" si="148"/>
        <v>46052</v>
      </c>
      <c r="O95" s="21">
        <f t="shared" si="149"/>
        <v>46059</v>
      </c>
      <c r="P95" s="21">
        <f t="shared" si="70"/>
        <v>45974</v>
      </c>
      <c r="Q95" s="21">
        <f t="shared" si="70"/>
        <v>45974</v>
      </c>
      <c r="R95" s="20"/>
      <c r="S95" s="21">
        <f>IF(VLOOKUP(A95,Dates,15,)&gt;0,VLOOKUP(A95,Dates,15,)+'Date Calcs'!S$2,IF(VLOOKUP(A95,Dates,13,)&gt;0,VLOOKUP(A95,Dates,13,)+'Date Calcs'!S$2,IF(VLOOKUP(A95,Dates,11,)&gt;0,VLOOKUP(A95,Dates,11,)+'Date Calcs'!S$2,IF(VLOOKUP(A95,Dates,9,)&gt;0,VLOOKUP(A95,Dates,9,)+'Date Calcs'!S$2,$I95+S$2))))</f>
        <v>46047</v>
      </c>
      <c r="T95" s="21">
        <f t="shared" si="129"/>
        <v>46048</v>
      </c>
      <c r="U95" s="21">
        <f t="shared" si="150"/>
        <v>46052</v>
      </c>
      <c r="V95" s="115"/>
      <c r="W95" s="21">
        <f t="shared" si="131"/>
        <v>46178</v>
      </c>
      <c r="X95" s="21">
        <f t="shared" si="151"/>
        <v>46059</v>
      </c>
      <c r="Y95" s="21">
        <f t="shared" si="152"/>
        <v>46066</v>
      </c>
      <c r="Z95" s="21">
        <f t="shared" si="153"/>
        <v>46066</v>
      </c>
      <c r="AA95" s="21">
        <f t="shared" si="154"/>
        <v>46066</v>
      </c>
      <c r="AB95" s="21">
        <f t="shared" si="102"/>
        <v>46066</v>
      </c>
      <c r="AC95" s="21">
        <f t="shared" si="103"/>
        <v>46067</v>
      </c>
      <c r="AD95" s="21">
        <f t="shared" si="132"/>
        <v>46059</v>
      </c>
      <c r="AE95" s="21">
        <f t="shared" si="104"/>
        <v>46069</v>
      </c>
      <c r="AF95" s="21">
        <f t="shared" si="130"/>
        <v>46171</v>
      </c>
    </row>
    <row r="96" spans="1:32" x14ac:dyDescent="0.25">
      <c r="A96" s="18" t="s">
        <v>346</v>
      </c>
      <c r="B96" s="18" t="s">
        <v>310</v>
      </c>
      <c r="C96" s="30">
        <v>45975</v>
      </c>
      <c r="D96">
        <v>3</v>
      </c>
      <c r="E96">
        <v>4</v>
      </c>
      <c r="F96">
        <v>16</v>
      </c>
      <c r="G96">
        <v>18</v>
      </c>
      <c r="H96" s="21">
        <f t="shared" si="127"/>
        <v>46003</v>
      </c>
      <c r="I96" s="21">
        <f t="shared" si="144"/>
        <v>46017</v>
      </c>
      <c r="J96" s="21">
        <f t="shared" si="128"/>
        <v>46041</v>
      </c>
      <c r="K96" s="21">
        <f t="shared" si="145"/>
        <v>46048</v>
      </c>
      <c r="L96" s="21">
        <f t="shared" si="146"/>
        <v>46062</v>
      </c>
      <c r="M96" s="21">
        <f t="shared" si="147"/>
        <v>46065</v>
      </c>
      <c r="N96" s="21">
        <f t="shared" si="148"/>
        <v>46072</v>
      </c>
      <c r="O96" s="21">
        <f t="shared" si="149"/>
        <v>46079</v>
      </c>
      <c r="P96" s="21">
        <f t="shared" si="70"/>
        <v>45989</v>
      </c>
      <c r="Q96" s="21">
        <f t="shared" si="70"/>
        <v>45989</v>
      </c>
      <c r="R96" s="20"/>
      <c r="S96" s="21">
        <f>IF(VLOOKUP(A96,Dates,15,)&gt;0,VLOOKUP(A96,Dates,15,)+'Date Calcs'!S$2,IF(VLOOKUP(A96,Dates,13,)&gt;0,VLOOKUP(A96,Dates,13,)+'Date Calcs'!S$2,IF(VLOOKUP(A96,Dates,11,)&gt;0,VLOOKUP(A96,Dates,11,)+'Date Calcs'!S$2,IF(VLOOKUP(A96,Dates,9,)&gt;0,VLOOKUP(A96,Dates,9,)+'Date Calcs'!S$2,$I96+S$2))))</f>
        <v>46057</v>
      </c>
      <c r="T96" s="21">
        <f t="shared" si="129"/>
        <v>46058</v>
      </c>
      <c r="U96" s="21">
        <f t="shared" si="150"/>
        <v>46062</v>
      </c>
      <c r="V96" s="115"/>
      <c r="W96" s="21">
        <f t="shared" si="131"/>
        <v>46188</v>
      </c>
      <c r="X96" s="21">
        <f t="shared" si="151"/>
        <v>46069</v>
      </c>
      <c r="Y96" s="21">
        <f t="shared" si="152"/>
        <v>46076</v>
      </c>
      <c r="Z96" s="21">
        <f t="shared" si="153"/>
        <v>46076</v>
      </c>
      <c r="AA96" s="21">
        <f t="shared" si="154"/>
        <v>46076</v>
      </c>
      <c r="AB96" s="21">
        <f t="shared" si="102"/>
        <v>46076</v>
      </c>
      <c r="AC96" s="21">
        <f t="shared" si="103"/>
        <v>46077</v>
      </c>
      <c r="AD96" s="21">
        <f t="shared" si="132"/>
        <v>46069</v>
      </c>
      <c r="AE96" s="21">
        <f t="shared" si="104"/>
        <v>46079</v>
      </c>
      <c r="AF96" s="21">
        <f t="shared" si="130"/>
        <v>46181</v>
      </c>
    </row>
    <row r="97" spans="1:32" x14ac:dyDescent="0.25">
      <c r="A97" s="18" t="s">
        <v>348</v>
      </c>
      <c r="B97" s="18" t="s">
        <v>310</v>
      </c>
      <c r="C97" s="30">
        <v>45960</v>
      </c>
      <c r="D97">
        <v>3</v>
      </c>
      <c r="E97">
        <v>4</v>
      </c>
      <c r="F97">
        <v>16</v>
      </c>
      <c r="G97">
        <v>18</v>
      </c>
      <c r="H97" s="21">
        <f t="shared" si="127"/>
        <v>45988</v>
      </c>
      <c r="I97" s="21">
        <f t="shared" si="144"/>
        <v>46001</v>
      </c>
      <c r="J97" s="21">
        <f t="shared" si="128"/>
        <v>46041</v>
      </c>
      <c r="K97" s="21">
        <f t="shared" si="145"/>
        <v>46050</v>
      </c>
      <c r="L97" s="21">
        <f t="shared" si="146"/>
        <v>46052</v>
      </c>
      <c r="M97" s="21">
        <f t="shared" si="147"/>
        <v>46059</v>
      </c>
      <c r="N97" s="21">
        <f t="shared" si="148"/>
        <v>46079</v>
      </c>
      <c r="O97" s="21">
        <f t="shared" si="149"/>
        <v>46086</v>
      </c>
      <c r="P97" s="21">
        <f t="shared" si="70"/>
        <v>45974</v>
      </c>
      <c r="Q97" s="21">
        <f t="shared" si="70"/>
        <v>45974</v>
      </c>
      <c r="R97" s="20"/>
      <c r="S97" s="21">
        <f>IF(VLOOKUP(A97,Dates,15,)&gt;0,VLOOKUP(A97,Dates,15,)+'Date Calcs'!S$2,IF(VLOOKUP(A97,Dates,13,)&gt;0,VLOOKUP(A97,Dates,13,)+'Date Calcs'!S$2,IF(VLOOKUP(A97,Dates,11,)&gt;0,VLOOKUP(A97,Dates,11,)+'Date Calcs'!S$2,IF(VLOOKUP(A97,Dates,9,)&gt;0,VLOOKUP(A97,Dates,9,)+'Date Calcs'!S$2,$I97+S$2))))</f>
        <v>46074</v>
      </c>
      <c r="T97" s="21">
        <f t="shared" si="129"/>
        <v>46075</v>
      </c>
      <c r="U97" s="21">
        <f t="shared" si="150"/>
        <v>46079</v>
      </c>
      <c r="V97" s="115"/>
      <c r="W97" s="21">
        <f t="shared" si="131"/>
        <v>46205</v>
      </c>
      <c r="X97" s="21">
        <f t="shared" si="151"/>
        <v>46086</v>
      </c>
      <c r="Y97" s="21">
        <f t="shared" si="152"/>
        <v>46093</v>
      </c>
      <c r="Z97" s="21">
        <f t="shared" si="153"/>
        <v>46093</v>
      </c>
      <c r="AA97" s="21">
        <f t="shared" si="154"/>
        <v>46093</v>
      </c>
      <c r="AB97" s="21">
        <f t="shared" si="102"/>
        <v>46093</v>
      </c>
      <c r="AC97" s="21">
        <f t="shared" si="103"/>
        <v>46094</v>
      </c>
      <c r="AD97" s="21">
        <f t="shared" si="132"/>
        <v>46086</v>
      </c>
      <c r="AE97" s="21">
        <f t="shared" si="104"/>
        <v>46096</v>
      </c>
      <c r="AF97" s="21">
        <f t="shared" si="130"/>
        <v>46198</v>
      </c>
    </row>
    <row r="98" spans="1:32" x14ac:dyDescent="0.25">
      <c r="A98" s="18" t="s">
        <v>349</v>
      </c>
      <c r="B98" s="18" t="s">
        <v>117</v>
      </c>
      <c r="C98" s="30">
        <v>45965</v>
      </c>
      <c r="D98">
        <v>3</v>
      </c>
      <c r="E98">
        <v>4</v>
      </c>
      <c r="F98">
        <v>16</v>
      </c>
      <c r="G98">
        <v>18</v>
      </c>
      <c r="H98" s="21">
        <f t="shared" si="127"/>
        <v>45993</v>
      </c>
      <c r="I98" s="21">
        <f t="shared" si="144"/>
        <v>46024</v>
      </c>
      <c r="J98" s="21">
        <f t="shared" si="128"/>
        <v>46031</v>
      </c>
      <c r="K98" s="21">
        <f t="shared" si="145"/>
        <v>46038</v>
      </c>
      <c r="L98" s="21">
        <f t="shared" si="146"/>
        <v>46072</v>
      </c>
      <c r="M98" s="21">
        <f t="shared" si="147"/>
        <v>46079</v>
      </c>
      <c r="N98" s="21">
        <f t="shared" si="148"/>
        <v>46086</v>
      </c>
      <c r="O98" s="21">
        <f t="shared" si="149"/>
        <v>46093</v>
      </c>
      <c r="P98" s="21">
        <f t="shared" si="70"/>
        <v>45979</v>
      </c>
      <c r="Q98" s="21">
        <f t="shared" si="70"/>
        <v>45979</v>
      </c>
      <c r="R98" s="20"/>
      <c r="S98" s="21">
        <f>IF(VLOOKUP(A98,Dates,15,)&gt;0,VLOOKUP(A98,Dates,15,)+'Date Calcs'!S$2,IF(VLOOKUP(A98,Dates,13,)&gt;0,VLOOKUP(A98,Dates,13,)+'Date Calcs'!S$2,IF(VLOOKUP(A98,Dates,11,)&gt;0,VLOOKUP(A98,Dates,11,)+'Date Calcs'!S$2,IF(VLOOKUP(A98,Dates,9,)&gt;0,VLOOKUP(A98,Dates,9,)+'Date Calcs'!S$2,$I98+S$2))))</f>
        <v>46067</v>
      </c>
      <c r="T98" s="21">
        <f t="shared" si="129"/>
        <v>46068</v>
      </c>
      <c r="U98" s="21">
        <f t="shared" si="150"/>
        <v>46072</v>
      </c>
      <c r="V98" s="115"/>
      <c r="W98" s="21">
        <f t="shared" si="131"/>
        <v>46198</v>
      </c>
      <c r="X98" s="21">
        <f t="shared" si="151"/>
        <v>46079</v>
      </c>
      <c r="Y98" s="21">
        <f t="shared" si="152"/>
        <v>46086</v>
      </c>
      <c r="Z98" s="21">
        <f t="shared" si="153"/>
        <v>46086</v>
      </c>
      <c r="AA98" s="21">
        <f t="shared" si="154"/>
        <v>46086</v>
      </c>
      <c r="AB98" s="21">
        <f t="shared" si="102"/>
        <v>46086</v>
      </c>
      <c r="AC98" s="21">
        <f t="shared" si="103"/>
        <v>46087</v>
      </c>
      <c r="AD98" s="21">
        <f t="shared" si="132"/>
        <v>46079</v>
      </c>
      <c r="AE98" s="21">
        <f t="shared" si="104"/>
        <v>46089</v>
      </c>
      <c r="AF98" s="21">
        <f t="shared" si="130"/>
        <v>46191</v>
      </c>
    </row>
    <row r="99" spans="1:32" x14ac:dyDescent="0.25">
      <c r="A99" s="18" t="s">
        <v>350</v>
      </c>
      <c r="B99" s="18" t="s">
        <v>351</v>
      </c>
      <c r="C99" s="30">
        <v>45968</v>
      </c>
      <c r="D99">
        <v>3</v>
      </c>
      <c r="E99">
        <v>9</v>
      </c>
      <c r="F99">
        <v>18</v>
      </c>
      <c r="G99">
        <v>20</v>
      </c>
      <c r="H99" s="21">
        <f t="shared" si="127"/>
        <v>46031</v>
      </c>
      <c r="I99" s="21">
        <f t="shared" si="144"/>
        <v>46050</v>
      </c>
      <c r="J99" s="21">
        <f t="shared" si="128"/>
        <v>46050</v>
      </c>
      <c r="K99" s="21">
        <f t="shared" si="145"/>
        <v>46057</v>
      </c>
      <c r="L99" s="21">
        <f t="shared" si="146"/>
        <v>46062</v>
      </c>
      <c r="M99" s="21">
        <f t="shared" si="147"/>
        <v>46070</v>
      </c>
      <c r="N99" s="21">
        <f t="shared" si="148"/>
        <v>46077</v>
      </c>
      <c r="O99" s="21">
        <f t="shared" si="149"/>
        <v>46084</v>
      </c>
      <c r="P99" s="21">
        <f t="shared" si="70"/>
        <v>45982</v>
      </c>
      <c r="Q99" s="21">
        <f t="shared" si="70"/>
        <v>45982</v>
      </c>
      <c r="R99" s="20"/>
      <c r="S99" s="21">
        <f>IF(VLOOKUP(A99,Dates,15,)&gt;0,VLOOKUP(A99,Dates,15,)+'Date Calcs'!S$2,IF(VLOOKUP(A99,Dates,13,)&gt;0,VLOOKUP(A99,Dates,13,)+'Date Calcs'!S$2,IF(VLOOKUP(A99,Dates,11,)&gt;0,VLOOKUP(A99,Dates,11,)+'Date Calcs'!S$2,IF(VLOOKUP(A99,Dates,9,)&gt;0,VLOOKUP(A99,Dates,9,)+'Date Calcs'!S$2,$I99+S$2))))</f>
        <v>46057</v>
      </c>
      <c r="T99" s="21">
        <f t="shared" si="129"/>
        <v>46058</v>
      </c>
      <c r="U99" s="21">
        <f t="shared" si="150"/>
        <v>46062</v>
      </c>
      <c r="V99" s="115"/>
      <c r="W99" s="21">
        <f t="shared" si="131"/>
        <v>46202</v>
      </c>
      <c r="X99" s="21">
        <f t="shared" si="151"/>
        <v>46069</v>
      </c>
      <c r="Y99" s="21">
        <f t="shared" si="152"/>
        <v>46076</v>
      </c>
      <c r="Z99" s="21">
        <f t="shared" si="153"/>
        <v>46076</v>
      </c>
      <c r="AA99" s="21">
        <f t="shared" si="154"/>
        <v>46076</v>
      </c>
      <c r="AB99" s="21">
        <f t="shared" si="102"/>
        <v>46076</v>
      </c>
      <c r="AC99" s="21">
        <f t="shared" si="103"/>
        <v>46077</v>
      </c>
      <c r="AD99" s="21">
        <f t="shared" si="132"/>
        <v>46069</v>
      </c>
      <c r="AE99" s="21">
        <f t="shared" si="104"/>
        <v>46079</v>
      </c>
      <c r="AF99" s="21">
        <f t="shared" si="130"/>
        <v>46195</v>
      </c>
    </row>
    <row r="100" spans="1:32" x14ac:dyDescent="0.25">
      <c r="A100" s="18" t="s">
        <v>352</v>
      </c>
      <c r="B100" s="18" t="s">
        <v>351</v>
      </c>
      <c r="C100" s="30">
        <v>45968</v>
      </c>
      <c r="D100">
        <v>3</v>
      </c>
      <c r="E100">
        <v>9</v>
      </c>
      <c r="F100">
        <v>18</v>
      </c>
      <c r="G100">
        <v>20</v>
      </c>
      <c r="H100" s="21">
        <f t="shared" si="127"/>
        <v>46031</v>
      </c>
      <c r="I100" s="21">
        <f t="shared" si="144"/>
        <v>46050</v>
      </c>
      <c r="J100" s="21">
        <f t="shared" si="128"/>
        <v>46050</v>
      </c>
      <c r="K100" s="21">
        <f t="shared" si="145"/>
        <v>46062</v>
      </c>
      <c r="L100" s="21">
        <f t="shared" si="146"/>
        <v>46069</v>
      </c>
      <c r="M100" s="21">
        <f t="shared" si="147"/>
        <v>46076</v>
      </c>
      <c r="N100" s="21">
        <f t="shared" si="148"/>
        <v>46083</v>
      </c>
      <c r="O100" s="21">
        <f t="shared" si="149"/>
        <v>46090</v>
      </c>
      <c r="P100" s="21">
        <f t="shared" si="70"/>
        <v>45982</v>
      </c>
      <c r="Q100" s="21">
        <f t="shared" si="70"/>
        <v>45982</v>
      </c>
      <c r="R100" s="20"/>
      <c r="S100" s="21">
        <f>IF(VLOOKUP(A100,Dates,15,)&gt;0,VLOOKUP(A100,Dates,15,)+'Date Calcs'!S$2,IF(VLOOKUP(A100,Dates,13,)&gt;0,VLOOKUP(A100,Dates,13,)+'Date Calcs'!S$2,IF(VLOOKUP(A100,Dates,11,)&gt;0,VLOOKUP(A100,Dates,11,)+'Date Calcs'!S$2,IF(VLOOKUP(A100,Dates,9,)&gt;0,VLOOKUP(A100,Dates,9,)+'Date Calcs'!S$2,$I100+S$2))))</f>
        <v>46064</v>
      </c>
      <c r="T100" s="21">
        <f t="shared" si="129"/>
        <v>46065</v>
      </c>
      <c r="U100" s="21">
        <f t="shared" si="150"/>
        <v>46069</v>
      </c>
      <c r="V100" s="115"/>
      <c r="W100" s="21">
        <f t="shared" si="131"/>
        <v>46209</v>
      </c>
      <c r="X100" s="21">
        <f t="shared" si="151"/>
        <v>46076</v>
      </c>
      <c r="Y100" s="21">
        <f t="shared" si="152"/>
        <v>46083</v>
      </c>
      <c r="Z100" s="21">
        <f t="shared" si="153"/>
        <v>46083</v>
      </c>
      <c r="AA100" s="21">
        <f t="shared" si="154"/>
        <v>46083</v>
      </c>
      <c r="AB100" s="21">
        <f t="shared" si="102"/>
        <v>46083</v>
      </c>
      <c r="AC100" s="21">
        <f t="shared" si="103"/>
        <v>46084</v>
      </c>
      <c r="AD100" s="21">
        <f t="shared" si="132"/>
        <v>46076</v>
      </c>
      <c r="AE100" s="21">
        <f t="shared" si="104"/>
        <v>46086</v>
      </c>
      <c r="AF100" s="21">
        <f t="shared" si="130"/>
        <v>46202</v>
      </c>
    </row>
    <row r="101" spans="1:32" x14ac:dyDescent="0.25">
      <c r="A101" s="18" t="s">
        <v>353</v>
      </c>
      <c r="B101" s="18" t="s">
        <v>354</v>
      </c>
      <c r="C101" s="30">
        <v>45975</v>
      </c>
      <c r="D101">
        <v>1</v>
      </c>
      <c r="E101">
        <v>2</v>
      </c>
      <c r="H101" s="21">
        <f t="shared" ref="H101:H121" si="155">C101+E101*7</f>
        <v>45989</v>
      </c>
      <c r="I101" s="21">
        <f t="shared" si="144"/>
        <v>45999</v>
      </c>
      <c r="J101" s="21">
        <f t="shared" ref="J101:J121" si="156">IF(VLOOKUP(A101,Dates,9,)=0,I101+J$2,VLOOKUP(A101,Dates,9,)+J$2)</f>
        <v>46001</v>
      </c>
      <c r="K101" s="21">
        <f t="shared" si="145"/>
        <v>46001</v>
      </c>
      <c r="L101" s="21">
        <f t="shared" si="146"/>
        <v>46008</v>
      </c>
      <c r="M101" s="21">
        <f t="shared" si="147"/>
        <v>46015</v>
      </c>
      <c r="N101" s="21">
        <f t="shared" si="148"/>
        <v>46022</v>
      </c>
      <c r="O101" s="21">
        <f t="shared" si="149"/>
        <v>46029</v>
      </c>
      <c r="P101" s="21">
        <f t="shared" si="70"/>
        <v>45989</v>
      </c>
      <c r="Q101" s="21">
        <f t="shared" si="70"/>
        <v>45989</v>
      </c>
      <c r="R101" s="20"/>
      <c r="S101" s="21">
        <f>IF(VLOOKUP(A101,Dates,15,)&gt;0,VLOOKUP(A101,Dates,15,)+'Date Calcs'!S$2,IF(VLOOKUP(A101,Dates,13,)&gt;0,VLOOKUP(A101,Dates,13,)+'Date Calcs'!S$2,IF(VLOOKUP(A101,Dates,11,)&gt;0,VLOOKUP(A101,Dates,11,)+'Date Calcs'!S$2,IF(VLOOKUP(A101,Dates,9,)&gt;0,VLOOKUP(A101,Dates,9,)+'Date Calcs'!S$2,$I101+S$2))))</f>
        <v>45996</v>
      </c>
      <c r="T101" s="21">
        <f t="shared" ref="T101:T121" si="157">$S101+T$2</f>
        <v>45997</v>
      </c>
      <c r="U101" s="21">
        <f t="shared" si="150"/>
        <v>46001</v>
      </c>
      <c r="V101" s="115"/>
      <c r="W101" s="21">
        <f t="shared" si="131"/>
        <v>46001</v>
      </c>
      <c r="X101" s="21">
        <f t="shared" si="151"/>
        <v>46008</v>
      </c>
      <c r="Y101" s="21">
        <f t="shared" si="152"/>
        <v>46015</v>
      </c>
      <c r="Z101" s="21">
        <f t="shared" si="153"/>
        <v>46015</v>
      </c>
      <c r="AA101" s="21">
        <f t="shared" si="154"/>
        <v>46015</v>
      </c>
      <c r="AB101" s="21">
        <f t="shared" si="102"/>
        <v>46015</v>
      </c>
      <c r="AC101" s="21">
        <f t="shared" si="103"/>
        <v>46016</v>
      </c>
      <c r="AD101" s="21">
        <f t="shared" si="132"/>
        <v>46008</v>
      </c>
      <c r="AE101" s="21">
        <f t="shared" si="104"/>
        <v>46018</v>
      </c>
      <c r="AF101" s="21">
        <f t="shared" ref="AF101:AF109" si="158">S101-S$2+G101*7</f>
        <v>45994</v>
      </c>
    </row>
    <row r="102" spans="1:32" x14ac:dyDescent="0.25">
      <c r="A102" s="18" t="s">
        <v>356</v>
      </c>
      <c r="B102" s="18" t="s">
        <v>81</v>
      </c>
      <c r="C102" s="30">
        <v>45982</v>
      </c>
      <c r="D102">
        <v>0</v>
      </c>
      <c r="E102">
        <v>0</v>
      </c>
      <c r="F102">
        <v>22</v>
      </c>
      <c r="G102">
        <v>26</v>
      </c>
      <c r="H102" s="21">
        <f t="shared" si="155"/>
        <v>45982</v>
      </c>
      <c r="I102" s="21">
        <f t="shared" si="144"/>
        <v>45996</v>
      </c>
      <c r="J102" s="21">
        <f t="shared" si="156"/>
        <v>46003</v>
      </c>
      <c r="K102" s="21">
        <f t="shared" si="145"/>
        <v>46010</v>
      </c>
      <c r="L102" s="21">
        <f t="shared" si="146"/>
        <v>46017</v>
      </c>
      <c r="M102" s="21">
        <f t="shared" si="147"/>
        <v>46024</v>
      </c>
      <c r="N102" s="21">
        <f t="shared" si="148"/>
        <v>46031</v>
      </c>
      <c r="O102" s="21">
        <f t="shared" si="149"/>
        <v>46038</v>
      </c>
      <c r="P102" s="21">
        <f t="shared" si="70"/>
        <v>45996</v>
      </c>
      <c r="Q102" s="21">
        <f t="shared" si="70"/>
        <v>45996</v>
      </c>
      <c r="R102" s="20"/>
      <c r="S102" s="21">
        <f>IF(VLOOKUP(A102,Dates,15,)&gt;0,VLOOKUP(A102,Dates,15,)+'Date Calcs'!S$2,IF(VLOOKUP(A102,Dates,13,)&gt;0,VLOOKUP(A102,Dates,13,)+'Date Calcs'!S$2,IF(VLOOKUP(A102,Dates,11,)&gt;0,VLOOKUP(A102,Dates,11,)+'Date Calcs'!S$2,IF(VLOOKUP(A102,Dates,9,)&gt;0,VLOOKUP(A102,Dates,9,)+'Date Calcs'!S$2,$I102+S$2))))</f>
        <v>45998</v>
      </c>
      <c r="T102" s="21">
        <f t="shared" si="157"/>
        <v>45999</v>
      </c>
      <c r="U102" s="21">
        <f t="shared" si="150"/>
        <v>46003</v>
      </c>
      <c r="V102" s="115"/>
      <c r="W102" s="21">
        <f t="shared" si="131"/>
        <v>46185</v>
      </c>
      <c r="X102" s="21">
        <f t="shared" si="151"/>
        <v>46010</v>
      </c>
      <c r="Y102" s="21">
        <f t="shared" si="152"/>
        <v>46017</v>
      </c>
      <c r="Z102" s="21">
        <f t="shared" si="153"/>
        <v>46017</v>
      </c>
      <c r="AA102" s="21">
        <f t="shared" si="154"/>
        <v>46017</v>
      </c>
      <c r="AB102" s="21">
        <f t="shared" si="102"/>
        <v>46017</v>
      </c>
      <c r="AC102" s="21">
        <f t="shared" si="103"/>
        <v>46018</v>
      </c>
      <c r="AD102" s="21">
        <f t="shared" si="132"/>
        <v>46010</v>
      </c>
      <c r="AE102" s="21">
        <f t="shared" si="104"/>
        <v>46020</v>
      </c>
      <c r="AF102" s="21">
        <f t="shared" si="158"/>
        <v>46178</v>
      </c>
    </row>
    <row r="103" spans="1:32" x14ac:dyDescent="0.25">
      <c r="A103" s="18" t="s">
        <v>357</v>
      </c>
      <c r="B103" s="18" t="s">
        <v>87</v>
      </c>
      <c r="C103" s="30">
        <v>45995</v>
      </c>
      <c r="D103">
        <v>3</v>
      </c>
      <c r="E103">
        <v>4</v>
      </c>
      <c r="F103">
        <v>16</v>
      </c>
      <c r="G103">
        <v>18</v>
      </c>
      <c r="H103" s="21">
        <f t="shared" si="155"/>
        <v>46023</v>
      </c>
      <c r="I103" s="21">
        <f t="shared" si="144"/>
        <v>46044</v>
      </c>
      <c r="J103" s="21">
        <f t="shared" si="156"/>
        <v>46077</v>
      </c>
      <c r="K103" s="21">
        <f t="shared" si="145"/>
        <v>46084</v>
      </c>
      <c r="L103" s="21">
        <f t="shared" si="146"/>
        <v>46091</v>
      </c>
      <c r="M103" s="21">
        <f t="shared" si="147"/>
        <v>46098</v>
      </c>
      <c r="N103" s="21">
        <f t="shared" si="148"/>
        <v>46105</v>
      </c>
      <c r="O103" s="21">
        <f t="shared" si="149"/>
        <v>46112</v>
      </c>
      <c r="P103" s="21">
        <f t="shared" si="70"/>
        <v>46009</v>
      </c>
      <c r="Q103" s="21">
        <f t="shared" si="70"/>
        <v>46009</v>
      </c>
      <c r="R103" s="20"/>
      <c r="S103" s="21">
        <f>IF(VLOOKUP(A103,Dates,15,)&gt;0,VLOOKUP(A103,Dates,15,)+'Date Calcs'!S$2,IF(VLOOKUP(A103,Dates,13,)&gt;0,VLOOKUP(A103,Dates,13,)+'Date Calcs'!S$2,IF(VLOOKUP(A103,Dates,11,)&gt;0,VLOOKUP(A103,Dates,11,)+'Date Calcs'!S$2,IF(VLOOKUP(A103,Dates,9,)&gt;0,VLOOKUP(A103,Dates,9,)+'Date Calcs'!S$2,$I103+S$2))))</f>
        <v>46072</v>
      </c>
      <c r="T103" s="21">
        <f t="shared" si="157"/>
        <v>46073</v>
      </c>
      <c r="U103" s="21">
        <f t="shared" si="150"/>
        <v>46077</v>
      </c>
      <c r="V103" s="115"/>
      <c r="W103" s="21">
        <f t="shared" si="131"/>
        <v>46203</v>
      </c>
      <c r="X103" s="21">
        <f t="shared" si="151"/>
        <v>46084</v>
      </c>
      <c r="Y103" s="21">
        <f t="shared" si="152"/>
        <v>46091</v>
      </c>
      <c r="Z103" s="21">
        <f t="shared" si="153"/>
        <v>46091</v>
      </c>
      <c r="AA103" s="21">
        <f t="shared" si="154"/>
        <v>46091</v>
      </c>
      <c r="AB103" s="21">
        <f t="shared" si="102"/>
        <v>46091</v>
      </c>
      <c r="AC103" s="21">
        <f t="shared" si="103"/>
        <v>46092</v>
      </c>
      <c r="AD103" s="21">
        <f t="shared" si="132"/>
        <v>46084</v>
      </c>
      <c r="AE103" s="21">
        <f t="shared" si="104"/>
        <v>46094</v>
      </c>
      <c r="AF103" s="21">
        <f t="shared" si="158"/>
        <v>46196</v>
      </c>
    </row>
    <row r="104" spans="1:32" x14ac:dyDescent="0.25">
      <c r="A104" s="18" t="s">
        <v>358</v>
      </c>
      <c r="B104" s="18" t="s">
        <v>87</v>
      </c>
      <c r="C104" s="30">
        <v>45995</v>
      </c>
      <c r="D104">
        <v>3</v>
      </c>
      <c r="E104">
        <v>4</v>
      </c>
      <c r="F104">
        <v>16</v>
      </c>
      <c r="G104">
        <v>18</v>
      </c>
      <c r="H104" s="21">
        <f t="shared" si="155"/>
        <v>46023</v>
      </c>
      <c r="I104" s="21">
        <f t="shared" si="133"/>
        <v>46044</v>
      </c>
      <c r="J104" s="21">
        <f t="shared" si="156"/>
        <v>46077</v>
      </c>
      <c r="K104" s="21">
        <f t="shared" si="134"/>
        <v>46084</v>
      </c>
      <c r="L104" s="21">
        <f t="shared" si="135"/>
        <v>46091</v>
      </c>
      <c r="M104" s="21">
        <f t="shared" si="136"/>
        <v>46098</v>
      </c>
      <c r="N104" s="21">
        <f t="shared" si="137"/>
        <v>46105</v>
      </c>
      <c r="O104" s="21">
        <f t="shared" si="138"/>
        <v>46112</v>
      </c>
      <c r="P104" s="21">
        <f t="shared" si="70"/>
        <v>46009</v>
      </c>
      <c r="Q104" s="21">
        <f t="shared" si="70"/>
        <v>46009</v>
      </c>
      <c r="R104" s="20"/>
      <c r="S104" s="21">
        <f>IF(VLOOKUP(A104,Dates,15,)&gt;0,VLOOKUP(A104,Dates,15,)+'Date Calcs'!S$2,IF(VLOOKUP(A104,Dates,13,)&gt;0,VLOOKUP(A104,Dates,13,)+'Date Calcs'!S$2,IF(VLOOKUP(A104,Dates,11,)&gt;0,VLOOKUP(A104,Dates,11,)+'Date Calcs'!S$2,IF(VLOOKUP(A104,Dates,9,)&gt;0,VLOOKUP(A104,Dates,9,)+'Date Calcs'!S$2,$I104+S$2))))</f>
        <v>46072</v>
      </c>
      <c r="T104" s="21">
        <f t="shared" si="157"/>
        <v>46073</v>
      </c>
      <c r="U104" s="21">
        <f t="shared" si="139"/>
        <v>46077</v>
      </c>
      <c r="V104" s="115"/>
      <c r="W104" s="21">
        <f t="shared" si="131"/>
        <v>46203</v>
      </c>
      <c r="X104" s="21">
        <f t="shared" si="140"/>
        <v>46084</v>
      </c>
      <c r="Y104" s="21">
        <f t="shared" si="141"/>
        <v>46091</v>
      </c>
      <c r="Z104" s="21">
        <f t="shared" si="142"/>
        <v>46091</v>
      </c>
      <c r="AA104" s="21">
        <f t="shared" si="143"/>
        <v>46091</v>
      </c>
      <c r="AB104" s="21">
        <f t="shared" si="102"/>
        <v>46091</v>
      </c>
      <c r="AC104" s="21">
        <f t="shared" si="103"/>
        <v>46092</v>
      </c>
      <c r="AD104" s="21">
        <f t="shared" si="132"/>
        <v>46084</v>
      </c>
      <c r="AE104" s="21">
        <f t="shared" si="104"/>
        <v>46094</v>
      </c>
      <c r="AF104" s="21">
        <f t="shared" si="158"/>
        <v>46196</v>
      </c>
    </row>
    <row r="105" spans="1:32" x14ac:dyDescent="0.25">
      <c r="A105" s="18" t="s">
        <v>359</v>
      </c>
      <c r="B105" s="18" t="s">
        <v>87</v>
      </c>
      <c r="C105" s="30">
        <v>45995</v>
      </c>
      <c r="D105">
        <v>3</v>
      </c>
      <c r="E105">
        <v>4</v>
      </c>
      <c r="F105">
        <v>16</v>
      </c>
      <c r="G105">
        <v>18</v>
      </c>
      <c r="H105" s="21">
        <f t="shared" si="155"/>
        <v>46023</v>
      </c>
      <c r="I105" s="21">
        <f t="shared" si="133"/>
        <v>46044</v>
      </c>
      <c r="J105" s="21">
        <f t="shared" si="156"/>
        <v>46051</v>
      </c>
      <c r="K105" s="21">
        <f t="shared" si="134"/>
        <v>46058</v>
      </c>
      <c r="L105" s="21">
        <f t="shared" si="135"/>
        <v>46065</v>
      </c>
      <c r="M105" s="21">
        <f t="shared" si="136"/>
        <v>46072</v>
      </c>
      <c r="N105" s="21">
        <f t="shared" si="137"/>
        <v>46079</v>
      </c>
      <c r="O105" s="21">
        <f t="shared" si="138"/>
        <v>46086</v>
      </c>
      <c r="P105" s="21">
        <f t="shared" si="70"/>
        <v>46009</v>
      </c>
      <c r="Q105" s="21">
        <f t="shared" si="70"/>
        <v>46009</v>
      </c>
      <c r="R105" s="20"/>
      <c r="S105" s="21">
        <f>IF(VLOOKUP(A105,Dates,15,)&gt;0,VLOOKUP(A105,Dates,15,)+'Date Calcs'!S$2,IF(VLOOKUP(A105,Dates,13,)&gt;0,VLOOKUP(A105,Dates,13,)+'Date Calcs'!S$2,IF(VLOOKUP(A105,Dates,11,)&gt;0,VLOOKUP(A105,Dates,11,)+'Date Calcs'!S$2,IF(VLOOKUP(A105,Dates,9,)&gt;0,VLOOKUP(A105,Dates,9,)+'Date Calcs'!S$2,$I105+S$2))))</f>
        <v>46046</v>
      </c>
      <c r="T105" s="21">
        <f t="shared" si="157"/>
        <v>46047</v>
      </c>
      <c r="U105" s="21">
        <f t="shared" si="139"/>
        <v>46051</v>
      </c>
      <c r="V105" s="115"/>
      <c r="W105" s="21">
        <f t="shared" si="131"/>
        <v>46177</v>
      </c>
      <c r="X105" s="21">
        <f t="shared" si="140"/>
        <v>46058</v>
      </c>
      <c r="Y105" s="21">
        <f t="shared" si="141"/>
        <v>46065</v>
      </c>
      <c r="Z105" s="21">
        <f t="shared" si="142"/>
        <v>46065</v>
      </c>
      <c r="AA105" s="21">
        <f t="shared" si="143"/>
        <v>46065</v>
      </c>
      <c r="AB105" s="21">
        <f t="shared" si="102"/>
        <v>46065</v>
      </c>
      <c r="AC105" s="21">
        <f t="shared" si="103"/>
        <v>46066</v>
      </c>
      <c r="AD105" s="21">
        <f t="shared" si="132"/>
        <v>46058</v>
      </c>
      <c r="AE105" s="21">
        <f t="shared" si="104"/>
        <v>46068</v>
      </c>
      <c r="AF105" s="21">
        <f t="shared" si="158"/>
        <v>46170</v>
      </c>
    </row>
    <row r="106" spans="1:32" x14ac:dyDescent="0.25">
      <c r="A106" s="18" t="s">
        <v>360</v>
      </c>
      <c r="B106" s="18" t="s">
        <v>354</v>
      </c>
      <c r="C106" s="30">
        <v>46006</v>
      </c>
      <c r="D106">
        <v>0</v>
      </c>
      <c r="E106">
        <v>0</v>
      </c>
      <c r="F106">
        <v>16</v>
      </c>
      <c r="G106">
        <v>32</v>
      </c>
      <c r="H106" s="21">
        <f t="shared" si="155"/>
        <v>46006</v>
      </c>
      <c r="I106" s="21">
        <f t="shared" si="133"/>
        <v>46020</v>
      </c>
      <c r="J106" s="21">
        <f t="shared" si="156"/>
        <v>46027</v>
      </c>
      <c r="K106" s="21">
        <f t="shared" si="134"/>
        <v>46034</v>
      </c>
      <c r="L106" s="21">
        <f t="shared" si="135"/>
        <v>46041</v>
      </c>
      <c r="M106" s="21">
        <f t="shared" si="136"/>
        <v>46048</v>
      </c>
      <c r="N106" s="21">
        <f t="shared" si="137"/>
        <v>46055</v>
      </c>
      <c r="O106" s="21">
        <f t="shared" si="138"/>
        <v>46062</v>
      </c>
      <c r="P106" s="21">
        <f t="shared" si="70"/>
        <v>46020</v>
      </c>
      <c r="Q106" s="21">
        <f t="shared" si="70"/>
        <v>46020</v>
      </c>
      <c r="R106" s="20"/>
      <c r="S106" s="21">
        <f>IF(VLOOKUP(A106,Dates,15,)&gt;0,VLOOKUP(A106,Dates,15,)+'Date Calcs'!S$2,IF(VLOOKUP(A106,Dates,13,)&gt;0,VLOOKUP(A106,Dates,13,)+'Date Calcs'!S$2,IF(VLOOKUP(A106,Dates,11,)&gt;0,VLOOKUP(A106,Dates,11,)+'Date Calcs'!S$2,IF(VLOOKUP(A106,Dates,9,)&gt;0,VLOOKUP(A106,Dates,9,)+'Date Calcs'!S$2,$I106+S$2))))</f>
        <v>46022</v>
      </c>
      <c r="T106" s="21">
        <f t="shared" si="157"/>
        <v>46023</v>
      </c>
      <c r="U106" s="21">
        <f t="shared" si="139"/>
        <v>46027</v>
      </c>
      <c r="V106" s="115"/>
      <c r="W106" s="21">
        <f t="shared" si="131"/>
        <v>46251</v>
      </c>
      <c r="X106" s="21">
        <f t="shared" si="140"/>
        <v>46034</v>
      </c>
      <c r="Y106" s="21">
        <f t="shared" si="141"/>
        <v>46041</v>
      </c>
      <c r="Z106" s="21">
        <f t="shared" si="142"/>
        <v>46041</v>
      </c>
      <c r="AA106" s="21">
        <f t="shared" si="143"/>
        <v>46041</v>
      </c>
      <c r="AB106" s="21">
        <f t="shared" si="102"/>
        <v>46041</v>
      </c>
      <c r="AC106" s="21">
        <f t="shared" si="103"/>
        <v>46042</v>
      </c>
      <c r="AD106" s="21">
        <f t="shared" si="132"/>
        <v>46034</v>
      </c>
      <c r="AE106" s="21">
        <f t="shared" si="104"/>
        <v>46044</v>
      </c>
      <c r="AF106" s="21">
        <f t="shared" si="158"/>
        <v>46244</v>
      </c>
    </row>
    <row r="107" spans="1:32" x14ac:dyDescent="0.25">
      <c r="A107" s="18" t="s">
        <v>361</v>
      </c>
      <c r="B107" s="18" t="s">
        <v>312</v>
      </c>
      <c r="C107" s="30">
        <v>46020</v>
      </c>
      <c r="D107">
        <v>3</v>
      </c>
      <c r="E107">
        <v>4</v>
      </c>
      <c r="F107">
        <v>16</v>
      </c>
      <c r="G107">
        <v>18</v>
      </c>
      <c r="H107" s="21">
        <f t="shared" si="155"/>
        <v>46048</v>
      </c>
      <c r="I107" s="21">
        <f t="shared" si="133"/>
        <v>46064</v>
      </c>
      <c r="J107" s="21">
        <f t="shared" si="156"/>
        <v>46062</v>
      </c>
      <c r="K107" s="21">
        <f t="shared" si="134"/>
        <v>46076</v>
      </c>
      <c r="L107" s="21">
        <f t="shared" si="135"/>
        <v>46083</v>
      </c>
      <c r="M107" s="21">
        <f t="shared" si="136"/>
        <v>46090</v>
      </c>
      <c r="N107" s="21">
        <f t="shared" si="137"/>
        <v>46097</v>
      </c>
      <c r="O107" s="21">
        <f t="shared" si="138"/>
        <v>46104</v>
      </c>
      <c r="P107" s="21">
        <f t="shared" si="70"/>
        <v>46034</v>
      </c>
      <c r="Q107" s="21">
        <f t="shared" si="70"/>
        <v>46034</v>
      </c>
      <c r="R107" s="20"/>
      <c r="S107" s="21">
        <f>IF(VLOOKUP(A107,Dates,15,)&gt;0,VLOOKUP(A107,Dates,15,)+'Date Calcs'!S$2,IF(VLOOKUP(A107,Dates,13,)&gt;0,VLOOKUP(A107,Dates,13,)+'Date Calcs'!S$2,IF(VLOOKUP(A107,Dates,11,)&gt;0,VLOOKUP(A107,Dates,11,)+'Date Calcs'!S$2,IF(VLOOKUP(A107,Dates,9,)&gt;0,VLOOKUP(A107,Dates,9,)+'Date Calcs'!S$2,$I107+S$2))))</f>
        <v>46057</v>
      </c>
      <c r="T107" s="21">
        <f t="shared" si="157"/>
        <v>46058</v>
      </c>
      <c r="U107" s="21">
        <f t="shared" si="139"/>
        <v>46062</v>
      </c>
      <c r="V107" s="115"/>
      <c r="W107" s="21">
        <f t="shared" si="131"/>
        <v>46188</v>
      </c>
      <c r="X107" s="21">
        <f t="shared" si="140"/>
        <v>46069</v>
      </c>
      <c r="Y107" s="21">
        <f t="shared" si="141"/>
        <v>46076</v>
      </c>
      <c r="Z107" s="21">
        <f t="shared" si="142"/>
        <v>46076</v>
      </c>
      <c r="AA107" s="21">
        <f t="shared" si="143"/>
        <v>46076</v>
      </c>
      <c r="AB107" s="21">
        <f t="shared" si="102"/>
        <v>46076</v>
      </c>
      <c r="AC107" s="21">
        <f t="shared" si="103"/>
        <v>46077</v>
      </c>
      <c r="AD107" s="21">
        <f t="shared" si="132"/>
        <v>46069</v>
      </c>
      <c r="AE107" s="21">
        <f t="shared" si="104"/>
        <v>46079</v>
      </c>
      <c r="AF107" s="21">
        <f t="shared" si="158"/>
        <v>46181</v>
      </c>
    </row>
    <row r="108" spans="1:32" x14ac:dyDescent="0.25">
      <c r="A108" s="18" t="s">
        <v>362</v>
      </c>
      <c r="B108" s="18" t="s">
        <v>364</v>
      </c>
      <c r="C108" s="30">
        <v>46021</v>
      </c>
      <c r="D108">
        <v>3</v>
      </c>
      <c r="E108">
        <v>4</v>
      </c>
      <c r="F108">
        <v>14</v>
      </c>
      <c r="G108">
        <v>16</v>
      </c>
      <c r="H108" s="21">
        <f t="shared" si="155"/>
        <v>46049</v>
      </c>
      <c r="I108" s="21">
        <f t="shared" si="133"/>
        <v>46065</v>
      </c>
      <c r="J108" s="21">
        <f t="shared" si="156"/>
        <v>46071</v>
      </c>
      <c r="K108" s="21">
        <f t="shared" si="134"/>
        <v>46078</v>
      </c>
      <c r="L108" s="21">
        <f t="shared" si="135"/>
        <v>46085</v>
      </c>
      <c r="M108" s="21">
        <f t="shared" si="136"/>
        <v>46092</v>
      </c>
      <c r="N108" s="21">
        <f t="shared" si="137"/>
        <v>46099</v>
      </c>
      <c r="O108" s="21">
        <f t="shared" si="138"/>
        <v>46106</v>
      </c>
      <c r="P108" s="21">
        <f t="shared" si="70"/>
        <v>46035</v>
      </c>
      <c r="Q108" s="21">
        <f t="shared" si="70"/>
        <v>46035</v>
      </c>
      <c r="R108" s="20"/>
      <c r="S108" s="21">
        <f>IF(VLOOKUP(A108,Dates,15,)&gt;0,VLOOKUP(A108,Dates,15,)+'Date Calcs'!S$2,IF(VLOOKUP(A108,Dates,13,)&gt;0,VLOOKUP(A108,Dates,13,)+'Date Calcs'!S$2,IF(VLOOKUP(A108,Dates,11,)&gt;0,VLOOKUP(A108,Dates,11,)+'Date Calcs'!S$2,IF(VLOOKUP(A108,Dates,9,)&gt;0,VLOOKUP(A108,Dates,9,)+'Date Calcs'!S$2,$I108+S$2))))</f>
        <v>46066</v>
      </c>
      <c r="T108" s="21">
        <f t="shared" si="157"/>
        <v>46067</v>
      </c>
      <c r="U108" s="21">
        <f t="shared" si="139"/>
        <v>46071</v>
      </c>
      <c r="V108" s="115"/>
      <c r="W108" s="21">
        <f t="shared" si="131"/>
        <v>46183</v>
      </c>
      <c r="X108" s="21">
        <f t="shared" si="140"/>
        <v>46078</v>
      </c>
      <c r="Y108" s="21">
        <f t="shared" si="141"/>
        <v>46085</v>
      </c>
      <c r="Z108" s="21">
        <f t="shared" si="142"/>
        <v>46085</v>
      </c>
      <c r="AA108" s="21">
        <f t="shared" si="143"/>
        <v>46085</v>
      </c>
      <c r="AB108" s="21">
        <f t="shared" si="102"/>
        <v>46085</v>
      </c>
      <c r="AC108" s="21">
        <f t="shared" si="103"/>
        <v>46086</v>
      </c>
      <c r="AD108" s="21">
        <f t="shared" si="132"/>
        <v>46078</v>
      </c>
      <c r="AE108" s="21">
        <f t="shared" si="104"/>
        <v>46088</v>
      </c>
      <c r="AF108" s="21">
        <f t="shared" si="158"/>
        <v>46176</v>
      </c>
    </row>
    <row r="109" spans="1:32" x14ac:dyDescent="0.25">
      <c r="A109" s="18" t="s">
        <v>363</v>
      </c>
      <c r="B109" s="18" t="s">
        <v>364</v>
      </c>
      <c r="C109" s="30">
        <v>46021</v>
      </c>
      <c r="D109">
        <v>3</v>
      </c>
      <c r="E109">
        <v>4</v>
      </c>
      <c r="F109">
        <v>14</v>
      </c>
      <c r="G109">
        <v>16</v>
      </c>
      <c r="H109" s="21">
        <f t="shared" si="155"/>
        <v>46049</v>
      </c>
      <c r="I109" s="21">
        <f t="shared" si="133"/>
        <v>46066</v>
      </c>
      <c r="J109" s="21">
        <f t="shared" si="156"/>
        <v>46071</v>
      </c>
      <c r="K109" s="21">
        <f t="shared" si="134"/>
        <v>46078</v>
      </c>
      <c r="L109" s="21">
        <f t="shared" si="135"/>
        <v>46085</v>
      </c>
      <c r="M109" s="21">
        <f t="shared" si="136"/>
        <v>46092</v>
      </c>
      <c r="N109" s="21">
        <f t="shared" si="137"/>
        <v>46099</v>
      </c>
      <c r="O109" s="21">
        <f t="shared" si="138"/>
        <v>46106</v>
      </c>
      <c r="P109" s="21">
        <f t="shared" si="70"/>
        <v>46035</v>
      </c>
      <c r="Q109" s="21">
        <f t="shared" si="70"/>
        <v>46035</v>
      </c>
      <c r="R109" s="20"/>
      <c r="S109" s="21">
        <f>IF(VLOOKUP(A109,Dates,15,)&gt;0,VLOOKUP(A109,Dates,15,)+'Date Calcs'!S$2,IF(VLOOKUP(A109,Dates,13,)&gt;0,VLOOKUP(A109,Dates,13,)+'Date Calcs'!S$2,IF(VLOOKUP(A109,Dates,11,)&gt;0,VLOOKUP(A109,Dates,11,)+'Date Calcs'!S$2,IF(VLOOKUP(A109,Dates,9,)&gt;0,VLOOKUP(A109,Dates,9,)+'Date Calcs'!S$2,$I109+S$2))))</f>
        <v>46066</v>
      </c>
      <c r="T109" s="21">
        <f t="shared" si="157"/>
        <v>46067</v>
      </c>
      <c r="U109" s="21">
        <f t="shared" si="139"/>
        <v>46071</v>
      </c>
      <c r="V109" s="115"/>
      <c r="W109" s="21">
        <f t="shared" si="131"/>
        <v>46183</v>
      </c>
      <c r="X109" s="21">
        <f t="shared" si="140"/>
        <v>46078</v>
      </c>
      <c r="Y109" s="21">
        <f t="shared" si="141"/>
        <v>46085</v>
      </c>
      <c r="Z109" s="21">
        <f t="shared" si="142"/>
        <v>46085</v>
      </c>
      <c r="AA109" s="21">
        <f t="shared" si="143"/>
        <v>46085</v>
      </c>
      <c r="AB109" s="21">
        <f t="shared" ref="AB109:AB121" si="159">U109+$AB$2</f>
        <v>46085</v>
      </c>
      <c r="AC109" s="21">
        <f t="shared" ref="AC109:AC121" si="160">AA109+$AC$2</f>
        <v>46086</v>
      </c>
      <c r="AD109" s="21">
        <f t="shared" si="132"/>
        <v>46078</v>
      </c>
      <c r="AE109" s="21">
        <f t="shared" ref="AE109:AE121" si="161">IF(P109&gt;AC109,P109+$AC$2,AC109+$AE$2)</f>
        <v>46088</v>
      </c>
      <c r="AF109" s="21">
        <f t="shared" si="158"/>
        <v>46176</v>
      </c>
    </row>
    <row r="110" spans="1:32" x14ac:dyDescent="0.25">
      <c r="A110" s="18" t="s">
        <v>365</v>
      </c>
      <c r="B110" s="18" t="s">
        <v>374</v>
      </c>
      <c r="C110" s="30">
        <v>46031</v>
      </c>
      <c r="D110">
        <v>3</v>
      </c>
      <c r="E110">
        <v>4</v>
      </c>
      <c r="F110">
        <v>16</v>
      </c>
      <c r="G110">
        <v>18</v>
      </c>
      <c r="H110" s="21">
        <f t="shared" si="155"/>
        <v>46059</v>
      </c>
      <c r="I110" s="21">
        <f t="shared" ref="I110:I118" si="162">IF(VLOOKUP($A110,Dates,8,)=0,H110+I$2,VLOOKUP($A110,Dates,8,)+I$2)</f>
        <v>46073</v>
      </c>
      <c r="J110" s="21">
        <f t="shared" si="156"/>
        <v>46080</v>
      </c>
      <c r="K110" s="21">
        <f t="shared" ref="K110:K118" si="163">IF(VLOOKUP($A110,Dates,10,)=0,J110+K$2,VLOOKUP($A110,Dates,10,)+K$2)</f>
        <v>46087</v>
      </c>
      <c r="L110" s="21">
        <f t="shared" ref="L110:L118" si="164">IF(VLOOKUP($A110,Dates,11,)=0,K110+L$2,VLOOKUP($A110,Dates,11,)+L$2)</f>
        <v>46094</v>
      </c>
      <c r="M110" s="21">
        <f t="shared" ref="M110:M118" si="165">IF(VLOOKUP($A110,Dates,12,)=0,L110+M$2,VLOOKUP($A110,Dates,12,)+M$2)</f>
        <v>46101</v>
      </c>
      <c r="N110" s="21">
        <f t="shared" ref="N110:N118" si="166">IF(VLOOKUP($A110,Dates,13,)=0,M110+N$2,VLOOKUP($A110,Dates,13,)+N$2)</f>
        <v>46108</v>
      </c>
      <c r="O110" s="21">
        <f t="shared" ref="O110:O118" si="167">IF(VLOOKUP($A110,Dates,14,)=0,N110+O$2,VLOOKUP($A110,Dates,14,)+O$2)</f>
        <v>46115</v>
      </c>
      <c r="P110" s="21">
        <f t="shared" si="70"/>
        <v>46045</v>
      </c>
      <c r="Q110" s="21">
        <f t="shared" si="70"/>
        <v>46045</v>
      </c>
      <c r="R110" s="20"/>
      <c r="S110" s="21">
        <f>IF(VLOOKUP(A110,Dates,15,)&gt;0,VLOOKUP(A110,Dates,15,)+'Date Calcs'!S$2,IF(VLOOKUP(A110,Dates,13,)&gt;0,VLOOKUP(A110,Dates,13,)+'Date Calcs'!S$2,IF(VLOOKUP(A110,Dates,11,)&gt;0,VLOOKUP(A110,Dates,11,)+'Date Calcs'!S$2,IF(VLOOKUP(A110,Dates,9,)&gt;0,VLOOKUP(A110,Dates,9,)+'Date Calcs'!S$2,$I110+S$2))))</f>
        <v>46075</v>
      </c>
      <c r="T110" s="21">
        <f t="shared" si="157"/>
        <v>46076</v>
      </c>
      <c r="U110" s="21">
        <f t="shared" ref="U110:U118" si="168">S110+U$2-S$2</f>
        <v>46080</v>
      </c>
      <c r="V110" s="115"/>
      <c r="W110" s="21">
        <f t="shared" si="131"/>
        <v>46206</v>
      </c>
      <c r="X110" s="21">
        <f t="shared" ref="X110:X118" si="169">S110+X$2-S$2</f>
        <v>46087</v>
      </c>
      <c r="Y110" s="21">
        <f t="shared" ref="Y110:Y118" si="170">S110+Y$2-S$2</f>
        <v>46094</v>
      </c>
      <c r="Z110" s="21">
        <f t="shared" ref="Z110:Z118" si="171">Y110</f>
        <v>46094</v>
      </c>
      <c r="AA110" s="21">
        <f t="shared" ref="AA110:AA118" si="172">Z110</f>
        <v>46094</v>
      </c>
      <c r="AB110" s="21">
        <f t="shared" si="159"/>
        <v>46094</v>
      </c>
      <c r="AC110" s="21">
        <f t="shared" si="160"/>
        <v>46095</v>
      </c>
      <c r="AD110" s="21">
        <f t="shared" si="132"/>
        <v>46087</v>
      </c>
      <c r="AE110" s="21">
        <f t="shared" si="161"/>
        <v>46097</v>
      </c>
      <c r="AF110" s="21">
        <f t="shared" ref="AF110:AF118" si="173">S110-S$2+G110*7</f>
        <v>46199</v>
      </c>
    </row>
    <row r="111" spans="1:32" x14ac:dyDescent="0.25">
      <c r="A111" s="18" t="s">
        <v>366</v>
      </c>
      <c r="B111" s="18" t="s">
        <v>374</v>
      </c>
      <c r="C111" s="30">
        <v>46031</v>
      </c>
      <c r="D111">
        <v>3</v>
      </c>
      <c r="E111">
        <v>4</v>
      </c>
      <c r="F111">
        <v>16</v>
      </c>
      <c r="G111">
        <v>18</v>
      </c>
      <c r="H111" s="21">
        <f t="shared" si="155"/>
        <v>46059</v>
      </c>
      <c r="I111" s="21">
        <f t="shared" si="162"/>
        <v>46073</v>
      </c>
      <c r="J111" s="21">
        <f t="shared" si="156"/>
        <v>46080</v>
      </c>
      <c r="K111" s="21">
        <f t="shared" si="163"/>
        <v>46087</v>
      </c>
      <c r="L111" s="21">
        <f t="shared" si="164"/>
        <v>46094</v>
      </c>
      <c r="M111" s="21">
        <f t="shared" si="165"/>
        <v>46101</v>
      </c>
      <c r="N111" s="21">
        <f t="shared" si="166"/>
        <v>46108</v>
      </c>
      <c r="O111" s="21">
        <f t="shared" si="167"/>
        <v>46115</v>
      </c>
      <c r="P111" s="21">
        <f t="shared" si="70"/>
        <v>46045</v>
      </c>
      <c r="Q111" s="21">
        <f t="shared" si="70"/>
        <v>46045</v>
      </c>
      <c r="R111" s="20"/>
      <c r="S111" s="21">
        <f>IF(VLOOKUP(A111,Dates,15,)&gt;0,VLOOKUP(A111,Dates,15,)+'Date Calcs'!S$2,IF(VLOOKUP(A111,Dates,13,)&gt;0,VLOOKUP(A111,Dates,13,)+'Date Calcs'!S$2,IF(VLOOKUP(A111,Dates,11,)&gt;0,VLOOKUP(A111,Dates,11,)+'Date Calcs'!S$2,IF(VLOOKUP(A111,Dates,9,)&gt;0,VLOOKUP(A111,Dates,9,)+'Date Calcs'!S$2,$I111+S$2))))</f>
        <v>46075</v>
      </c>
      <c r="T111" s="21">
        <f t="shared" si="157"/>
        <v>46076</v>
      </c>
      <c r="U111" s="21">
        <f t="shared" si="168"/>
        <v>46080</v>
      </c>
      <c r="V111" s="115"/>
      <c r="W111" s="21">
        <f t="shared" si="131"/>
        <v>46206</v>
      </c>
      <c r="X111" s="21">
        <f t="shared" si="169"/>
        <v>46087</v>
      </c>
      <c r="Y111" s="21">
        <f t="shared" si="170"/>
        <v>46094</v>
      </c>
      <c r="Z111" s="21">
        <f t="shared" si="171"/>
        <v>46094</v>
      </c>
      <c r="AA111" s="21">
        <f t="shared" si="172"/>
        <v>46094</v>
      </c>
      <c r="AB111" s="21">
        <f t="shared" si="159"/>
        <v>46094</v>
      </c>
      <c r="AC111" s="21">
        <f t="shared" si="160"/>
        <v>46095</v>
      </c>
      <c r="AD111" s="21">
        <f t="shared" si="132"/>
        <v>46087</v>
      </c>
      <c r="AE111" s="21">
        <f t="shared" si="161"/>
        <v>46097</v>
      </c>
      <c r="AF111" s="21">
        <f t="shared" si="173"/>
        <v>46199</v>
      </c>
    </row>
    <row r="112" spans="1:32" x14ac:dyDescent="0.25">
      <c r="A112" s="18" t="s">
        <v>367</v>
      </c>
      <c r="B112" s="18" t="s">
        <v>374</v>
      </c>
      <c r="C112" s="30">
        <v>46031</v>
      </c>
      <c r="D112">
        <v>3</v>
      </c>
      <c r="E112">
        <v>4</v>
      </c>
      <c r="F112">
        <v>16</v>
      </c>
      <c r="G112">
        <v>18</v>
      </c>
      <c r="H112" s="21">
        <f t="shared" si="155"/>
        <v>46059</v>
      </c>
      <c r="I112" s="21">
        <f t="shared" si="162"/>
        <v>46073</v>
      </c>
      <c r="J112" s="21">
        <f t="shared" si="156"/>
        <v>46080</v>
      </c>
      <c r="K112" s="21">
        <f t="shared" si="163"/>
        <v>46087</v>
      </c>
      <c r="L112" s="21">
        <f t="shared" si="164"/>
        <v>46094</v>
      </c>
      <c r="M112" s="21">
        <f t="shared" si="165"/>
        <v>46101</v>
      </c>
      <c r="N112" s="21">
        <f t="shared" si="166"/>
        <v>46108</v>
      </c>
      <c r="O112" s="21">
        <f t="shared" si="167"/>
        <v>46115</v>
      </c>
      <c r="P112" s="21">
        <f t="shared" si="70"/>
        <v>46045</v>
      </c>
      <c r="Q112" s="21">
        <f t="shared" si="70"/>
        <v>46045</v>
      </c>
      <c r="R112" s="20"/>
      <c r="S112" s="21">
        <f>IF(VLOOKUP(A112,Dates,15,)&gt;0,VLOOKUP(A112,Dates,15,)+'Date Calcs'!S$2,IF(VLOOKUP(A112,Dates,13,)&gt;0,VLOOKUP(A112,Dates,13,)+'Date Calcs'!S$2,IF(VLOOKUP(A112,Dates,11,)&gt;0,VLOOKUP(A112,Dates,11,)+'Date Calcs'!S$2,IF(VLOOKUP(A112,Dates,9,)&gt;0,VLOOKUP(A112,Dates,9,)+'Date Calcs'!S$2,$I112+S$2))))</f>
        <v>46075</v>
      </c>
      <c r="T112" s="21">
        <f t="shared" si="157"/>
        <v>46076</v>
      </c>
      <c r="U112" s="21">
        <f t="shared" si="168"/>
        <v>46080</v>
      </c>
      <c r="V112" s="115"/>
      <c r="W112" s="21">
        <f t="shared" si="131"/>
        <v>46206</v>
      </c>
      <c r="X112" s="21">
        <f t="shared" si="169"/>
        <v>46087</v>
      </c>
      <c r="Y112" s="21">
        <f t="shared" si="170"/>
        <v>46094</v>
      </c>
      <c r="Z112" s="21">
        <f t="shared" si="171"/>
        <v>46094</v>
      </c>
      <c r="AA112" s="21">
        <f t="shared" si="172"/>
        <v>46094</v>
      </c>
      <c r="AB112" s="21">
        <f t="shared" si="159"/>
        <v>46094</v>
      </c>
      <c r="AC112" s="21">
        <f t="shared" si="160"/>
        <v>46095</v>
      </c>
      <c r="AD112" s="21">
        <f t="shared" si="132"/>
        <v>46087</v>
      </c>
      <c r="AE112" s="21">
        <f t="shared" si="161"/>
        <v>46097</v>
      </c>
      <c r="AF112" s="21">
        <f t="shared" si="173"/>
        <v>46199</v>
      </c>
    </row>
    <row r="113" spans="1:32" x14ac:dyDescent="0.25">
      <c r="A113" s="18" t="s">
        <v>368</v>
      </c>
      <c r="B113" s="18" t="s">
        <v>74</v>
      </c>
      <c r="C113" s="30">
        <v>46034</v>
      </c>
      <c r="D113">
        <v>3</v>
      </c>
      <c r="E113">
        <v>4</v>
      </c>
      <c r="F113">
        <v>18</v>
      </c>
      <c r="G113">
        <v>20</v>
      </c>
      <c r="H113" s="21">
        <f t="shared" si="155"/>
        <v>46062</v>
      </c>
      <c r="I113" s="21">
        <f t="shared" si="162"/>
        <v>46072</v>
      </c>
      <c r="J113" s="21">
        <f t="shared" si="156"/>
        <v>46071</v>
      </c>
      <c r="K113" s="21">
        <f t="shared" si="163"/>
        <v>46078</v>
      </c>
      <c r="L113" s="21">
        <f t="shared" si="164"/>
        <v>46085</v>
      </c>
      <c r="M113" s="21">
        <f t="shared" si="165"/>
        <v>46092</v>
      </c>
      <c r="N113" s="21">
        <f t="shared" si="166"/>
        <v>46099</v>
      </c>
      <c r="O113" s="21">
        <f t="shared" si="167"/>
        <v>46106</v>
      </c>
      <c r="P113" s="21">
        <f t="shared" si="70"/>
        <v>46048</v>
      </c>
      <c r="Q113" s="21">
        <f t="shared" si="70"/>
        <v>46048</v>
      </c>
      <c r="R113" s="20"/>
      <c r="S113" s="21">
        <f>IF(VLOOKUP(A113,Dates,15,)&gt;0,VLOOKUP(A113,Dates,15,)+'Date Calcs'!S$2,IF(VLOOKUP(A113,Dates,13,)&gt;0,VLOOKUP(A113,Dates,13,)+'Date Calcs'!S$2,IF(VLOOKUP(A113,Dates,11,)&gt;0,VLOOKUP(A113,Dates,11,)+'Date Calcs'!S$2,IF(VLOOKUP(A113,Dates,9,)&gt;0,VLOOKUP(A113,Dates,9,)+'Date Calcs'!S$2,$I113+S$2))))</f>
        <v>46066</v>
      </c>
      <c r="T113" s="21">
        <f t="shared" si="157"/>
        <v>46067</v>
      </c>
      <c r="U113" s="21">
        <f t="shared" si="168"/>
        <v>46071</v>
      </c>
      <c r="V113" s="115"/>
      <c r="W113" s="21">
        <f t="shared" si="131"/>
        <v>46211</v>
      </c>
      <c r="X113" s="21">
        <f t="shared" si="169"/>
        <v>46078</v>
      </c>
      <c r="Y113" s="21">
        <f t="shared" si="170"/>
        <v>46085</v>
      </c>
      <c r="Z113" s="21">
        <f t="shared" si="171"/>
        <v>46085</v>
      </c>
      <c r="AA113" s="21">
        <f t="shared" si="172"/>
        <v>46085</v>
      </c>
      <c r="AB113" s="21">
        <f t="shared" si="159"/>
        <v>46085</v>
      </c>
      <c r="AC113" s="21">
        <f t="shared" si="160"/>
        <v>46086</v>
      </c>
      <c r="AD113" s="21">
        <f t="shared" si="132"/>
        <v>46078</v>
      </c>
      <c r="AE113" s="21">
        <f t="shared" si="161"/>
        <v>46088</v>
      </c>
      <c r="AF113" s="21">
        <f t="shared" si="173"/>
        <v>46204</v>
      </c>
    </row>
    <row r="114" spans="1:32" x14ac:dyDescent="0.25">
      <c r="A114" s="18" t="s">
        <v>369</v>
      </c>
      <c r="B114" s="18" t="s">
        <v>374</v>
      </c>
      <c r="C114" s="30">
        <v>46034</v>
      </c>
      <c r="D114">
        <v>3</v>
      </c>
      <c r="E114">
        <v>4</v>
      </c>
      <c r="F114">
        <v>14</v>
      </c>
      <c r="G114">
        <v>16</v>
      </c>
      <c r="H114" s="21">
        <f t="shared" si="155"/>
        <v>46062</v>
      </c>
      <c r="I114" s="21">
        <f t="shared" si="162"/>
        <v>46078</v>
      </c>
      <c r="J114" s="21">
        <f t="shared" si="156"/>
        <v>46085</v>
      </c>
      <c r="K114" s="21">
        <f t="shared" si="163"/>
        <v>46092</v>
      </c>
      <c r="L114" s="21">
        <f t="shared" si="164"/>
        <v>46099</v>
      </c>
      <c r="M114" s="21">
        <f t="shared" si="165"/>
        <v>46106</v>
      </c>
      <c r="N114" s="21">
        <f t="shared" si="166"/>
        <v>46113</v>
      </c>
      <c r="O114" s="21">
        <f t="shared" si="167"/>
        <v>46120</v>
      </c>
      <c r="P114" s="21">
        <f t="shared" si="70"/>
        <v>46048</v>
      </c>
      <c r="Q114" s="21">
        <f t="shared" si="70"/>
        <v>46048</v>
      </c>
      <c r="R114" s="20"/>
      <c r="S114" s="21">
        <f>IF(VLOOKUP(A114,Dates,15,)&gt;0,VLOOKUP(A114,Dates,15,)+'Date Calcs'!S$2,IF(VLOOKUP(A114,Dates,13,)&gt;0,VLOOKUP(A114,Dates,13,)+'Date Calcs'!S$2,IF(VLOOKUP(A114,Dates,11,)&gt;0,VLOOKUP(A114,Dates,11,)+'Date Calcs'!S$2,IF(VLOOKUP(A114,Dates,9,)&gt;0,VLOOKUP(A114,Dates,9,)+'Date Calcs'!S$2,$I114+S$2))))</f>
        <v>46080</v>
      </c>
      <c r="T114" s="21">
        <f t="shared" si="157"/>
        <v>46081</v>
      </c>
      <c r="U114" s="21">
        <f t="shared" si="168"/>
        <v>46085</v>
      </c>
      <c r="V114" s="115"/>
      <c r="W114" s="21">
        <f t="shared" si="131"/>
        <v>46197</v>
      </c>
      <c r="X114" s="21">
        <f t="shared" si="169"/>
        <v>46092</v>
      </c>
      <c r="Y114" s="21">
        <f t="shared" si="170"/>
        <v>46099</v>
      </c>
      <c r="Z114" s="21">
        <f t="shared" si="171"/>
        <v>46099</v>
      </c>
      <c r="AA114" s="21">
        <f t="shared" si="172"/>
        <v>46099</v>
      </c>
      <c r="AB114" s="21">
        <f t="shared" si="159"/>
        <v>46099</v>
      </c>
      <c r="AC114" s="21">
        <f t="shared" si="160"/>
        <v>46100</v>
      </c>
      <c r="AD114" s="21">
        <f t="shared" si="132"/>
        <v>46092</v>
      </c>
      <c r="AE114" s="21">
        <f t="shared" si="161"/>
        <v>46102</v>
      </c>
      <c r="AF114" s="21">
        <f t="shared" si="173"/>
        <v>46190</v>
      </c>
    </row>
    <row r="115" spans="1:32" x14ac:dyDescent="0.25">
      <c r="A115" s="18" t="s">
        <v>370</v>
      </c>
      <c r="B115" s="18" t="s">
        <v>374</v>
      </c>
      <c r="C115" s="30">
        <v>46071</v>
      </c>
      <c r="D115">
        <v>3</v>
      </c>
      <c r="E115">
        <v>4</v>
      </c>
      <c r="F115">
        <v>14</v>
      </c>
      <c r="G115">
        <v>16</v>
      </c>
      <c r="H115" s="21">
        <f t="shared" si="155"/>
        <v>46099</v>
      </c>
      <c r="I115" s="21">
        <f t="shared" si="162"/>
        <v>46113</v>
      </c>
      <c r="J115" s="21">
        <f t="shared" si="156"/>
        <v>46120</v>
      </c>
      <c r="K115" s="21">
        <f t="shared" si="163"/>
        <v>46127</v>
      </c>
      <c r="L115" s="21">
        <f t="shared" si="164"/>
        <v>46134</v>
      </c>
      <c r="M115" s="21">
        <f t="shared" si="165"/>
        <v>46141</v>
      </c>
      <c r="N115" s="21">
        <f t="shared" si="166"/>
        <v>46148</v>
      </c>
      <c r="O115" s="21">
        <f t="shared" si="167"/>
        <v>46155</v>
      </c>
      <c r="P115" s="21">
        <f t="shared" si="70"/>
        <v>46085</v>
      </c>
      <c r="Q115" s="21">
        <f t="shared" si="70"/>
        <v>46085</v>
      </c>
      <c r="R115" s="20"/>
      <c r="S115" s="21">
        <f>IF(VLOOKUP(A115,Dates,15,)&gt;0,VLOOKUP(A115,Dates,15,)+'Date Calcs'!S$2,IF(VLOOKUP(A115,Dates,13,)&gt;0,VLOOKUP(A115,Dates,13,)+'Date Calcs'!S$2,IF(VLOOKUP(A115,Dates,11,)&gt;0,VLOOKUP(A115,Dates,11,)+'Date Calcs'!S$2,IF(VLOOKUP(A115,Dates,9,)&gt;0,VLOOKUP(A115,Dates,9,)+'Date Calcs'!S$2,$I115+S$2))))</f>
        <v>46115</v>
      </c>
      <c r="T115" s="21">
        <f t="shared" si="157"/>
        <v>46116</v>
      </c>
      <c r="U115" s="21">
        <f t="shared" si="168"/>
        <v>46120</v>
      </c>
      <c r="V115" s="115"/>
      <c r="W115" s="21">
        <f t="shared" si="131"/>
        <v>46232</v>
      </c>
      <c r="X115" s="21">
        <f t="shared" si="169"/>
        <v>46127</v>
      </c>
      <c r="Y115" s="21">
        <f t="shared" si="170"/>
        <v>46134</v>
      </c>
      <c r="Z115" s="21">
        <f t="shared" si="171"/>
        <v>46134</v>
      </c>
      <c r="AA115" s="21">
        <f t="shared" si="172"/>
        <v>46134</v>
      </c>
      <c r="AB115" s="21">
        <f t="shared" si="159"/>
        <v>46134</v>
      </c>
      <c r="AC115" s="21">
        <f t="shared" si="160"/>
        <v>46135</v>
      </c>
      <c r="AD115" s="21">
        <f t="shared" si="132"/>
        <v>46127</v>
      </c>
      <c r="AE115" s="21">
        <f t="shared" si="161"/>
        <v>46137</v>
      </c>
      <c r="AF115" s="21">
        <f t="shared" si="173"/>
        <v>46225</v>
      </c>
    </row>
    <row r="116" spans="1:32" x14ac:dyDescent="0.25">
      <c r="A116" s="18" t="s">
        <v>371</v>
      </c>
      <c r="B116" s="18" t="s">
        <v>374</v>
      </c>
      <c r="C116" s="30">
        <v>46064</v>
      </c>
      <c r="D116">
        <v>3</v>
      </c>
      <c r="E116">
        <v>4</v>
      </c>
      <c r="F116">
        <v>14</v>
      </c>
      <c r="G116">
        <v>16</v>
      </c>
      <c r="H116" s="21">
        <f t="shared" si="155"/>
        <v>46092</v>
      </c>
      <c r="I116" s="21">
        <f t="shared" si="162"/>
        <v>46106</v>
      </c>
      <c r="J116" s="21">
        <f t="shared" si="156"/>
        <v>46113</v>
      </c>
      <c r="K116" s="21">
        <f t="shared" si="163"/>
        <v>46120</v>
      </c>
      <c r="L116" s="21">
        <f t="shared" si="164"/>
        <v>46127</v>
      </c>
      <c r="M116" s="21">
        <f t="shared" si="165"/>
        <v>46134</v>
      </c>
      <c r="N116" s="21">
        <f t="shared" si="166"/>
        <v>46141</v>
      </c>
      <c r="O116" s="21">
        <f t="shared" si="167"/>
        <v>46148</v>
      </c>
      <c r="P116" s="21">
        <f t="shared" si="70"/>
        <v>46078</v>
      </c>
      <c r="Q116" s="21">
        <f t="shared" si="70"/>
        <v>46078</v>
      </c>
      <c r="R116" s="20"/>
      <c r="S116" s="21">
        <f>IF(VLOOKUP(A116,Dates,15,)&gt;0,VLOOKUP(A116,Dates,15,)+'Date Calcs'!S$2,IF(VLOOKUP(A116,Dates,13,)&gt;0,VLOOKUP(A116,Dates,13,)+'Date Calcs'!S$2,IF(VLOOKUP(A116,Dates,11,)&gt;0,VLOOKUP(A116,Dates,11,)+'Date Calcs'!S$2,IF(VLOOKUP(A116,Dates,9,)&gt;0,VLOOKUP(A116,Dates,9,)+'Date Calcs'!S$2,$I116+S$2))))</f>
        <v>46108</v>
      </c>
      <c r="T116" s="21">
        <f t="shared" si="157"/>
        <v>46109</v>
      </c>
      <c r="U116" s="21">
        <f t="shared" si="168"/>
        <v>46113</v>
      </c>
      <c r="V116" s="115"/>
      <c r="W116" s="21">
        <f t="shared" si="131"/>
        <v>46225</v>
      </c>
      <c r="X116" s="21">
        <f t="shared" si="169"/>
        <v>46120</v>
      </c>
      <c r="Y116" s="21">
        <f t="shared" si="170"/>
        <v>46127</v>
      </c>
      <c r="Z116" s="21">
        <f t="shared" si="171"/>
        <v>46127</v>
      </c>
      <c r="AA116" s="21">
        <f t="shared" si="172"/>
        <v>46127</v>
      </c>
      <c r="AB116" s="21">
        <f t="shared" si="159"/>
        <v>46127</v>
      </c>
      <c r="AC116" s="21">
        <f t="shared" si="160"/>
        <v>46128</v>
      </c>
      <c r="AD116" s="21">
        <f t="shared" si="132"/>
        <v>46120</v>
      </c>
      <c r="AE116" s="21">
        <f t="shared" si="161"/>
        <v>46130</v>
      </c>
      <c r="AF116" s="21">
        <f t="shared" si="173"/>
        <v>46218</v>
      </c>
    </row>
    <row r="117" spans="1:32" x14ac:dyDescent="0.25">
      <c r="A117" s="18" t="s">
        <v>372</v>
      </c>
      <c r="B117" s="18" t="s">
        <v>374</v>
      </c>
      <c r="C117" s="30">
        <v>46034</v>
      </c>
      <c r="D117">
        <v>3</v>
      </c>
      <c r="E117">
        <v>4</v>
      </c>
      <c r="F117">
        <v>18</v>
      </c>
      <c r="G117">
        <v>20</v>
      </c>
      <c r="H117" s="21">
        <f t="shared" si="155"/>
        <v>46062</v>
      </c>
      <c r="I117" s="21">
        <f t="shared" si="162"/>
        <v>46078</v>
      </c>
      <c r="J117" s="21">
        <f t="shared" si="156"/>
        <v>46085</v>
      </c>
      <c r="K117" s="21">
        <f t="shared" si="163"/>
        <v>46092</v>
      </c>
      <c r="L117" s="21">
        <f t="shared" si="164"/>
        <v>46099</v>
      </c>
      <c r="M117" s="21">
        <f t="shared" si="165"/>
        <v>46106</v>
      </c>
      <c r="N117" s="21">
        <f t="shared" si="166"/>
        <v>46113</v>
      </c>
      <c r="O117" s="21">
        <f t="shared" si="167"/>
        <v>46120</v>
      </c>
      <c r="P117" s="21">
        <f t="shared" si="70"/>
        <v>46048</v>
      </c>
      <c r="Q117" s="21">
        <f t="shared" si="70"/>
        <v>46048</v>
      </c>
      <c r="R117" s="20"/>
      <c r="S117" s="21">
        <f>IF(VLOOKUP(A117,Dates,15,)&gt;0,VLOOKUP(A117,Dates,15,)+'Date Calcs'!S$2,IF(VLOOKUP(A117,Dates,13,)&gt;0,VLOOKUP(A117,Dates,13,)+'Date Calcs'!S$2,IF(VLOOKUP(A117,Dates,11,)&gt;0,VLOOKUP(A117,Dates,11,)+'Date Calcs'!S$2,IF(VLOOKUP(A117,Dates,9,)&gt;0,VLOOKUP(A117,Dates,9,)+'Date Calcs'!S$2,$I117+S$2))))</f>
        <v>46080</v>
      </c>
      <c r="T117" s="21">
        <f t="shared" si="157"/>
        <v>46081</v>
      </c>
      <c r="U117" s="21">
        <f t="shared" si="168"/>
        <v>46085</v>
      </c>
      <c r="V117" s="115"/>
      <c r="W117" s="21">
        <f t="shared" si="131"/>
        <v>46225</v>
      </c>
      <c r="X117" s="21">
        <f t="shared" si="169"/>
        <v>46092</v>
      </c>
      <c r="Y117" s="21">
        <f t="shared" si="170"/>
        <v>46099</v>
      </c>
      <c r="Z117" s="21">
        <f t="shared" si="171"/>
        <v>46099</v>
      </c>
      <c r="AA117" s="21">
        <f t="shared" si="172"/>
        <v>46099</v>
      </c>
      <c r="AB117" s="21">
        <f t="shared" si="159"/>
        <v>46099</v>
      </c>
      <c r="AC117" s="21">
        <f t="shared" si="160"/>
        <v>46100</v>
      </c>
      <c r="AD117" s="21">
        <f t="shared" si="132"/>
        <v>46092</v>
      </c>
      <c r="AE117" s="21">
        <f t="shared" si="161"/>
        <v>46102</v>
      </c>
      <c r="AF117" s="21">
        <f t="shared" si="173"/>
        <v>46218</v>
      </c>
    </row>
    <row r="118" spans="1:32" x14ac:dyDescent="0.25">
      <c r="A118" s="18" t="s">
        <v>373</v>
      </c>
      <c r="B118" s="18" t="s">
        <v>374</v>
      </c>
      <c r="C118" s="30">
        <v>46034</v>
      </c>
      <c r="D118">
        <v>3</v>
      </c>
      <c r="E118">
        <v>4</v>
      </c>
      <c r="F118">
        <v>18</v>
      </c>
      <c r="G118">
        <v>20</v>
      </c>
      <c r="H118" s="21">
        <f t="shared" si="155"/>
        <v>46062</v>
      </c>
      <c r="I118" s="21">
        <f t="shared" si="162"/>
        <v>46078</v>
      </c>
      <c r="J118" s="21">
        <f t="shared" si="156"/>
        <v>46085</v>
      </c>
      <c r="K118" s="21">
        <f t="shared" si="163"/>
        <v>46092</v>
      </c>
      <c r="L118" s="21">
        <f t="shared" si="164"/>
        <v>46099</v>
      </c>
      <c r="M118" s="21">
        <f t="shared" si="165"/>
        <v>46106</v>
      </c>
      <c r="N118" s="21">
        <f t="shared" si="166"/>
        <v>46113</v>
      </c>
      <c r="O118" s="21">
        <f t="shared" si="167"/>
        <v>46120</v>
      </c>
      <c r="P118" s="21">
        <f t="shared" si="70"/>
        <v>46048</v>
      </c>
      <c r="Q118" s="21">
        <f t="shared" si="70"/>
        <v>46048</v>
      </c>
      <c r="R118" s="20"/>
      <c r="S118" s="21">
        <f>IF(VLOOKUP(A118,Dates,15,)&gt;0,VLOOKUP(A118,Dates,15,)+'Date Calcs'!S$2,IF(VLOOKUP(A118,Dates,13,)&gt;0,VLOOKUP(A118,Dates,13,)+'Date Calcs'!S$2,IF(VLOOKUP(A118,Dates,11,)&gt;0,VLOOKUP(A118,Dates,11,)+'Date Calcs'!S$2,IF(VLOOKUP(A118,Dates,9,)&gt;0,VLOOKUP(A118,Dates,9,)+'Date Calcs'!S$2,$I118+S$2))))</f>
        <v>46080</v>
      </c>
      <c r="T118" s="21">
        <f t="shared" si="157"/>
        <v>46081</v>
      </c>
      <c r="U118" s="21">
        <f t="shared" si="168"/>
        <v>46085</v>
      </c>
      <c r="V118" s="115"/>
      <c r="W118" s="21">
        <f t="shared" si="131"/>
        <v>46225</v>
      </c>
      <c r="X118" s="21">
        <f t="shared" si="169"/>
        <v>46092</v>
      </c>
      <c r="Y118" s="21">
        <f t="shared" si="170"/>
        <v>46099</v>
      </c>
      <c r="Z118" s="21">
        <f t="shared" si="171"/>
        <v>46099</v>
      </c>
      <c r="AA118" s="21">
        <f t="shared" si="172"/>
        <v>46099</v>
      </c>
      <c r="AB118" s="21">
        <f t="shared" si="159"/>
        <v>46099</v>
      </c>
      <c r="AC118" s="21">
        <f t="shared" si="160"/>
        <v>46100</v>
      </c>
      <c r="AD118" s="21">
        <f t="shared" si="132"/>
        <v>46092</v>
      </c>
      <c r="AE118" s="21">
        <f t="shared" si="161"/>
        <v>46102</v>
      </c>
      <c r="AF118" s="21">
        <f t="shared" si="173"/>
        <v>46218</v>
      </c>
    </row>
    <row r="119" spans="1:32" x14ac:dyDescent="0.25">
      <c r="A119" s="18" t="s">
        <v>377</v>
      </c>
      <c r="B119" s="18" t="s">
        <v>74</v>
      </c>
      <c r="C119" s="30">
        <v>46059</v>
      </c>
      <c r="D119">
        <v>3</v>
      </c>
      <c r="E119">
        <v>4</v>
      </c>
      <c r="F119">
        <v>16</v>
      </c>
      <c r="G119">
        <v>18</v>
      </c>
      <c r="H119" s="21">
        <f t="shared" si="155"/>
        <v>46087</v>
      </c>
      <c r="I119" s="21">
        <f t="shared" si="133"/>
        <v>46101</v>
      </c>
      <c r="J119" s="21">
        <f t="shared" si="156"/>
        <v>46108</v>
      </c>
      <c r="K119" s="21">
        <f t="shared" si="134"/>
        <v>46115</v>
      </c>
      <c r="L119" s="21">
        <f t="shared" si="135"/>
        <v>46122</v>
      </c>
      <c r="M119" s="21">
        <f t="shared" si="136"/>
        <v>46129</v>
      </c>
      <c r="N119" s="21">
        <f t="shared" si="137"/>
        <v>46136</v>
      </c>
      <c r="O119" s="21">
        <f t="shared" si="138"/>
        <v>46143</v>
      </c>
      <c r="P119" s="21">
        <f t="shared" si="70"/>
        <v>46073</v>
      </c>
      <c r="Q119" s="21">
        <f t="shared" si="70"/>
        <v>46073</v>
      </c>
      <c r="R119" s="20"/>
      <c r="S119" s="21">
        <f>IF(VLOOKUP(A119,Dates,15,)&gt;0,VLOOKUP(A119,Dates,15,)+'Date Calcs'!S$2,IF(VLOOKUP(A119,Dates,13,)&gt;0,VLOOKUP(A119,Dates,13,)+'Date Calcs'!S$2,IF(VLOOKUP(A119,Dates,11,)&gt;0,VLOOKUP(A119,Dates,11,)+'Date Calcs'!S$2,IF(VLOOKUP(A119,Dates,9,)&gt;0,VLOOKUP(A119,Dates,9,)+'Date Calcs'!S$2,$I119+S$2))))</f>
        <v>46103</v>
      </c>
      <c r="T119" s="21">
        <f t="shared" si="157"/>
        <v>46104</v>
      </c>
      <c r="U119" s="21">
        <f t="shared" si="139"/>
        <v>46108</v>
      </c>
      <c r="V119" s="115"/>
      <c r="W119" s="21">
        <f t="shared" si="131"/>
        <v>46234</v>
      </c>
      <c r="X119" s="21">
        <f t="shared" si="140"/>
        <v>46115</v>
      </c>
      <c r="Y119" s="21">
        <f t="shared" si="141"/>
        <v>46122</v>
      </c>
      <c r="Z119" s="21">
        <f t="shared" si="142"/>
        <v>46122</v>
      </c>
      <c r="AA119" s="21">
        <f t="shared" si="143"/>
        <v>46122</v>
      </c>
      <c r="AB119" s="21">
        <f t="shared" si="159"/>
        <v>46122</v>
      </c>
      <c r="AC119" s="21">
        <f t="shared" si="160"/>
        <v>46123</v>
      </c>
      <c r="AD119" s="21">
        <f t="shared" si="132"/>
        <v>46115</v>
      </c>
      <c r="AE119" s="21">
        <f t="shared" si="161"/>
        <v>46125</v>
      </c>
      <c r="AF119" s="21">
        <f>S119-S$2+G119*7</f>
        <v>46227</v>
      </c>
    </row>
    <row r="120" spans="1:32" x14ac:dyDescent="0.25">
      <c r="A120" s="18" t="s">
        <v>378</v>
      </c>
      <c r="B120" s="18" t="s">
        <v>74</v>
      </c>
      <c r="C120" s="30">
        <v>46059</v>
      </c>
      <c r="D120">
        <v>3</v>
      </c>
      <c r="E120">
        <v>4</v>
      </c>
      <c r="F120">
        <v>16</v>
      </c>
      <c r="G120">
        <v>18</v>
      </c>
      <c r="H120" s="21">
        <f t="shared" si="155"/>
        <v>46087</v>
      </c>
      <c r="I120" s="21">
        <f t="shared" si="133"/>
        <v>46101</v>
      </c>
      <c r="J120" s="21">
        <f t="shared" si="156"/>
        <v>46108</v>
      </c>
      <c r="K120" s="21">
        <f t="shared" si="134"/>
        <v>46115</v>
      </c>
      <c r="L120" s="21">
        <f t="shared" si="135"/>
        <v>46122</v>
      </c>
      <c r="M120" s="21">
        <f t="shared" si="136"/>
        <v>46129</v>
      </c>
      <c r="N120" s="21">
        <f t="shared" si="137"/>
        <v>46136</v>
      </c>
      <c r="O120" s="21">
        <f t="shared" si="138"/>
        <v>46143</v>
      </c>
      <c r="P120" s="21">
        <f t="shared" si="70"/>
        <v>46073</v>
      </c>
      <c r="Q120" s="21">
        <f t="shared" si="70"/>
        <v>46073</v>
      </c>
      <c r="R120" s="20"/>
      <c r="S120" s="21">
        <f>IF(VLOOKUP(A120,Dates,15,)&gt;0,VLOOKUP(A120,Dates,15,)+'Date Calcs'!S$2,IF(VLOOKUP(A120,Dates,13,)&gt;0,VLOOKUP(A120,Dates,13,)+'Date Calcs'!S$2,IF(VLOOKUP(A120,Dates,11,)&gt;0,VLOOKUP(A120,Dates,11,)+'Date Calcs'!S$2,IF(VLOOKUP(A120,Dates,9,)&gt;0,VLOOKUP(A120,Dates,9,)+'Date Calcs'!S$2,$I120+S$2))))</f>
        <v>46103</v>
      </c>
      <c r="T120" s="21">
        <f t="shared" si="157"/>
        <v>46104</v>
      </c>
      <c r="U120" s="21">
        <f t="shared" si="139"/>
        <v>46108</v>
      </c>
      <c r="V120" s="115"/>
      <c r="W120" s="21">
        <f t="shared" si="131"/>
        <v>46234</v>
      </c>
      <c r="X120" s="21">
        <f t="shared" si="140"/>
        <v>46115</v>
      </c>
      <c r="Y120" s="21">
        <f t="shared" si="141"/>
        <v>46122</v>
      </c>
      <c r="Z120" s="21">
        <f t="shared" si="142"/>
        <v>46122</v>
      </c>
      <c r="AA120" s="21">
        <f t="shared" si="143"/>
        <v>46122</v>
      </c>
      <c r="AB120" s="21">
        <f t="shared" si="159"/>
        <v>46122</v>
      </c>
      <c r="AC120" s="21">
        <f t="shared" si="160"/>
        <v>46123</v>
      </c>
      <c r="AD120" s="21">
        <f t="shared" si="132"/>
        <v>46115</v>
      </c>
      <c r="AE120" s="21">
        <f t="shared" si="161"/>
        <v>46125</v>
      </c>
      <c r="AF120" s="21">
        <f>S120-S$2+G120*7</f>
        <v>46227</v>
      </c>
    </row>
    <row r="121" spans="1:32" x14ac:dyDescent="0.25">
      <c r="A121" s="18" t="s">
        <v>379</v>
      </c>
      <c r="B121" s="18" t="s">
        <v>81</v>
      </c>
      <c r="C121" s="30">
        <v>46063</v>
      </c>
      <c r="D121">
        <v>2</v>
      </c>
      <c r="E121">
        <v>3</v>
      </c>
      <c r="F121">
        <v>14</v>
      </c>
      <c r="G121">
        <v>16</v>
      </c>
      <c r="H121" s="21">
        <f t="shared" si="155"/>
        <v>46084</v>
      </c>
      <c r="I121" s="21">
        <f t="shared" si="133"/>
        <v>46098</v>
      </c>
      <c r="J121" s="21">
        <f t="shared" si="156"/>
        <v>46105</v>
      </c>
      <c r="K121" s="21">
        <f t="shared" si="134"/>
        <v>46112</v>
      </c>
      <c r="L121" s="21">
        <f t="shared" si="135"/>
        <v>46119</v>
      </c>
      <c r="M121" s="21">
        <f t="shared" si="136"/>
        <v>46126</v>
      </c>
      <c r="N121" s="21">
        <f t="shared" si="137"/>
        <v>46133</v>
      </c>
      <c r="O121" s="21">
        <f t="shared" si="138"/>
        <v>46140</v>
      </c>
      <c r="P121" s="21">
        <f t="shared" si="70"/>
        <v>46077</v>
      </c>
      <c r="Q121" s="21">
        <f t="shared" si="70"/>
        <v>46077</v>
      </c>
      <c r="R121" s="20"/>
      <c r="S121" s="21">
        <f>IF(VLOOKUP(A121,Dates,15,)&gt;0,VLOOKUP(A121,Dates,15,)+'Date Calcs'!S$2,IF(VLOOKUP(A121,Dates,13,)&gt;0,VLOOKUP(A121,Dates,13,)+'Date Calcs'!S$2,IF(VLOOKUP(A121,Dates,11,)&gt;0,VLOOKUP(A121,Dates,11,)+'Date Calcs'!S$2,IF(VLOOKUP(A121,Dates,9,)&gt;0,VLOOKUP(A121,Dates,9,)+'Date Calcs'!S$2,$I121+S$2))))</f>
        <v>46100</v>
      </c>
      <c r="T121" s="21">
        <f t="shared" si="157"/>
        <v>46101</v>
      </c>
      <c r="U121" s="21">
        <f t="shared" si="139"/>
        <v>46105</v>
      </c>
      <c r="V121" s="115"/>
      <c r="W121" s="21">
        <f t="shared" si="131"/>
        <v>46217</v>
      </c>
      <c r="X121" s="21">
        <f t="shared" si="140"/>
        <v>46112</v>
      </c>
      <c r="Y121" s="21">
        <f t="shared" si="141"/>
        <v>46119</v>
      </c>
      <c r="Z121" s="21">
        <f t="shared" si="142"/>
        <v>46119</v>
      </c>
      <c r="AA121" s="21">
        <f t="shared" si="143"/>
        <v>46119</v>
      </c>
      <c r="AB121" s="21">
        <f t="shared" si="159"/>
        <v>46119</v>
      </c>
      <c r="AC121" s="21">
        <f t="shared" si="160"/>
        <v>46120</v>
      </c>
      <c r="AD121" s="21">
        <f t="shared" si="132"/>
        <v>46112</v>
      </c>
      <c r="AE121" s="21">
        <f t="shared" si="161"/>
        <v>46122</v>
      </c>
      <c r="AF121" s="21">
        <f>S121-S$2+G121*7</f>
        <v>46210</v>
      </c>
    </row>
    <row r="122" spans="1:32" x14ac:dyDescent="0.25">
      <c r="A122" s="18"/>
      <c r="B122" s="18"/>
      <c r="C122" s="30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0"/>
      <c r="S122" s="21"/>
      <c r="T122" s="21"/>
      <c r="U122" s="21"/>
      <c r="V122" s="115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 spans="1:32" x14ac:dyDescent="0.25">
      <c r="A123" s="18"/>
      <c r="B123" s="18"/>
      <c r="C123" s="30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0"/>
      <c r="S123" s="21"/>
      <c r="T123" s="21"/>
      <c r="U123" s="21"/>
      <c r="V123" s="115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 spans="1:32" x14ac:dyDescent="0.25">
      <c r="A124" s="18"/>
      <c r="B124" s="18"/>
      <c r="C124" s="30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0"/>
      <c r="S124" s="21"/>
      <c r="T124" s="21"/>
      <c r="U124" s="21"/>
      <c r="V124" s="115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 spans="1:32" x14ac:dyDescent="0.25">
      <c r="A125" s="18"/>
      <c r="B125" s="18"/>
      <c r="C125" s="30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0"/>
      <c r="S125" s="21"/>
      <c r="T125" s="21"/>
      <c r="U125" s="21"/>
      <c r="V125" s="115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 spans="1:32" x14ac:dyDescent="0.25">
      <c r="A126" s="18"/>
      <c r="B126" s="18"/>
      <c r="C126" s="30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0"/>
      <c r="S126" s="21"/>
      <c r="T126" s="21"/>
      <c r="U126" s="21"/>
      <c r="V126" s="115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 spans="1:32" x14ac:dyDescent="0.25">
      <c r="A127" s="18"/>
      <c r="B127" s="18"/>
      <c r="C127" s="30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0"/>
      <c r="S127" s="21"/>
      <c r="T127" s="21"/>
      <c r="U127" s="21"/>
      <c r="V127" s="115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 spans="1:32" x14ac:dyDescent="0.25">
      <c r="A128" s="18"/>
      <c r="B128" s="18"/>
      <c r="C128" s="30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0"/>
      <c r="S128" s="21"/>
      <c r="T128" s="21"/>
      <c r="U128" s="21"/>
      <c r="V128" s="115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 spans="1:32" x14ac:dyDescent="0.25">
      <c r="A129" s="18"/>
      <c r="B129" s="18"/>
      <c r="C129" s="30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0"/>
      <c r="S129" s="21"/>
      <c r="T129" s="21"/>
      <c r="U129" s="21"/>
      <c r="V129" s="115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 spans="1:32" x14ac:dyDescent="0.25">
      <c r="A130" s="18"/>
      <c r="B130" s="18"/>
      <c r="C130" s="30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0"/>
      <c r="S130" s="21"/>
      <c r="T130" s="21"/>
      <c r="U130" s="21"/>
      <c r="V130" s="115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 spans="1:32" x14ac:dyDescent="0.25">
      <c r="A131" s="18"/>
      <c r="B131" s="18"/>
      <c r="C131" s="30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0"/>
      <c r="S131" s="21"/>
      <c r="T131" s="21"/>
      <c r="U131" s="21"/>
      <c r="V131" s="115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 spans="1:32" x14ac:dyDescent="0.25">
      <c r="A132" s="18"/>
      <c r="B132" s="18"/>
      <c r="C132" s="30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0"/>
      <c r="S132" s="21"/>
      <c r="T132" s="21"/>
      <c r="U132" s="21"/>
      <c r="V132" s="115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 spans="1:32" x14ac:dyDescent="0.25">
      <c r="A133" s="18"/>
      <c r="B133" s="18"/>
      <c r="C133" s="30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0"/>
      <c r="S133" s="21"/>
      <c r="T133" s="21"/>
      <c r="U133" s="21"/>
      <c r="V133" s="115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</sheetData>
  <mergeCells count="1">
    <mergeCell ref="D2:G2"/>
  </mergeCells>
  <phoneticPr fontId="16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04C8-94F3-4A59-B2D2-D58B923DDE78}">
  <dimension ref="A1:AE133"/>
  <sheetViews>
    <sheetView workbookViewId="0">
      <pane xSplit="3" ySplit="4" topLeftCell="K5" activePane="bottomRight" state="frozen"/>
      <selection pane="topRight" activeCell="D1" sqref="D1"/>
      <selection pane="bottomLeft" activeCell="A4" sqref="A4"/>
      <selection pane="bottomRight" sqref="A1:AE1048576"/>
    </sheetView>
  </sheetViews>
  <sheetFormatPr defaultRowHeight="15" x14ac:dyDescent="0.25"/>
  <cols>
    <col min="1" max="1" width="12.28515625" customWidth="1"/>
    <col min="2" max="2" width="14.140625" customWidth="1"/>
    <col min="3" max="3" width="9.28515625" bestFit="1" customWidth="1"/>
    <col min="4" max="4" width="10.85546875" bestFit="1" customWidth="1"/>
    <col min="5" max="5" width="11.28515625" customWidth="1"/>
    <col min="6" max="6" width="12.7109375" customWidth="1"/>
    <col min="7" max="8" width="9.28515625" bestFit="1" customWidth="1"/>
    <col min="9" max="9" width="12" customWidth="1"/>
    <col min="10" max="10" width="10.85546875" bestFit="1" customWidth="1"/>
    <col min="11" max="12" width="10.85546875" customWidth="1"/>
    <col min="13" max="13" width="10.28515625" customWidth="1"/>
    <col min="14" max="14" width="10.5703125" customWidth="1"/>
    <col min="15" max="15" width="10.28515625" customWidth="1"/>
    <col min="16" max="16" width="10.5703125" customWidth="1"/>
    <col min="17" max="18" width="10.42578125" bestFit="1" customWidth="1"/>
    <col min="19" max="19" width="2.7109375" customWidth="1"/>
    <col min="20" max="21" width="10.42578125" bestFit="1" customWidth="1"/>
    <col min="22" max="22" width="11" customWidth="1"/>
    <col min="23" max="23" width="10.85546875" customWidth="1"/>
    <col min="24" max="24" width="11.85546875" bestFit="1" customWidth="1"/>
    <col min="25" max="25" width="10.85546875" customWidth="1"/>
    <col min="26" max="26" width="10.42578125" customWidth="1"/>
    <col min="27" max="27" width="10.28515625" customWidth="1"/>
    <col min="28" max="29" width="10.42578125" customWidth="1"/>
    <col min="30" max="30" width="10.140625" customWidth="1"/>
    <col min="31" max="31" width="10.7109375" customWidth="1"/>
  </cols>
  <sheetData>
    <row r="1" spans="1:31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</row>
    <row r="2" spans="1:31" x14ac:dyDescent="0.25">
      <c r="C2" t="s">
        <v>30</v>
      </c>
      <c r="D2" s="131" t="s">
        <v>399</v>
      </c>
      <c r="E2" s="131"/>
      <c r="F2" s="131"/>
      <c r="G2" s="131"/>
      <c r="H2" s="131"/>
      <c r="I2" t="s">
        <v>45</v>
      </c>
      <c r="J2" s="22">
        <v>14</v>
      </c>
      <c r="K2" s="22">
        <v>7</v>
      </c>
      <c r="L2" s="22">
        <v>7</v>
      </c>
      <c r="M2" s="22">
        <v>7</v>
      </c>
      <c r="N2" s="22">
        <v>7</v>
      </c>
      <c r="O2" s="22">
        <v>7</v>
      </c>
      <c r="P2" s="22">
        <v>7</v>
      </c>
      <c r="Q2">
        <f>7*12</f>
        <v>84</v>
      </c>
      <c r="R2">
        <v>2</v>
      </c>
      <c r="T2">
        <v>5</v>
      </c>
      <c r="U2">
        <v>1</v>
      </c>
      <c r="V2">
        <v>7</v>
      </c>
      <c r="W2">
        <v>7</v>
      </c>
      <c r="X2">
        <v>21</v>
      </c>
      <c r="Y2">
        <v>21</v>
      </c>
      <c r="Z2">
        <v>2</v>
      </c>
      <c r="AA2">
        <v>14</v>
      </c>
      <c r="AB2">
        <v>7</v>
      </c>
      <c r="AC2">
        <v>14</v>
      </c>
      <c r="AD2">
        <v>2</v>
      </c>
    </row>
    <row r="3" spans="1:31" s="24" customFormat="1" ht="12" x14ac:dyDescent="0.2">
      <c r="D3" s="25"/>
      <c r="E3" s="25"/>
      <c r="F3" s="25"/>
      <c r="G3" s="25"/>
      <c r="H3" s="25"/>
      <c r="I3" s="24" t="s">
        <v>385</v>
      </c>
      <c r="J3" s="26"/>
      <c r="K3" s="26"/>
      <c r="L3" s="26"/>
      <c r="M3" s="26"/>
      <c r="N3" s="26"/>
      <c r="O3" s="26"/>
      <c r="P3" s="26"/>
    </row>
    <row r="4" spans="1:31" ht="31.5" x14ac:dyDescent="0.25">
      <c r="A4" s="17" t="s">
        <v>28</v>
      </c>
      <c r="B4" s="29" t="s">
        <v>7</v>
      </c>
      <c r="C4" s="19" t="s">
        <v>384</v>
      </c>
      <c r="D4" s="107" t="s">
        <v>387</v>
      </c>
      <c r="E4" s="107" t="s">
        <v>388</v>
      </c>
      <c r="F4" s="107" t="s">
        <v>389</v>
      </c>
      <c r="G4" s="1" t="s">
        <v>386</v>
      </c>
      <c r="H4" s="107" t="s">
        <v>392</v>
      </c>
      <c r="I4" s="14" t="s">
        <v>38</v>
      </c>
      <c r="J4" s="23" t="s">
        <v>35</v>
      </c>
      <c r="K4" s="23" t="s">
        <v>36</v>
      </c>
      <c r="L4" s="23" t="s">
        <v>35</v>
      </c>
      <c r="M4" s="23" t="s">
        <v>36</v>
      </c>
      <c r="N4" s="23" t="s">
        <v>35</v>
      </c>
      <c r="O4" s="23" t="s">
        <v>36</v>
      </c>
      <c r="P4" s="23" t="s">
        <v>35</v>
      </c>
      <c r="Q4" s="14" t="s">
        <v>24</v>
      </c>
      <c r="R4" s="14" t="s">
        <v>27</v>
      </c>
      <c r="S4" s="7"/>
      <c r="T4" s="14" t="s">
        <v>20</v>
      </c>
      <c r="U4" s="14" t="s">
        <v>11</v>
      </c>
      <c r="V4" s="14" t="s">
        <v>17</v>
      </c>
      <c r="W4" s="14" t="s">
        <v>22</v>
      </c>
      <c r="X4" s="14" t="s">
        <v>18</v>
      </c>
      <c r="Y4" s="14" t="s">
        <v>21</v>
      </c>
      <c r="Z4" s="14" t="s">
        <v>19</v>
      </c>
      <c r="AA4" s="14" t="s">
        <v>25</v>
      </c>
      <c r="AB4" s="14" t="s">
        <v>381</v>
      </c>
      <c r="AC4" s="14" t="s">
        <v>404</v>
      </c>
      <c r="AD4" s="14" t="s">
        <v>37</v>
      </c>
      <c r="AE4" s="14" t="s">
        <v>384</v>
      </c>
    </row>
    <row r="5" spans="1:31" x14ac:dyDescent="0.25">
      <c r="A5" s="18" t="s">
        <v>313</v>
      </c>
      <c r="B5" s="18" t="s">
        <v>314</v>
      </c>
      <c r="C5" s="30">
        <v>46076</v>
      </c>
      <c r="D5">
        <v>2</v>
      </c>
      <c r="E5">
        <v>1</v>
      </c>
      <c r="F5">
        <v>1</v>
      </c>
      <c r="G5">
        <v>0</v>
      </c>
      <c r="H5">
        <v>1</v>
      </c>
      <c r="I5" s="21">
        <f>J5-21</f>
        <v>45876</v>
      </c>
      <c r="J5" s="21">
        <f t="shared" ref="J5:M5" si="0">K5-J$2</f>
        <v>45897</v>
      </c>
      <c r="K5" s="21">
        <f t="shared" si="0"/>
        <v>45911</v>
      </c>
      <c r="L5" s="21">
        <f t="shared" si="0"/>
        <v>45918</v>
      </c>
      <c r="M5" s="21">
        <f t="shared" si="0"/>
        <v>45925</v>
      </c>
      <c r="N5" s="21">
        <f>O5-N$2</f>
        <v>45932</v>
      </c>
      <c r="O5" s="21">
        <f>P5-$O$2</f>
        <v>45939</v>
      </c>
      <c r="P5" s="21">
        <f>R5-2</f>
        <v>45946</v>
      </c>
      <c r="Q5" s="21">
        <f>AD5-$Q$2</f>
        <v>45950</v>
      </c>
      <c r="R5" s="21">
        <f>Q5-$R$2</f>
        <v>45948</v>
      </c>
      <c r="S5" s="20"/>
      <c r="T5" s="21">
        <f>V5-$T$2</f>
        <v>45987</v>
      </c>
      <c r="U5" s="21">
        <f>T5+$U$2</f>
        <v>45988</v>
      </c>
      <c r="V5" s="21">
        <f>W5-$V$2</f>
        <v>45992</v>
      </c>
      <c r="W5" s="21">
        <f>X5-$W$2</f>
        <v>45999</v>
      </c>
      <c r="X5" s="21">
        <f>Y5-$X$2</f>
        <v>46006</v>
      </c>
      <c r="Y5" s="21">
        <f>AB5</f>
        <v>46027</v>
      </c>
      <c r="Z5" s="21">
        <f>AA5-$Z$2</f>
        <v>46011</v>
      </c>
      <c r="AA5" s="21">
        <f>AB5-$AA$2</f>
        <v>46013</v>
      </c>
      <c r="AB5" s="21">
        <f>AD5-$AB$2</f>
        <v>46027</v>
      </c>
      <c r="AC5" s="21">
        <f>V5+AC$2</f>
        <v>46006</v>
      </c>
      <c r="AD5" s="21">
        <f>AE5-(SUM(D5:H5)*7)-7</f>
        <v>46034</v>
      </c>
      <c r="AE5" s="21">
        <f>C5</f>
        <v>46076</v>
      </c>
    </row>
    <row r="6" spans="1:31" x14ac:dyDescent="0.25">
      <c r="A6" s="18" t="s">
        <v>390</v>
      </c>
      <c r="B6" s="18" t="s">
        <v>391</v>
      </c>
      <c r="C6" s="30">
        <v>46076</v>
      </c>
      <c r="D6">
        <v>1</v>
      </c>
      <c r="E6">
        <v>0</v>
      </c>
      <c r="F6">
        <v>0</v>
      </c>
      <c r="G6">
        <v>0</v>
      </c>
      <c r="H6">
        <v>1</v>
      </c>
      <c r="I6" s="21">
        <f t="shared" ref="I6:I60" si="1">J6-21</f>
        <v>45897</v>
      </c>
      <c r="J6" s="21">
        <f t="shared" ref="J6:M6" si="2">K6-J$2</f>
        <v>45918</v>
      </c>
      <c r="K6" s="21">
        <f t="shared" si="2"/>
        <v>45932</v>
      </c>
      <c r="L6" s="21">
        <f t="shared" si="2"/>
        <v>45939</v>
      </c>
      <c r="M6" s="21">
        <f t="shared" si="2"/>
        <v>45946</v>
      </c>
      <c r="N6" s="21">
        <f t="shared" ref="N6:N60" si="3">O6-N$2</f>
        <v>45953</v>
      </c>
      <c r="O6" s="21">
        <f t="shared" ref="O6:O60" si="4">P6-$O$2</f>
        <v>45960</v>
      </c>
      <c r="P6" s="21">
        <f t="shared" ref="P6:P34" si="5">R6-2</f>
        <v>45967</v>
      </c>
      <c r="Q6" s="21">
        <f t="shared" ref="Q6:Q34" si="6">AD6-$Q$2</f>
        <v>45971</v>
      </c>
      <c r="R6" s="21">
        <f t="shared" ref="R6:R60" si="7">Q6-$R$2</f>
        <v>45969</v>
      </c>
      <c r="S6" s="20"/>
      <c r="T6" s="21">
        <f t="shared" ref="T6:T34" si="8">V6-$T$2</f>
        <v>46008</v>
      </c>
      <c r="U6" s="21">
        <f t="shared" ref="U6:U60" si="9">T6+$U$2</f>
        <v>46009</v>
      </c>
      <c r="V6" s="21">
        <f t="shared" ref="V6:V60" si="10">W6-$V$2</f>
        <v>46013</v>
      </c>
      <c r="W6" s="21">
        <f t="shared" ref="W6:W60" si="11">X6-$W$2</f>
        <v>46020</v>
      </c>
      <c r="X6" s="21">
        <f t="shared" ref="X6:X60" si="12">Y6-$X$2</f>
        <v>46027</v>
      </c>
      <c r="Y6" s="21">
        <f t="shared" ref="Y6:Y34" si="13">AB6</f>
        <v>46048</v>
      </c>
      <c r="Z6" s="21">
        <f t="shared" ref="Z6:Z60" si="14">AA6-$Z$2</f>
        <v>46032</v>
      </c>
      <c r="AA6" s="21">
        <f t="shared" ref="AA6:AA19" si="15">AB6-$AA$2</f>
        <v>46034</v>
      </c>
      <c r="AB6" s="21">
        <f t="shared" ref="AB6:AB60" si="16">AD6-$AB$2</f>
        <v>46048</v>
      </c>
      <c r="AC6" s="21">
        <f t="shared" ref="AC6:AC19" si="17">V6+AC$2</f>
        <v>46027</v>
      </c>
      <c r="AD6" s="21">
        <f t="shared" ref="AD6:AD60" si="18">AE6-(SUM(D6:H6)*7)-7</f>
        <v>46055</v>
      </c>
      <c r="AE6" s="21">
        <f t="shared" ref="AE6:AE34" si="19">C6</f>
        <v>46076</v>
      </c>
    </row>
    <row r="7" spans="1:31" x14ac:dyDescent="0.25">
      <c r="A7" s="18" t="s">
        <v>247</v>
      </c>
      <c r="B7" s="18" t="s">
        <v>87</v>
      </c>
      <c r="C7" s="30">
        <v>46083</v>
      </c>
      <c r="D7">
        <v>1</v>
      </c>
      <c r="E7">
        <v>0</v>
      </c>
      <c r="F7">
        <v>0</v>
      </c>
      <c r="G7">
        <v>1</v>
      </c>
      <c r="H7">
        <v>1</v>
      </c>
      <c r="I7" s="21">
        <f t="shared" si="1"/>
        <v>45897</v>
      </c>
      <c r="J7" s="21">
        <f t="shared" ref="J7:M7" si="20">K7-J$2</f>
        <v>45918</v>
      </c>
      <c r="K7" s="21">
        <f t="shared" si="20"/>
        <v>45932</v>
      </c>
      <c r="L7" s="21">
        <f t="shared" si="20"/>
        <v>45939</v>
      </c>
      <c r="M7" s="21">
        <f t="shared" si="20"/>
        <v>45946</v>
      </c>
      <c r="N7" s="21">
        <f t="shared" si="3"/>
        <v>45953</v>
      </c>
      <c r="O7" s="21">
        <f t="shared" si="4"/>
        <v>45960</v>
      </c>
      <c r="P7" s="21">
        <f t="shared" si="5"/>
        <v>45967</v>
      </c>
      <c r="Q7" s="21">
        <f t="shared" si="6"/>
        <v>45971</v>
      </c>
      <c r="R7" s="21">
        <f t="shared" si="7"/>
        <v>45969</v>
      </c>
      <c r="S7" s="20"/>
      <c r="T7" s="21">
        <f t="shared" si="8"/>
        <v>46008</v>
      </c>
      <c r="U7" s="21">
        <f t="shared" si="9"/>
        <v>46009</v>
      </c>
      <c r="V7" s="21">
        <f t="shared" si="10"/>
        <v>46013</v>
      </c>
      <c r="W7" s="21">
        <f t="shared" si="11"/>
        <v>46020</v>
      </c>
      <c r="X7" s="21">
        <f t="shared" si="12"/>
        <v>46027</v>
      </c>
      <c r="Y7" s="21">
        <f t="shared" si="13"/>
        <v>46048</v>
      </c>
      <c r="Z7" s="21">
        <f t="shared" si="14"/>
        <v>46032</v>
      </c>
      <c r="AA7" s="21">
        <f t="shared" si="15"/>
        <v>46034</v>
      </c>
      <c r="AB7" s="21">
        <f t="shared" si="16"/>
        <v>46048</v>
      </c>
      <c r="AC7" s="21">
        <f t="shared" si="17"/>
        <v>46027</v>
      </c>
      <c r="AD7" s="21">
        <f t="shared" si="18"/>
        <v>46055</v>
      </c>
      <c r="AE7" s="21">
        <f t="shared" si="19"/>
        <v>46083</v>
      </c>
    </row>
    <row r="8" spans="1:31" x14ac:dyDescent="0.25">
      <c r="A8" s="18" t="s">
        <v>319</v>
      </c>
      <c r="B8" s="18" t="s">
        <v>322</v>
      </c>
      <c r="C8" s="30">
        <v>46083</v>
      </c>
      <c r="D8">
        <v>4</v>
      </c>
      <c r="E8">
        <v>0</v>
      </c>
      <c r="F8">
        <v>0</v>
      </c>
      <c r="G8">
        <v>1</v>
      </c>
      <c r="H8">
        <v>1</v>
      </c>
      <c r="I8" s="21">
        <f t="shared" si="1"/>
        <v>45876</v>
      </c>
      <c r="J8" s="21">
        <f t="shared" ref="J8:M8" si="21">K8-J$2</f>
        <v>45897</v>
      </c>
      <c r="K8" s="21">
        <f t="shared" si="21"/>
        <v>45911</v>
      </c>
      <c r="L8" s="21">
        <f t="shared" si="21"/>
        <v>45918</v>
      </c>
      <c r="M8" s="21">
        <f t="shared" si="21"/>
        <v>45925</v>
      </c>
      <c r="N8" s="21">
        <f t="shared" si="3"/>
        <v>45932</v>
      </c>
      <c r="O8" s="21">
        <f t="shared" si="4"/>
        <v>45939</v>
      </c>
      <c r="P8" s="21">
        <f t="shared" si="5"/>
        <v>45946</v>
      </c>
      <c r="Q8" s="21">
        <f t="shared" si="6"/>
        <v>45950</v>
      </c>
      <c r="R8" s="21">
        <f t="shared" si="7"/>
        <v>45948</v>
      </c>
      <c r="S8" s="20"/>
      <c r="T8" s="21">
        <f t="shared" si="8"/>
        <v>45987</v>
      </c>
      <c r="U8" s="21">
        <f t="shared" si="9"/>
        <v>45988</v>
      </c>
      <c r="V8" s="21">
        <f t="shared" si="10"/>
        <v>45992</v>
      </c>
      <c r="W8" s="21">
        <f t="shared" si="11"/>
        <v>45999</v>
      </c>
      <c r="X8" s="21">
        <f t="shared" si="12"/>
        <v>46006</v>
      </c>
      <c r="Y8" s="21">
        <f t="shared" si="13"/>
        <v>46027</v>
      </c>
      <c r="Z8" s="21">
        <f t="shared" si="14"/>
        <v>46011</v>
      </c>
      <c r="AA8" s="21">
        <f t="shared" si="15"/>
        <v>46013</v>
      </c>
      <c r="AB8" s="21">
        <f t="shared" si="16"/>
        <v>46027</v>
      </c>
      <c r="AC8" s="21">
        <f t="shared" si="17"/>
        <v>46006</v>
      </c>
      <c r="AD8" s="21">
        <f t="shared" si="18"/>
        <v>46034</v>
      </c>
      <c r="AE8" s="21">
        <f t="shared" si="19"/>
        <v>46083</v>
      </c>
    </row>
    <row r="9" spans="1:31" x14ac:dyDescent="0.25">
      <c r="A9" s="18" t="s">
        <v>243</v>
      </c>
      <c r="B9" s="18" t="s">
        <v>87</v>
      </c>
      <c r="C9" s="30">
        <v>46090</v>
      </c>
      <c r="D9">
        <v>4</v>
      </c>
      <c r="E9">
        <v>1</v>
      </c>
      <c r="F9">
        <v>0</v>
      </c>
      <c r="G9">
        <v>1</v>
      </c>
      <c r="H9">
        <v>1</v>
      </c>
      <c r="I9" s="21">
        <f t="shared" si="1"/>
        <v>45876</v>
      </c>
      <c r="J9" s="21">
        <f t="shared" ref="J9:M9" si="22">K9-J$2</f>
        <v>45897</v>
      </c>
      <c r="K9" s="21">
        <f t="shared" si="22"/>
        <v>45911</v>
      </c>
      <c r="L9" s="21">
        <f t="shared" si="22"/>
        <v>45918</v>
      </c>
      <c r="M9" s="21">
        <f t="shared" si="22"/>
        <v>45925</v>
      </c>
      <c r="N9" s="21">
        <f t="shared" si="3"/>
        <v>45932</v>
      </c>
      <c r="O9" s="21">
        <f t="shared" si="4"/>
        <v>45939</v>
      </c>
      <c r="P9" s="21">
        <f t="shared" si="5"/>
        <v>45946</v>
      </c>
      <c r="Q9" s="21">
        <f t="shared" si="6"/>
        <v>45950</v>
      </c>
      <c r="R9" s="21">
        <f t="shared" si="7"/>
        <v>45948</v>
      </c>
      <c r="S9" s="20"/>
      <c r="T9" s="21">
        <f t="shared" si="8"/>
        <v>45987</v>
      </c>
      <c r="U9" s="21">
        <f t="shared" si="9"/>
        <v>45988</v>
      </c>
      <c r="V9" s="21">
        <f t="shared" si="10"/>
        <v>45992</v>
      </c>
      <c r="W9" s="21">
        <f t="shared" si="11"/>
        <v>45999</v>
      </c>
      <c r="X9" s="21">
        <f t="shared" si="12"/>
        <v>46006</v>
      </c>
      <c r="Y9" s="21">
        <f t="shared" si="13"/>
        <v>46027</v>
      </c>
      <c r="Z9" s="21">
        <f t="shared" si="14"/>
        <v>46011</v>
      </c>
      <c r="AA9" s="21">
        <f t="shared" si="15"/>
        <v>46013</v>
      </c>
      <c r="AB9" s="21">
        <f t="shared" si="16"/>
        <v>46027</v>
      </c>
      <c r="AC9" s="21">
        <f t="shared" si="17"/>
        <v>46006</v>
      </c>
      <c r="AD9" s="21">
        <f t="shared" si="18"/>
        <v>46034</v>
      </c>
      <c r="AE9" s="21">
        <f t="shared" si="19"/>
        <v>46090</v>
      </c>
    </row>
    <row r="10" spans="1:31" x14ac:dyDescent="0.25">
      <c r="A10" s="18" t="s">
        <v>291</v>
      </c>
      <c r="B10" s="18" t="s">
        <v>393</v>
      </c>
      <c r="C10" s="30">
        <v>46090</v>
      </c>
      <c r="D10">
        <v>4</v>
      </c>
      <c r="E10">
        <v>1</v>
      </c>
      <c r="F10">
        <v>1</v>
      </c>
      <c r="G10">
        <v>0</v>
      </c>
      <c r="H10">
        <v>1</v>
      </c>
      <c r="I10" s="21">
        <f t="shared" si="1"/>
        <v>45876</v>
      </c>
      <c r="J10" s="21">
        <f t="shared" ref="J10:M10" si="23">K10-J$2</f>
        <v>45897</v>
      </c>
      <c r="K10" s="21">
        <f t="shared" si="23"/>
        <v>45911</v>
      </c>
      <c r="L10" s="21">
        <f t="shared" si="23"/>
        <v>45918</v>
      </c>
      <c r="M10" s="21">
        <f t="shared" si="23"/>
        <v>45925</v>
      </c>
      <c r="N10" s="21">
        <f t="shared" si="3"/>
        <v>45932</v>
      </c>
      <c r="O10" s="21">
        <f t="shared" si="4"/>
        <v>45939</v>
      </c>
      <c r="P10" s="21">
        <f t="shared" si="5"/>
        <v>45946</v>
      </c>
      <c r="Q10" s="21">
        <f t="shared" si="6"/>
        <v>45950</v>
      </c>
      <c r="R10" s="21">
        <f t="shared" si="7"/>
        <v>45948</v>
      </c>
      <c r="S10" s="20"/>
      <c r="T10" s="21">
        <f t="shared" si="8"/>
        <v>45987</v>
      </c>
      <c r="U10" s="21">
        <f t="shared" si="9"/>
        <v>45988</v>
      </c>
      <c r="V10" s="21">
        <f t="shared" si="10"/>
        <v>45992</v>
      </c>
      <c r="W10" s="21">
        <f t="shared" si="11"/>
        <v>45999</v>
      </c>
      <c r="X10" s="21">
        <f t="shared" si="12"/>
        <v>46006</v>
      </c>
      <c r="Y10" s="21">
        <f t="shared" si="13"/>
        <v>46027</v>
      </c>
      <c r="Z10" s="21">
        <f t="shared" si="14"/>
        <v>46011</v>
      </c>
      <c r="AA10" s="21">
        <f t="shared" si="15"/>
        <v>46013</v>
      </c>
      <c r="AB10" s="21">
        <f t="shared" si="16"/>
        <v>46027</v>
      </c>
      <c r="AC10" s="21">
        <f t="shared" si="17"/>
        <v>46006</v>
      </c>
      <c r="AD10" s="21">
        <f t="shared" si="18"/>
        <v>46034</v>
      </c>
      <c r="AE10" s="21">
        <f t="shared" si="19"/>
        <v>46090</v>
      </c>
    </row>
    <row r="11" spans="1:31" x14ac:dyDescent="0.25">
      <c r="A11" s="18" t="s">
        <v>292</v>
      </c>
      <c r="B11" s="18" t="s">
        <v>393</v>
      </c>
      <c r="C11" s="30">
        <v>46090</v>
      </c>
      <c r="D11">
        <v>4</v>
      </c>
      <c r="E11">
        <v>1</v>
      </c>
      <c r="F11">
        <v>1</v>
      </c>
      <c r="G11">
        <v>0</v>
      </c>
      <c r="H11">
        <v>1</v>
      </c>
      <c r="I11" s="21">
        <f t="shared" si="1"/>
        <v>45876</v>
      </c>
      <c r="J11" s="21">
        <f t="shared" ref="J11:M11" si="24">K11-J$2</f>
        <v>45897</v>
      </c>
      <c r="K11" s="21">
        <f t="shared" si="24"/>
        <v>45911</v>
      </c>
      <c r="L11" s="21">
        <f t="shared" si="24"/>
        <v>45918</v>
      </c>
      <c r="M11" s="21">
        <f t="shared" si="24"/>
        <v>45925</v>
      </c>
      <c r="N11" s="21">
        <f t="shared" si="3"/>
        <v>45932</v>
      </c>
      <c r="O11" s="21">
        <f t="shared" si="4"/>
        <v>45939</v>
      </c>
      <c r="P11" s="21">
        <f t="shared" si="5"/>
        <v>45946</v>
      </c>
      <c r="Q11" s="21">
        <f t="shared" si="6"/>
        <v>45950</v>
      </c>
      <c r="R11" s="21">
        <f t="shared" si="7"/>
        <v>45948</v>
      </c>
      <c r="S11" s="20"/>
      <c r="T11" s="21">
        <f t="shared" si="8"/>
        <v>45987</v>
      </c>
      <c r="U11" s="21">
        <f t="shared" si="9"/>
        <v>45988</v>
      </c>
      <c r="V11" s="21">
        <f t="shared" si="10"/>
        <v>45992</v>
      </c>
      <c r="W11" s="21">
        <f t="shared" si="11"/>
        <v>45999</v>
      </c>
      <c r="X11" s="21">
        <f t="shared" si="12"/>
        <v>46006</v>
      </c>
      <c r="Y11" s="21">
        <f t="shared" si="13"/>
        <v>46027</v>
      </c>
      <c r="Z11" s="21">
        <f t="shared" si="14"/>
        <v>46011</v>
      </c>
      <c r="AA11" s="21">
        <f t="shared" si="15"/>
        <v>46013</v>
      </c>
      <c r="AB11" s="21">
        <f t="shared" si="16"/>
        <v>46027</v>
      </c>
      <c r="AC11" s="21">
        <f t="shared" si="17"/>
        <v>46006</v>
      </c>
      <c r="AD11" s="21">
        <f t="shared" si="18"/>
        <v>46034</v>
      </c>
      <c r="AE11" s="21">
        <f t="shared" si="19"/>
        <v>46090</v>
      </c>
    </row>
    <row r="12" spans="1:31" x14ac:dyDescent="0.25">
      <c r="A12" s="18" t="s">
        <v>331</v>
      </c>
      <c r="B12" s="18" t="s">
        <v>394</v>
      </c>
      <c r="C12" s="30">
        <v>46090</v>
      </c>
      <c r="D12">
        <v>3</v>
      </c>
      <c r="E12">
        <v>1</v>
      </c>
      <c r="F12">
        <v>0</v>
      </c>
      <c r="G12">
        <v>1</v>
      </c>
      <c r="H12">
        <v>1</v>
      </c>
      <c r="I12" s="21">
        <f t="shared" si="1"/>
        <v>45883</v>
      </c>
      <c r="J12" s="21">
        <f t="shared" ref="J12:M12" si="25">K12-J$2</f>
        <v>45904</v>
      </c>
      <c r="K12" s="21">
        <f t="shared" si="25"/>
        <v>45918</v>
      </c>
      <c r="L12" s="21">
        <f t="shared" si="25"/>
        <v>45925</v>
      </c>
      <c r="M12" s="21">
        <f t="shared" si="25"/>
        <v>45932</v>
      </c>
      <c r="N12" s="21">
        <f t="shared" si="3"/>
        <v>45939</v>
      </c>
      <c r="O12" s="21">
        <f t="shared" si="4"/>
        <v>45946</v>
      </c>
      <c r="P12" s="21">
        <f t="shared" si="5"/>
        <v>45953</v>
      </c>
      <c r="Q12" s="21">
        <f t="shared" si="6"/>
        <v>45957</v>
      </c>
      <c r="R12" s="21">
        <f t="shared" si="7"/>
        <v>45955</v>
      </c>
      <c r="S12" s="20"/>
      <c r="T12" s="21">
        <f t="shared" si="8"/>
        <v>46039</v>
      </c>
      <c r="U12" s="21">
        <f t="shared" si="9"/>
        <v>46040</v>
      </c>
      <c r="V12" s="21">
        <f t="shared" si="10"/>
        <v>46044</v>
      </c>
      <c r="W12" s="21">
        <f t="shared" si="11"/>
        <v>46051</v>
      </c>
      <c r="X12" s="21">
        <f t="shared" si="12"/>
        <v>46058</v>
      </c>
      <c r="Y12" s="21">
        <v>46079</v>
      </c>
      <c r="Z12" s="21">
        <f t="shared" si="14"/>
        <v>46018</v>
      </c>
      <c r="AA12" s="21">
        <f t="shared" si="15"/>
        <v>46020</v>
      </c>
      <c r="AB12" s="21">
        <f t="shared" si="16"/>
        <v>46034</v>
      </c>
      <c r="AC12" s="21">
        <f t="shared" si="17"/>
        <v>46058</v>
      </c>
      <c r="AD12" s="21">
        <f t="shared" si="18"/>
        <v>46041</v>
      </c>
      <c r="AE12" s="21">
        <f t="shared" si="19"/>
        <v>46090</v>
      </c>
    </row>
    <row r="13" spans="1:31" x14ac:dyDescent="0.25">
      <c r="A13" s="18" t="s">
        <v>333</v>
      </c>
      <c r="B13" s="18" t="s">
        <v>395</v>
      </c>
      <c r="C13" s="30">
        <v>46090</v>
      </c>
      <c r="D13">
        <v>3</v>
      </c>
      <c r="E13">
        <v>1</v>
      </c>
      <c r="F13">
        <v>0</v>
      </c>
      <c r="G13">
        <v>1</v>
      </c>
      <c r="H13">
        <v>1</v>
      </c>
      <c r="I13" s="21">
        <f t="shared" si="1"/>
        <v>45883</v>
      </c>
      <c r="J13" s="21">
        <f t="shared" ref="J13:M13" si="26">K13-J$2</f>
        <v>45904</v>
      </c>
      <c r="K13" s="21">
        <f t="shared" si="26"/>
        <v>45918</v>
      </c>
      <c r="L13" s="21">
        <f t="shared" si="26"/>
        <v>45925</v>
      </c>
      <c r="M13" s="21">
        <f t="shared" si="26"/>
        <v>45932</v>
      </c>
      <c r="N13" s="21">
        <f t="shared" si="3"/>
        <v>45939</v>
      </c>
      <c r="O13" s="21">
        <f t="shared" si="4"/>
        <v>45946</v>
      </c>
      <c r="P13" s="21">
        <f t="shared" si="5"/>
        <v>45953</v>
      </c>
      <c r="Q13" s="21">
        <f t="shared" si="6"/>
        <v>45957</v>
      </c>
      <c r="R13" s="21">
        <f t="shared" si="7"/>
        <v>45955</v>
      </c>
      <c r="S13" s="20"/>
      <c r="T13" s="21">
        <f t="shared" si="8"/>
        <v>45994</v>
      </c>
      <c r="U13" s="21">
        <f t="shared" si="9"/>
        <v>45995</v>
      </c>
      <c r="V13" s="21">
        <f t="shared" si="10"/>
        <v>45999</v>
      </c>
      <c r="W13" s="21">
        <f t="shared" si="11"/>
        <v>46006</v>
      </c>
      <c r="X13" s="21">
        <f t="shared" si="12"/>
        <v>46013</v>
      </c>
      <c r="Y13" s="21">
        <f t="shared" si="13"/>
        <v>46034</v>
      </c>
      <c r="Z13" s="21">
        <f t="shared" si="14"/>
        <v>46018</v>
      </c>
      <c r="AA13" s="21">
        <f t="shared" si="15"/>
        <v>46020</v>
      </c>
      <c r="AB13" s="21">
        <f t="shared" si="16"/>
        <v>46034</v>
      </c>
      <c r="AC13" s="21">
        <f t="shared" si="17"/>
        <v>46013</v>
      </c>
      <c r="AD13" s="21">
        <f t="shared" si="18"/>
        <v>46041</v>
      </c>
      <c r="AE13" s="21">
        <f t="shared" si="19"/>
        <v>46090</v>
      </c>
    </row>
    <row r="14" spans="1:31" x14ac:dyDescent="0.25">
      <c r="A14" s="18" t="s">
        <v>325</v>
      </c>
      <c r="B14" s="18" t="s">
        <v>113</v>
      </c>
      <c r="C14" s="30">
        <v>46111</v>
      </c>
      <c r="D14">
        <v>3</v>
      </c>
      <c r="E14">
        <v>1</v>
      </c>
      <c r="F14">
        <v>0</v>
      </c>
      <c r="G14">
        <v>0</v>
      </c>
      <c r="H14">
        <v>1</v>
      </c>
      <c r="I14" s="21">
        <f t="shared" si="1"/>
        <v>45911</v>
      </c>
      <c r="J14" s="21">
        <f t="shared" ref="J14:M14" si="27">K14-J$2</f>
        <v>45932</v>
      </c>
      <c r="K14" s="21">
        <f t="shared" si="27"/>
        <v>45946</v>
      </c>
      <c r="L14" s="21">
        <f t="shared" si="27"/>
        <v>45953</v>
      </c>
      <c r="M14" s="21">
        <f t="shared" si="27"/>
        <v>45960</v>
      </c>
      <c r="N14" s="21">
        <f t="shared" si="3"/>
        <v>45967</v>
      </c>
      <c r="O14" s="21">
        <f t="shared" si="4"/>
        <v>45974</v>
      </c>
      <c r="P14" s="21">
        <f t="shared" si="5"/>
        <v>45981</v>
      </c>
      <c r="Q14" s="21">
        <f t="shared" si="6"/>
        <v>45985</v>
      </c>
      <c r="R14" s="21">
        <f t="shared" si="7"/>
        <v>45983</v>
      </c>
      <c r="S14" s="20"/>
      <c r="T14" s="21">
        <f t="shared" si="8"/>
        <v>46022</v>
      </c>
      <c r="U14" s="21">
        <f t="shared" si="9"/>
        <v>46023</v>
      </c>
      <c r="V14" s="21">
        <f t="shared" si="10"/>
        <v>46027</v>
      </c>
      <c r="W14" s="21">
        <f t="shared" si="11"/>
        <v>46034</v>
      </c>
      <c r="X14" s="21">
        <f t="shared" si="12"/>
        <v>46041</v>
      </c>
      <c r="Y14" s="21">
        <f t="shared" si="13"/>
        <v>46062</v>
      </c>
      <c r="Z14" s="21">
        <f t="shared" si="14"/>
        <v>46046</v>
      </c>
      <c r="AA14" s="21">
        <f t="shared" si="15"/>
        <v>46048</v>
      </c>
      <c r="AB14" s="21">
        <f t="shared" si="16"/>
        <v>46062</v>
      </c>
      <c r="AC14" s="21">
        <f t="shared" si="17"/>
        <v>46041</v>
      </c>
      <c r="AD14" s="21">
        <f t="shared" si="18"/>
        <v>46069</v>
      </c>
      <c r="AE14" s="21">
        <f t="shared" si="19"/>
        <v>46111</v>
      </c>
    </row>
    <row r="15" spans="1:31" x14ac:dyDescent="0.25">
      <c r="A15" s="18" t="s">
        <v>326</v>
      </c>
      <c r="B15" s="18" t="s">
        <v>113</v>
      </c>
      <c r="C15" s="30">
        <v>46111</v>
      </c>
      <c r="D15">
        <v>3</v>
      </c>
      <c r="E15">
        <v>1</v>
      </c>
      <c r="F15">
        <v>0</v>
      </c>
      <c r="G15">
        <v>0</v>
      </c>
      <c r="H15">
        <v>1</v>
      </c>
      <c r="I15" s="21">
        <f t="shared" si="1"/>
        <v>45911</v>
      </c>
      <c r="J15" s="21">
        <f t="shared" ref="J15:M15" si="28">K15-J$2</f>
        <v>45932</v>
      </c>
      <c r="K15" s="21">
        <f t="shared" si="28"/>
        <v>45946</v>
      </c>
      <c r="L15" s="21">
        <f t="shared" si="28"/>
        <v>45953</v>
      </c>
      <c r="M15" s="21">
        <f t="shared" si="28"/>
        <v>45960</v>
      </c>
      <c r="N15" s="21">
        <f t="shared" si="3"/>
        <v>45967</v>
      </c>
      <c r="O15" s="21">
        <f t="shared" si="4"/>
        <v>45974</v>
      </c>
      <c r="P15" s="21">
        <f t="shared" si="5"/>
        <v>45981</v>
      </c>
      <c r="Q15" s="21">
        <f t="shared" si="6"/>
        <v>45985</v>
      </c>
      <c r="R15" s="21">
        <f t="shared" si="7"/>
        <v>45983</v>
      </c>
      <c r="S15" s="20"/>
      <c r="T15" s="21">
        <f t="shared" si="8"/>
        <v>46022</v>
      </c>
      <c r="U15" s="21">
        <f t="shared" si="9"/>
        <v>46023</v>
      </c>
      <c r="V15" s="21">
        <f t="shared" si="10"/>
        <v>46027</v>
      </c>
      <c r="W15" s="21">
        <f t="shared" si="11"/>
        <v>46034</v>
      </c>
      <c r="X15" s="21">
        <f t="shared" si="12"/>
        <v>46041</v>
      </c>
      <c r="Y15" s="21">
        <f t="shared" si="13"/>
        <v>46062</v>
      </c>
      <c r="Z15" s="21">
        <f t="shared" si="14"/>
        <v>46046</v>
      </c>
      <c r="AA15" s="21">
        <f t="shared" si="15"/>
        <v>46048</v>
      </c>
      <c r="AB15" s="21">
        <f t="shared" si="16"/>
        <v>46062</v>
      </c>
      <c r="AC15" s="21">
        <f t="shared" si="17"/>
        <v>46041</v>
      </c>
      <c r="AD15" s="21">
        <f t="shared" si="18"/>
        <v>46069</v>
      </c>
      <c r="AE15" s="21">
        <f t="shared" si="19"/>
        <v>46111</v>
      </c>
    </row>
    <row r="16" spans="1:31" x14ac:dyDescent="0.25">
      <c r="A16" s="18" t="s">
        <v>269</v>
      </c>
      <c r="B16" s="18" t="s">
        <v>396</v>
      </c>
      <c r="C16" s="30">
        <v>46111</v>
      </c>
      <c r="D16">
        <v>3</v>
      </c>
      <c r="E16">
        <v>1</v>
      </c>
      <c r="F16">
        <v>0</v>
      </c>
      <c r="G16">
        <v>1</v>
      </c>
      <c r="H16">
        <v>1</v>
      </c>
      <c r="I16" s="21">
        <f t="shared" si="1"/>
        <v>45904</v>
      </c>
      <c r="J16" s="21">
        <f t="shared" ref="J16:M16" si="29">K16-J$2</f>
        <v>45925</v>
      </c>
      <c r="K16" s="21">
        <f t="shared" si="29"/>
        <v>45939</v>
      </c>
      <c r="L16" s="21">
        <f t="shared" si="29"/>
        <v>45946</v>
      </c>
      <c r="M16" s="21">
        <f t="shared" si="29"/>
        <v>45953</v>
      </c>
      <c r="N16" s="21">
        <f t="shared" si="3"/>
        <v>45960</v>
      </c>
      <c r="O16" s="21">
        <f t="shared" si="4"/>
        <v>45967</v>
      </c>
      <c r="P16" s="21">
        <f t="shared" si="5"/>
        <v>45974</v>
      </c>
      <c r="Q16" s="21">
        <f t="shared" si="6"/>
        <v>45978</v>
      </c>
      <c r="R16" s="21">
        <f t="shared" si="7"/>
        <v>45976</v>
      </c>
      <c r="S16" s="20"/>
      <c r="T16" s="21">
        <f t="shared" si="8"/>
        <v>46015</v>
      </c>
      <c r="U16" s="21">
        <f t="shared" si="9"/>
        <v>46016</v>
      </c>
      <c r="V16" s="21">
        <f t="shared" si="10"/>
        <v>46020</v>
      </c>
      <c r="W16" s="21">
        <f t="shared" si="11"/>
        <v>46027</v>
      </c>
      <c r="X16" s="21">
        <f t="shared" si="12"/>
        <v>46034</v>
      </c>
      <c r="Y16" s="21">
        <f t="shared" si="13"/>
        <v>46055</v>
      </c>
      <c r="Z16" s="21">
        <f t="shared" si="14"/>
        <v>46039</v>
      </c>
      <c r="AA16" s="21">
        <f t="shared" si="15"/>
        <v>46041</v>
      </c>
      <c r="AB16" s="21">
        <f t="shared" si="16"/>
        <v>46055</v>
      </c>
      <c r="AC16" s="21">
        <f t="shared" si="17"/>
        <v>46034</v>
      </c>
      <c r="AD16" s="21">
        <f t="shared" si="18"/>
        <v>46062</v>
      </c>
      <c r="AE16" s="21">
        <f t="shared" si="19"/>
        <v>46111</v>
      </c>
    </row>
    <row r="17" spans="1:31" x14ac:dyDescent="0.25">
      <c r="A17" s="18" t="s">
        <v>311</v>
      </c>
      <c r="B17" s="18" t="s">
        <v>312</v>
      </c>
      <c r="C17" s="30">
        <v>46118</v>
      </c>
      <c r="D17">
        <v>4</v>
      </c>
      <c r="E17">
        <v>1</v>
      </c>
      <c r="F17">
        <v>0</v>
      </c>
      <c r="G17">
        <v>1</v>
      </c>
      <c r="H17">
        <v>1</v>
      </c>
      <c r="I17" s="21">
        <f t="shared" si="1"/>
        <v>45904</v>
      </c>
      <c r="J17" s="21">
        <f t="shared" ref="J17:M17" si="30">K17-J$2</f>
        <v>45925</v>
      </c>
      <c r="K17" s="21">
        <f t="shared" si="30"/>
        <v>45939</v>
      </c>
      <c r="L17" s="21">
        <f t="shared" si="30"/>
        <v>45946</v>
      </c>
      <c r="M17" s="21">
        <f t="shared" si="30"/>
        <v>45953</v>
      </c>
      <c r="N17" s="21">
        <f t="shared" si="3"/>
        <v>45960</v>
      </c>
      <c r="O17" s="21">
        <f t="shared" si="4"/>
        <v>45967</v>
      </c>
      <c r="P17" s="21">
        <f t="shared" si="5"/>
        <v>45974</v>
      </c>
      <c r="Q17" s="21">
        <f t="shared" si="6"/>
        <v>45978</v>
      </c>
      <c r="R17" s="21">
        <f t="shared" si="7"/>
        <v>45976</v>
      </c>
      <c r="S17" s="20"/>
      <c r="T17" s="21">
        <f t="shared" si="8"/>
        <v>46015</v>
      </c>
      <c r="U17" s="21">
        <f t="shared" si="9"/>
        <v>46016</v>
      </c>
      <c r="V17" s="21">
        <f t="shared" si="10"/>
        <v>46020</v>
      </c>
      <c r="W17" s="21">
        <f t="shared" si="11"/>
        <v>46027</v>
      </c>
      <c r="X17" s="21">
        <f t="shared" si="12"/>
        <v>46034</v>
      </c>
      <c r="Y17" s="21">
        <f t="shared" si="13"/>
        <v>46055</v>
      </c>
      <c r="Z17" s="21">
        <f t="shared" si="14"/>
        <v>46039</v>
      </c>
      <c r="AA17" s="21">
        <f t="shared" si="15"/>
        <v>46041</v>
      </c>
      <c r="AB17" s="21">
        <f t="shared" si="16"/>
        <v>46055</v>
      </c>
      <c r="AC17" s="21">
        <f t="shared" si="17"/>
        <v>46034</v>
      </c>
      <c r="AD17" s="21">
        <f t="shared" si="18"/>
        <v>46062</v>
      </c>
      <c r="AE17" s="21">
        <f t="shared" si="19"/>
        <v>46118</v>
      </c>
    </row>
    <row r="18" spans="1:31" x14ac:dyDescent="0.25">
      <c r="A18" s="18" t="s">
        <v>293</v>
      </c>
      <c r="B18" s="18" t="s">
        <v>393</v>
      </c>
      <c r="C18" s="30">
        <v>46118</v>
      </c>
      <c r="D18">
        <v>5</v>
      </c>
      <c r="E18">
        <v>1</v>
      </c>
      <c r="F18">
        <v>1</v>
      </c>
      <c r="G18">
        <v>0</v>
      </c>
      <c r="H18">
        <v>1</v>
      </c>
      <c r="I18" s="21">
        <f t="shared" si="1"/>
        <v>45897</v>
      </c>
      <c r="J18" s="21">
        <f t="shared" ref="J18:M18" si="31">K18-J$2</f>
        <v>45918</v>
      </c>
      <c r="K18" s="21">
        <f t="shared" si="31"/>
        <v>45932</v>
      </c>
      <c r="L18" s="21">
        <f t="shared" si="31"/>
        <v>45939</v>
      </c>
      <c r="M18" s="21">
        <f t="shared" si="31"/>
        <v>45946</v>
      </c>
      <c r="N18" s="21">
        <f t="shared" si="3"/>
        <v>45953</v>
      </c>
      <c r="O18" s="21">
        <f t="shared" si="4"/>
        <v>45960</v>
      </c>
      <c r="P18" s="21">
        <f t="shared" si="5"/>
        <v>45967</v>
      </c>
      <c r="Q18" s="21">
        <f t="shared" si="6"/>
        <v>45971</v>
      </c>
      <c r="R18" s="21">
        <f t="shared" si="7"/>
        <v>45969</v>
      </c>
      <c r="S18" s="20"/>
      <c r="T18" s="21">
        <f t="shared" si="8"/>
        <v>46008</v>
      </c>
      <c r="U18" s="21">
        <f t="shared" si="9"/>
        <v>46009</v>
      </c>
      <c r="V18" s="21">
        <f t="shared" si="10"/>
        <v>46013</v>
      </c>
      <c r="W18" s="21">
        <f t="shared" si="11"/>
        <v>46020</v>
      </c>
      <c r="X18" s="21">
        <f t="shared" si="12"/>
        <v>46027</v>
      </c>
      <c r="Y18" s="21">
        <f t="shared" si="13"/>
        <v>46048</v>
      </c>
      <c r="Z18" s="21">
        <f t="shared" si="14"/>
        <v>46032</v>
      </c>
      <c r="AA18" s="21">
        <f t="shared" si="15"/>
        <v>46034</v>
      </c>
      <c r="AB18" s="21">
        <f t="shared" si="16"/>
        <v>46048</v>
      </c>
      <c r="AC18" s="21">
        <f t="shared" si="17"/>
        <v>46027</v>
      </c>
      <c r="AD18" s="21">
        <f t="shared" si="18"/>
        <v>46055</v>
      </c>
      <c r="AE18" s="21">
        <f t="shared" si="19"/>
        <v>46118</v>
      </c>
    </row>
    <row r="19" spans="1:31" x14ac:dyDescent="0.25">
      <c r="A19" s="18" t="s">
        <v>294</v>
      </c>
      <c r="B19" s="18" t="s">
        <v>393</v>
      </c>
      <c r="C19" s="30">
        <v>46118</v>
      </c>
      <c r="D19">
        <v>5</v>
      </c>
      <c r="E19">
        <v>1</v>
      </c>
      <c r="F19">
        <v>1</v>
      </c>
      <c r="G19">
        <v>0</v>
      </c>
      <c r="H19">
        <v>1</v>
      </c>
      <c r="I19" s="21">
        <f t="shared" si="1"/>
        <v>45897</v>
      </c>
      <c r="J19" s="21">
        <f t="shared" ref="J19:M19" si="32">K19-J$2</f>
        <v>45918</v>
      </c>
      <c r="K19" s="21">
        <f t="shared" si="32"/>
        <v>45932</v>
      </c>
      <c r="L19" s="21">
        <f t="shared" si="32"/>
        <v>45939</v>
      </c>
      <c r="M19" s="21">
        <f t="shared" si="32"/>
        <v>45946</v>
      </c>
      <c r="N19" s="21">
        <f t="shared" si="3"/>
        <v>45953</v>
      </c>
      <c r="O19" s="21">
        <f t="shared" si="4"/>
        <v>45960</v>
      </c>
      <c r="P19" s="21">
        <f t="shared" si="5"/>
        <v>45967</v>
      </c>
      <c r="Q19" s="21">
        <f t="shared" si="6"/>
        <v>45971</v>
      </c>
      <c r="R19" s="21">
        <f t="shared" si="7"/>
        <v>45969</v>
      </c>
      <c r="S19" s="20"/>
      <c r="T19" s="21">
        <f t="shared" si="8"/>
        <v>46008</v>
      </c>
      <c r="U19" s="21">
        <f t="shared" si="9"/>
        <v>46009</v>
      </c>
      <c r="V19" s="21">
        <f t="shared" si="10"/>
        <v>46013</v>
      </c>
      <c r="W19" s="21">
        <f t="shared" si="11"/>
        <v>46020</v>
      </c>
      <c r="X19" s="21">
        <f t="shared" si="12"/>
        <v>46027</v>
      </c>
      <c r="Y19" s="21">
        <f t="shared" si="13"/>
        <v>46048</v>
      </c>
      <c r="Z19" s="21">
        <f t="shared" si="14"/>
        <v>46032</v>
      </c>
      <c r="AA19" s="21">
        <f t="shared" si="15"/>
        <v>46034</v>
      </c>
      <c r="AB19" s="21">
        <f t="shared" si="16"/>
        <v>46048</v>
      </c>
      <c r="AC19" s="21">
        <f t="shared" si="17"/>
        <v>46027</v>
      </c>
      <c r="AD19" s="21">
        <f t="shared" si="18"/>
        <v>46055</v>
      </c>
      <c r="AE19" s="21">
        <f t="shared" si="19"/>
        <v>46118</v>
      </c>
    </row>
    <row r="20" spans="1:31" x14ac:dyDescent="0.25">
      <c r="A20" s="18" t="s">
        <v>350</v>
      </c>
      <c r="B20" s="18" t="s">
        <v>351</v>
      </c>
      <c r="C20" s="30">
        <v>46118</v>
      </c>
      <c r="D20">
        <v>4</v>
      </c>
      <c r="E20">
        <v>1</v>
      </c>
      <c r="F20">
        <v>0</v>
      </c>
      <c r="G20">
        <v>1</v>
      </c>
      <c r="H20">
        <v>1</v>
      </c>
      <c r="I20" s="21">
        <f t="shared" si="1"/>
        <v>45904</v>
      </c>
      <c r="J20" s="21">
        <f t="shared" ref="J20:M20" si="33">K20-J$2</f>
        <v>45925</v>
      </c>
      <c r="K20" s="21">
        <f t="shared" si="33"/>
        <v>45939</v>
      </c>
      <c r="L20" s="21">
        <f t="shared" si="33"/>
        <v>45946</v>
      </c>
      <c r="M20" s="21">
        <f t="shared" si="33"/>
        <v>45953</v>
      </c>
      <c r="N20" s="21">
        <f t="shared" si="3"/>
        <v>45960</v>
      </c>
      <c r="O20" s="21">
        <f t="shared" si="4"/>
        <v>45967</v>
      </c>
      <c r="P20" s="21">
        <f t="shared" si="5"/>
        <v>45974</v>
      </c>
      <c r="Q20" s="21">
        <f t="shared" si="6"/>
        <v>45978</v>
      </c>
      <c r="R20" s="21">
        <f t="shared" si="7"/>
        <v>45976</v>
      </c>
      <c r="S20" s="20"/>
      <c r="T20" s="21">
        <f t="shared" si="8"/>
        <v>46015</v>
      </c>
      <c r="U20" s="21">
        <f t="shared" si="9"/>
        <v>46016</v>
      </c>
      <c r="V20" s="21">
        <f t="shared" si="10"/>
        <v>46020</v>
      </c>
      <c r="W20" s="21">
        <f t="shared" si="11"/>
        <v>46027</v>
      </c>
      <c r="X20" s="21">
        <f t="shared" si="12"/>
        <v>46034</v>
      </c>
      <c r="Y20" s="21">
        <f t="shared" si="13"/>
        <v>46055</v>
      </c>
      <c r="Z20" s="21">
        <f t="shared" si="14"/>
        <v>46046</v>
      </c>
      <c r="AA20" s="21">
        <f>AD20-$AA$2</f>
        <v>46048</v>
      </c>
      <c r="AB20" s="21">
        <f t="shared" si="16"/>
        <v>46055</v>
      </c>
      <c r="AC20" s="21">
        <f>AD20-$AC$2</f>
        <v>46048</v>
      </c>
      <c r="AD20" s="21">
        <f t="shared" si="18"/>
        <v>46062</v>
      </c>
      <c r="AE20" s="21">
        <f t="shared" si="19"/>
        <v>46118</v>
      </c>
    </row>
    <row r="21" spans="1:31" x14ac:dyDescent="0.25">
      <c r="A21" s="18" t="s">
        <v>237</v>
      </c>
      <c r="B21" s="18" t="s">
        <v>397</v>
      </c>
      <c r="C21" s="30">
        <v>46128</v>
      </c>
      <c r="D21">
        <v>4</v>
      </c>
      <c r="E21">
        <v>1</v>
      </c>
      <c r="F21">
        <v>0</v>
      </c>
      <c r="G21">
        <v>1</v>
      </c>
      <c r="H21">
        <v>1</v>
      </c>
      <c r="I21" s="21">
        <f t="shared" si="1"/>
        <v>45914</v>
      </c>
      <c r="J21" s="21">
        <f t="shared" ref="J21:M21" si="34">K21-J$2</f>
        <v>45935</v>
      </c>
      <c r="K21" s="21">
        <f t="shared" si="34"/>
        <v>45949</v>
      </c>
      <c r="L21" s="21">
        <f t="shared" si="34"/>
        <v>45956</v>
      </c>
      <c r="M21" s="21">
        <f t="shared" si="34"/>
        <v>45963</v>
      </c>
      <c r="N21" s="21">
        <f t="shared" si="3"/>
        <v>45970</v>
      </c>
      <c r="O21" s="21">
        <f t="shared" si="4"/>
        <v>45977</v>
      </c>
      <c r="P21" s="21">
        <f t="shared" si="5"/>
        <v>45984</v>
      </c>
      <c r="Q21" s="21">
        <f t="shared" si="6"/>
        <v>45988</v>
      </c>
      <c r="R21" s="21">
        <f t="shared" si="7"/>
        <v>45986</v>
      </c>
      <c r="S21" s="20"/>
      <c r="T21" s="21">
        <f t="shared" si="8"/>
        <v>46025</v>
      </c>
      <c r="U21" s="21">
        <f t="shared" si="9"/>
        <v>46026</v>
      </c>
      <c r="V21" s="21">
        <f t="shared" si="10"/>
        <v>46030</v>
      </c>
      <c r="W21" s="21">
        <f t="shared" si="11"/>
        <v>46037</v>
      </c>
      <c r="X21" s="21">
        <f t="shared" si="12"/>
        <v>46044</v>
      </c>
      <c r="Y21" s="21">
        <f t="shared" si="13"/>
        <v>46065</v>
      </c>
      <c r="Z21" s="21">
        <f t="shared" si="14"/>
        <v>46056</v>
      </c>
      <c r="AA21" s="21">
        <f t="shared" ref="AA21:AA60" si="35">AD21-$AA$2</f>
        <v>46058</v>
      </c>
      <c r="AB21" s="21">
        <f t="shared" si="16"/>
        <v>46065</v>
      </c>
      <c r="AC21" s="21">
        <f t="shared" ref="AC21:AC60" si="36">AD21-$AC$2</f>
        <v>46058</v>
      </c>
      <c r="AD21" s="21">
        <f t="shared" si="18"/>
        <v>46072</v>
      </c>
      <c r="AE21" s="21">
        <f t="shared" si="19"/>
        <v>46128</v>
      </c>
    </row>
    <row r="22" spans="1:31" x14ac:dyDescent="0.25">
      <c r="A22" s="18" t="s">
        <v>295</v>
      </c>
      <c r="B22" s="18" t="s">
        <v>393</v>
      </c>
      <c r="C22" s="30">
        <v>46139</v>
      </c>
      <c r="D22">
        <v>6</v>
      </c>
      <c r="E22">
        <v>1</v>
      </c>
      <c r="F22">
        <v>1</v>
      </c>
      <c r="G22">
        <v>0</v>
      </c>
      <c r="H22">
        <v>1</v>
      </c>
      <c r="I22" s="21">
        <f t="shared" si="1"/>
        <v>45911</v>
      </c>
      <c r="J22" s="21">
        <f t="shared" ref="J22:M22" si="37">K22-J$2</f>
        <v>45932</v>
      </c>
      <c r="K22" s="21">
        <f t="shared" si="37"/>
        <v>45946</v>
      </c>
      <c r="L22" s="21">
        <f t="shared" si="37"/>
        <v>45953</v>
      </c>
      <c r="M22" s="21">
        <f t="shared" si="37"/>
        <v>45960</v>
      </c>
      <c r="N22" s="21">
        <f t="shared" si="3"/>
        <v>45967</v>
      </c>
      <c r="O22" s="21">
        <f t="shared" si="4"/>
        <v>45974</v>
      </c>
      <c r="P22" s="21">
        <f t="shared" si="5"/>
        <v>45981</v>
      </c>
      <c r="Q22" s="21">
        <f t="shared" si="6"/>
        <v>45985</v>
      </c>
      <c r="R22" s="21">
        <f t="shared" si="7"/>
        <v>45983</v>
      </c>
      <c r="S22" s="20"/>
      <c r="T22" s="21">
        <f t="shared" si="8"/>
        <v>46022</v>
      </c>
      <c r="U22" s="21">
        <f t="shared" si="9"/>
        <v>46023</v>
      </c>
      <c r="V22" s="21">
        <f t="shared" si="10"/>
        <v>46027</v>
      </c>
      <c r="W22" s="21">
        <f t="shared" si="11"/>
        <v>46034</v>
      </c>
      <c r="X22" s="21">
        <f t="shared" si="12"/>
        <v>46041</v>
      </c>
      <c r="Y22" s="21">
        <f t="shared" si="13"/>
        <v>46062</v>
      </c>
      <c r="Z22" s="21">
        <f t="shared" si="14"/>
        <v>46053</v>
      </c>
      <c r="AA22" s="21">
        <f t="shared" si="35"/>
        <v>46055</v>
      </c>
      <c r="AB22" s="21">
        <f t="shared" si="16"/>
        <v>46062</v>
      </c>
      <c r="AC22" s="21">
        <f t="shared" si="36"/>
        <v>46055</v>
      </c>
      <c r="AD22" s="21">
        <f t="shared" si="18"/>
        <v>46069</v>
      </c>
      <c r="AE22" s="21">
        <f t="shared" si="19"/>
        <v>46139</v>
      </c>
    </row>
    <row r="23" spans="1:31" x14ac:dyDescent="0.25">
      <c r="A23" s="18" t="s">
        <v>296</v>
      </c>
      <c r="B23" s="18" t="s">
        <v>393</v>
      </c>
      <c r="C23" s="30">
        <v>46139</v>
      </c>
      <c r="D23">
        <v>6</v>
      </c>
      <c r="E23">
        <v>1</v>
      </c>
      <c r="F23">
        <v>1</v>
      </c>
      <c r="G23">
        <v>0</v>
      </c>
      <c r="H23">
        <v>1</v>
      </c>
      <c r="I23" s="21">
        <f t="shared" si="1"/>
        <v>45911</v>
      </c>
      <c r="J23" s="21">
        <f t="shared" ref="J23:M23" si="38">K23-J$2</f>
        <v>45932</v>
      </c>
      <c r="K23" s="21">
        <f t="shared" si="38"/>
        <v>45946</v>
      </c>
      <c r="L23" s="21">
        <f t="shared" si="38"/>
        <v>45953</v>
      </c>
      <c r="M23" s="21">
        <f t="shared" si="38"/>
        <v>45960</v>
      </c>
      <c r="N23" s="21">
        <f t="shared" si="3"/>
        <v>45967</v>
      </c>
      <c r="O23" s="21">
        <f t="shared" si="4"/>
        <v>45974</v>
      </c>
      <c r="P23" s="21">
        <f t="shared" si="5"/>
        <v>45981</v>
      </c>
      <c r="Q23" s="21">
        <f t="shared" si="6"/>
        <v>45985</v>
      </c>
      <c r="R23" s="21">
        <f t="shared" si="7"/>
        <v>45983</v>
      </c>
      <c r="S23" s="20"/>
      <c r="T23" s="21">
        <f t="shared" si="8"/>
        <v>46022</v>
      </c>
      <c r="U23" s="21">
        <f t="shared" si="9"/>
        <v>46023</v>
      </c>
      <c r="V23" s="21">
        <f t="shared" si="10"/>
        <v>46027</v>
      </c>
      <c r="W23" s="21">
        <f t="shared" si="11"/>
        <v>46034</v>
      </c>
      <c r="X23" s="21">
        <f t="shared" si="12"/>
        <v>46041</v>
      </c>
      <c r="Y23" s="21">
        <f t="shared" si="13"/>
        <v>46062</v>
      </c>
      <c r="Z23" s="21">
        <f t="shared" si="14"/>
        <v>46053</v>
      </c>
      <c r="AA23" s="21">
        <f t="shared" si="35"/>
        <v>46055</v>
      </c>
      <c r="AB23" s="21">
        <f t="shared" si="16"/>
        <v>46062</v>
      </c>
      <c r="AC23" s="21">
        <f t="shared" si="36"/>
        <v>46055</v>
      </c>
      <c r="AD23" s="21">
        <f t="shared" si="18"/>
        <v>46069</v>
      </c>
      <c r="AE23" s="21">
        <f t="shared" si="19"/>
        <v>46139</v>
      </c>
    </row>
    <row r="24" spans="1:31" x14ac:dyDescent="0.25">
      <c r="A24" s="18" t="s">
        <v>352</v>
      </c>
      <c r="B24" s="18" t="s">
        <v>351</v>
      </c>
      <c r="C24" s="30">
        <v>46139</v>
      </c>
      <c r="D24">
        <v>4</v>
      </c>
      <c r="E24">
        <v>1</v>
      </c>
      <c r="F24">
        <v>0</v>
      </c>
      <c r="G24">
        <v>1</v>
      </c>
      <c r="H24">
        <v>1</v>
      </c>
      <c r="I24" s="21">
        <f t="shared" si="1"/>
        <v>45925</v>
      </c>
      <c r="J24" s="21">
        <f t="shared" ref="J24:M24" si="39">K24-J$2</f>
        <v>45946</v>
      </c>
      <c r="K24" s="21">
        <f t="shared" si="39"/>
        <v>45960</v>
      </c>
      <c r="L24" s="21">
        <f t="shared" si="39"/>
        <v>45967</v>
      </c>
      <c r="M24" s="21">
        <f t="shared" si="39"/>
        <v>45974</v>
      </c>
      <c r="N24" s="21">
        <f t="shared" si="3"/>
        <v>45981</v>
      </c>
      <c r="O24" s="21">
        <f t="shared" si="4"/>
        <v>45988</v>
      </c>
      <c r="P24" s="21">
        <f t="shared" si="5"/>
        <v>45995</v>
      </c>
      <c r="Q24" s="21">
        <f t="shared" si="6"/>
        <v>45999</v>
      </c>
      <c r="R24" s="21">
        <f t="shared" si="7"/>
        <v>45997</v>
      </c>
      <c r="S24" s="20"/>
      <c r="T24" s="21">
        <f t="shared" si="8"/>
        <v>46036</v>
      </c>
      <c r="U24" s="21">
        <f t="shared" si="9"/>
        <v>46037</v>
      </c>
      <c r="V24" s="21">
        <f t="shared" si="10"/>
        <v>46041</v>
      </c>
      <c r="W24" s="21">
        <f t="shared" si="11"/>
        <v>46048</v>
      </c>
      <c r="X24" s="21">
        <f t="shared" si="12"/>
        <v>46055</v>
      </c>
      <c r="Y24" s="21">
        <f t="shared" si="13"/>
        <v>46076</v>
      </c>
      <c r="Z24" s="21">
        <f t="shared" si="14"/>
        <v>46067</v>
      </c>
      <c r="AA24" s="21">
        <f t="shared" si="35"/>
        <v>46069</v>
      </c>
      <c r="AB24" s="21">
        <f t="shared" si="16"/>
        <v>46076</v>
      </c>
      <c r="AC24" s="21">
        <f t="shared" si="36"/>
        <v>46069</v>
      </c>
      <c r="AD24" s="21">
        <f t="shared" si="18"/>
        <v>46083</v>
      </c>
      <c r="AE24" s="21">
        <f t="shared" si="19"/>
        <v>46139</v>
      </c>
    </row>
    <row r="25" spans="1:31" x14ac:dyDescent="0.25">
      <c r="A25" s="18" t="s">
        <v>342</v>
      </c>
      <c r="B25" s="18" t="s">
        <v>398</v>
      </c>
      <c r="C25" s="30">
        <v>46139</v>
      </c>
      <c r="D25">
        <v>4</v>
      </c>
      <c r="E25">
        <v>1</v>
      </c>
      <c r="F25">
        <v>0</v>
      </c>
      <c r="G25">
        <v>1</v>
      </c>
      <c r="H25">
        <v>1</v>
      </c>
      <c r="I25" s="21">
        <f t="shared" si="1"/>
        <v>45925</v>
      </c>
      <c r="J25" s="21">
        <f t="shared" ref="J25:M25" si="40">K25-J$2</f>
        <v>45946</v>
      </c>
      <c r="K25" s="21">
        <f t="shared" si="40"/>
        <v>45960</v>
      </c>
      <c r="L25" s="21">
        <f t="shared" si="40"/>
        <v>45967</v>
      </c>
      <c r="M25" s="21">
        <f t="shared" si="40"/>
        <v>45974</v>
      </c>
      <c r="N25" s="21">
        <f t="shared" si="3"/>
        <v>45981</v>
      </c>
      <c r="O25" s="21">
        <f t="shared" si="4"/>
        <v>45988</v>
      </c>
      <c r="P25" s="21">
        <f t="shared" si="5"/>
        <v>45995</v>
      </c>
      <c r="Q25" s="21">
        <f t="shared" si="6"/>
        <v>45999</v>
      </c>
      <c r="R25" s="21">
        <f t="shared" si="7"/>
        <v>45997</v>
      </c>
      <c r="S25" s="20"/>
      <c r="T25" s="21">
        <f t="shared" si="8"/>
        <v>46036</v>
      </c>
      <c r="U25" s="21">
        <f t="shared" si="9"/>
        <v>46037</v>
      </c>
      <c r="V25" s="21">
        <f t="shared" si="10"/>
        <v>46041</v>
      </c>
      <c r="W25" s="21">
        <f t="shared" si="11"/>
        <v>46048</v>
      </c>
      <c r="X25" s="21">
        <f t="shared" si="12"/>
        <v>46055</v>
      </c>
      <c r="Y25" s="21">
        <f t="shared" si="13"/>
        <v>46076</v>
      </c>
      <c r="Z25" s="21">
        <f t="shared" si="14"/>
        <v>46067</v>
      </c>
      <c r="AA25" s="21">
        <f t="shared" si="35"/>
        <v>46069</v>
      </c>
      <c r="AB25" s="21">
        <f t="shared" si="16"/>
        <v>46076</v>
      </c>
      <c r="AC25" s="21">
        <f t="shared" si="36"/>
        <v>46069</v>
      </c>
      <c r="AD25" s="21">
        <f t="shared" si="18"/>
        <v>46083</v>
      </c>
      <c r="AE25" s="21">
        <f t="shared" si="19"/>
        <v>46139</v>
      </c>
    </row>
    <row r="26" spans="1:31" x14ac:dyDescent="0.25">
      <c r="A26" s="18" t="s">
        <v>335</v>
      </c>
      <c r="B26" s="18" t="s">
        <v>398</v>
      </c>
      <c r="C26" s="30">
        <v>46139</v>
      </c>
      <c r="D26">
        <v>4</v>
      </c>
      <c r="E26">
        <v>1</v>
      </c>
      <c r="F26">
        <v>0</v>
      </c>
      <c r="G26">
        <v>1</v>
      </c>
      <c r="H26">
        <v>1</v>
      </c>
      <c r="I26" s="21">
        <f t="shared" si="1"/>
        <v>45925</v>
      </c>
      <c r="J26" s="21">
        <f t="shared" ref="J26:M26" si="41">K26-J$2</f>
        <v>45946</v>
      </c>
      <c r="K26" s="21">
        <f t="shared" si="41"/>
        <v>45960</v>
      </c>
      <c r="L26" s="21">
        <f t="shared" si="41"/>
        <v>45967</v>
      </c>
      <c r="M26" s="21">
        <f t="shared" si="41"/>
        <v>45974</v>
      </c>
      <c r="N26" s="21">
        <f t="shared" si="3"/>
        <v>45981</v>
      </c>
      <c r="O26" s="21">
        <f t="shared" si="4"/>
        <v>45988</v>
      </c>
      <c r="P26" s="21">
        <f t="shared" si="5"/>
        <v>45995</v>
      </c>
      <c r="Q26" s="21">
        <f t="shared" si="6"/>
        <v>45999</v>
      </c>
      <c r="R26" s="21">
        <f t="shared" si="7"/>
        <v>45997</v>
      </c>
      <c r="S26" s="20"/>
      <c r="T26" s="21">
        <f t="shared" si="8"/>
        <v>46036</v>
      </c>
      <c r="U26" s="21">
        <f t="shared" si="9"/>
        <v>46037</v>
      </c>
      <c r="V26" s="21">
        <f t="shared" si="10"/>
        <v>46041</v>
      </c>
      <c r="W26" s="21">
        <f t="shared" si="11"/>
        <v>46048</v>
      </c>
      <c r="X26" s="21">
        <f t="shared" si="12"/>
        <v>46055</v>
      </c>
      <c r="Y26" s="21">
        <f t="shared" si="13"/>
        <v>46076</v>
      </c>
      <c r="Z26" s="21">
        <f t="shared" si="14"/>
        <v>46067</v>
      </c>
      <c r="AA26" s="21">
        <f t="shared" si="35"/>
        <v>46069</v>
      </c>
      <c r="AB26" s="21">
        <f t="shared" si="16"/>
        <v>46076</v>
      </c>
      <c r="AC26" s="21">
        <f t="shared" si="36"/>
        <v>46069</v>
      </c>
      <c r="AD26" s="21">
        <f t="shared" si="18"/>
        <v>46083</v>
      </c>
      <c r="AE26" s="21">
        <f t="shared" si="19"/>
        <v>46139</v>
      </c>
    </row>
    <row r="27" spans="1:31" x14ac:dyDescent="0.25">
      <c r="A27" s="18" t="s">
        <v>336</v>
      </c>
      <c r="B27" s="18" t="s">
        <v>398</v>
      </c>
      <c r="C27" s="30">
        <v>46139</v>
      </c>
      <c r="D27">
        <v>4</v>
      </c>
      <c r="E27">
        <v>1</v>
      </c>
      <c r="F27">
        <v>0</v>
      </c>
      <c r="G27">
        <v>1</v>
      </c>
      <c r="H27">
        <v>1</v>
      </c>
      <c r="I27" s="21">
        <f t="shared" si="1"/>
        <v>45925</v>
      </c>
      <c r="J27" s="21">
        <f t="shared" ref="J27:M27" si="42">K27-J$2</f>
        <v>45946</v>
      </c>
      <c r="K27" s="21">
        <f t="shared" si="42"/>
        <v>45960</v>
      </c>
      <c r="L27" s="21">
        <f t="shared" si="42"/>
        <v>45967</v>
      </c>
      <c r="M27" s="21">
        <f t="shared" si="42"/>
        <v>45974</v>
      </c>
      <c r="N27" s="21">
        <f t="shared" si="3"/>
        <v>45981</v>
      </c>
      <c r="O27" s="21">
        <f t="shared" si="4"/>
        <v>45988</v>
      </c>
      <c r="P27" s="21">
        <f t="shared" si="5"/>
        <v>45995</v>
      </c>
      <c r="Q27" s="21">
        <f t="shared" si="6"/>
        <v>45999</v>
      </c>
      <c r="R27" s="21">
        <f t="shared" si="7"/>
        <v>45997</v>
      </c>
      <c r="S27" s="20"/>
      <c r="T27" s="21">
        <f t="shared" si="8"/>
        <v>46036</v>
      </c>
      <c r="U27" s="21">
        <f t="shared" si="9"/>
        <v>46037</v>
      </c>
      <c r="V27" s="21">
        <f t="shared" si="10"/>
        <v>46041</v>
      </c>
      <c r="W27" s="21">
        <f t="shared" si="11"/>
        <v>46048</v>
      </c>
      <c r="X27" s="21">
        <f t="shared" si="12"/>
        <v>46055</v>
      </c>
      <c r="Y27" s="21">
        <f t="shared" si="13"/>
        <v>46076</v>
      </c>
      <c r="Z27" s="21">
        <f t="shared" si="14"/>
        <v>46067</v>
      </c>
      <c r="AA27" s="21">
        <f t="shared" si="35"/>
        <v>46069</v>
      </c>
      <c r="AB27" s="21">
        <f t="shared" si="16"/>
        <v>46076</v>
      </c>
      <c r="AC27" s="21">
        <f t="shared" si="36"/>
        <v>46069</v>
      </c>
      <c r="AD27" s="21">
        <f t="shared" si="18"/>
        <v>46083</v>
      </c>
      <c r="AE27" s="21">
        <f t="shared" si="19"/>
        <v>46139</v>
      </c>
    </row>
    <row r="28" spans="1:31" x14ac:dyDescent="0.25">
      <c r="A28" s="18" t="s">
        <v>337</v>
      </c>
      <c r="B28" s="18" t="s">
        <v>398</v>
      </c>
      <c r="C28" s="30">
        <v>46139</v>
      </c>
      <c r="D28">
        <v>4</v>
      </c>
      <c r="E28">
        <v>1</v>
      </c>
      <c r="F28">
        <v>0</v>
      </c>
      <c r="G28">
        <v>1</v>
      </c>
      <c r="H28">
        <v>1</v>
      </c>
      <c r="I28" s="21">
        <f t="shared" si="1"/>
        <v>45925</v>
      </c>
      <c r="J28" s="21">
        <f t="shared" ref="J28:M28" si="43">K28-J$2</f>
        <v>45946</v>
      </c>
      <c r="K28" s="21">
        <f t="shared" si="43"/>
        <v>45960</v>
      </c>
      <c r="L28" s="21">
        <f t="shared" si="43"/>
        <v>45967</v>
      </c>
      <c r="M28" s="21">
        <f t="shared" si="43"/>
        <v>45974</v>
      </c>
      <c r="N28" s="21">
        <f t="shared" si="3"/>
        <v>45981</v>
      </c>
      <c r="O28" s="21">
        <f t="shared" si="4"/>
        <v>45988</v>
      </c>
      <c r="P28" s="21">
        <f t="shared" si="5"/>
        <v>45995</v>
      </c>
      <c r="Q28" s="21">
        <f t="shared" si="6"/>
        <v>45999</v>
      </c>
      <c r="R28" s="21">
        <f t="shared" si="7"/>
        <v>45997</v>
      </c>
      <c r="S28" s="20"/>
      <c r="T28" s="21">
        <f t="shared" si="8"/>
        <v>46036</v>
      </c>
      <c r="U28" s="21">
        <f t="shared" si="9"/>
        <v>46037</v>
      </c>
      <c r="V28" s="21">
        <f t="shared" si="10"/>
        <v>46041</v>
      </c>
      <c r="W28" s="21">
        <f t="shared" si="11"/>
        <v>46048</v>
      </c>
      <c r="X28" s="21">
        <f t="shared" si="12"/>
        <v>46055</v>
      </c>
      <c r="Y28" s="21">
        <f t="shared" si="13"/>
        <v>46076</v>
      </c>
      <c r="Z28" s="21">
        <f t="shared" si="14"/>
        <v>46067</v>
      </c>
      <c r="AA28" s="21">
        <f t="shared" si="35"/>
        <v>46069</v>
      </c>
      <c r="AB28" s="21">
        <f t="shared" si="16"/>
        <v>46076</v>
      </c>
      <c r="AC28" s="21">
        <f t="shared" si="36"/>
        <v>46069</v>
      </c>
      <c r="AD28" s="21">
        <f t="shared" si="18"/>
        <v>46083</v>
      </c>
      <c r="AE28" s="21">
        <f t="shared" si="19"/>
        <v>46139</v>
      </c>
    </row>
    <row r="29" spans="1:31" x14ac:dyDescent="0.25">
      <c r="A29" s="18" t="s">
        <v>334</v>
      </c>
      <c r="B29" s="18" t="s">
        <v>86</v>
      </c>
      <c r="C29" s="30">
        <v>46156</v>
      </c>
      <c r="D29">
        <v>5</v>
      </c>
      <c r="E29">
        <v>1</v>
      </c>
      <c r="F29">
        <v>1</v>
      </c>
      <c r="G29">
        <v>0</v>
      </c>
      <c r="H29">
        <v>1</v>
      </c>
      <c r="I29" s="21">
        <f t="shared" si="1"/>
        <v>45935</v>
      </c>
      <c r="J29" s="21">
        <f t="shared" ref="J29:M29" si="44">K29-J$2</f>
        <v>45956</v>
      </c>
      <c r="K29" s="21">
        <f t="shared" si="44"/>
        <v>45970</v>
      </c>
      <c r="L29" s="21">
        <f t="shared" si="44"/>
        <v>45977</v>
      </c>
      <c r="M29" s="21">
        <f t="shared" si="44"/>
        <v>45984</v>
      </c>
      <c r="N29" s="21">
        <f t="shared" si="3"/>
        <v>45991</v>
      </c>
      <c r="O29" s="21">
        <f t="shared" si="4"/>
        <v>45998</v>
      </c>
      <c r="P29" s="21">
        <f t="shared" si="5"/>
        <v>46005</v>
      </c>
      <c r="Q29" s="21">
        <f t="shared" si="6"/>
        <v>46009</v>
      </c>
      <c r="R29" s="21">
        <f t="shared" si="7"/>
        <v>46007</v>
      </c>
      <c r="S29" s="20"/>
      <c r="T29" s="21">
        <f t="shared" si="8"/>
        <v>46046</v>
      </c>
      <c r="U29" s="21">
        <f t="shared" si="9"/>
        <v>46047</v>
      </c>
      <c r="V29" s="21">
        <f t="shared" si="10"/>
        <v>46051</v>
      </c>
      <c r="W29" s="21">
        <f t="shared" si="11"/>
        <v>46058</v>
      </c>
      <c r="X29" s="21">
        <f t="shared" si="12"/>
        <v>46065</v>
      </c>
      <c r="Y29" s="21">
        <f t="shared" si="13"/>
        <v>46086</v>
      </c>
      <c r="Z29" s="21">
        <f t="shared" si="14"/>
        <v>46077</v>
      </c>
      <c r="AA29" s="21">
        <f t="shared" si="35"/>
        <v>46079</v>
      </c>
      <c r="AB29" s="21">
        <f t="shared" si="16"/>
        <v>46086</v>
      </c>
      <c r="AC29" s="21">
        <f t="shared" si="36"/>
        <v>46079</v>
      </c>
      <c r="AD29" s="21">
        <f t="shared" si="18"/>
        <v>46093</v>
      </c>
      <c r="AE29" s="21">
        <f t="shared" si="19"/>
        <v>46156</v>
      </c>
    </row>
    <row r="30" spans="1:31" x14ac:dyDescent="0.25">
      <c r="A30" s="18" t="s">
        <v>348</v>
      </c>
      <c r="B30" s="18" t="s">
        <v>398</v>
      </c>
      <c r="C30" s="30">
        <v>46156</v>
      </c>
      <c r="D30">
        <v>4</v>
      </c>
      <c r="E30">
        <v>1</v>
      </c>
      <c r="F30">
        <v>0</v>
      </c>
      <c r="G30">
        <v>1</v>
      </c>
      <c r="H30">
        <v>1</v>
      </c>
      <c r="I30" s="21">
        <f t="shared" si="1"/>
        <v>45942</v>
      </c>
      <c r="J30" s="21">
        <f t="shared" ref="J30:M30" si="45">K30-J$2</f>
        <v>45963</v>
      </c>
      <c r="K30" s="21">
        <f t="shared" si="45"/>
        <v>45977</v>
      </c>
      <c r="L30" s="21">
        <f t="shared" si="45"/>
        <v>45984</v>
      </c>
      <c r="M30" s="21">
        <f t="shared" si="45"/>
        <v>45991</v>
      </c>
      <c r="N30" s="21">
        <f t="shared" si="3"/>
        <v>45998</v>
      </c>
      <c r="O30" s="21">
        <f t="shared" si="4"/>
        <v>46005</v>
      </c>
      <c r="P30" s="21">
        <f t="shared" si="5"/>
        <v>46012</v>
      </c>
      <c r="Q30" s="21">
        <f t="shared" si="6"/>
        <v>46016</v>
      </c>
      <c r="R30" s="21">
        <f t="shared" si="7"/>
        <v>46014</v>
      </c>
      <c r="S30" s="20"/>
      <c r="T30" s="21">
        <f t="shared" si="8"/>
        <v>46053</v>
      </c>
      <c r="U30" s="21">
        <f t="shared" si="9"/>
        <v>46054</v>
      </c>
      <c r="V30" s="21">
        <f t="shared" si="10"/>
        <v>46058</v>
      </c>
      <c r="W30" s="21">
        <f t="shared" si="11"/>
        <v>46065</v>
      </c>
      <c r="X30" s="21">
        <f t="shared" si="12"/>
        <v>46072</v>
      </c>
      <c r="Y30" s="21">
        <f t="shared" si="13"/>
        <v>46093</v>
      </c>
      <c r="Z30" s="21">
        <f t="shared" si="14"/>
        <v>46084</v>
      </c>
      <c r="AA30" s="21">
        <f t="shared" si="35"/>
        <v>46086</v>
      </c>
      <c r="AB30" s="21">
        <f t="shared" si="16"/>
        <v>46093</v>
      </c>
      <c r="AC30" s="21">
        <f t="shared" si="36"/>
        <v>46086</v>
      </c>
      <c r="AD30" s="21">
        <f t="shared" si="18"/>
        <v>46100</v>
      </c>
      <c r="AE30" s="21">
        <f t="shared" si="19"/>
        <v>46156</v>
      </c>
    </row>
    <row r="31" spans="1:31" x14ac:dyDescent="0.25">
      <c r="A31" s="18" t="s">
        <v>346</v>
      </c>
      <c r="B31" s="18" t="s">
        <v>398</v>
      </c>
      <c r="C31" s="30">
        <v>46156</v>
      </c>
      <c r="D31">
        <v>4</v>
      </c>
      <c r="E31">
        <v>1</v>
      </c>
      <c r="F31">
        <v>0</v>
      </c>
      <c r="G31">
        <v>1</v>
      </c>
      <c r="H31">
        <v>1</v>
      </c>
      <c r="I31" s="21">
        <f t="shared" si="1"/>
        <v>45942</v>
      </c>
      <c r="J31" s="21">
        <f t="shared" ref="J31:M31" si="46">K31-J$2</f>
        <v>45963</v>
      </c>
      <c r="K31" s="21">
        <f t="shared" si="46"/>
        <v>45977</v>
      </c>
      <c r="L31" s="21">
        <f t="shared" si="46"/>
        <v>45984</v>
      </c>
      <c r="M31" s="21">
        <f t="shared" si="46"/>
        <v>45991</v>
      </c>
      <c r="N31" s="21">
        <f t="shared" si="3"/>
        <v>45998</v>
      </c>
      <c r="O31" s="21">
        <f t="shared" si="4"/>
        <v>46005</v>
      </c>
      <c r="P31" s="21">
        <f t="shared" si="5"/>
        <v>46012</v>
      </c>
      <c r="Q31" s="21">
        <f t="shared" si="6"/>
        <v>46016</v>
      </c>
      <c r="R31" s="21">
        <f t="shared" si="7"/>
        <v>46014</v>
      </c>
      <c r="S31" s="20"/>
      <c r="T31" s="21">
        <f t="shared" si="8"/>
        <v>46053</v>
      </c>
      <c r="U31" s="21">
        <f t="shared" si="9"/>
        <v>46054</v>
      </c>
      <c r="V31" s="21">
        <f t="shared" si="10"/>
        <v>46058</v>
      </c>
      <c r="W31" s="21">
        <f t="shared" si="11"/>
        <v>46065</v>
      </c>
      <c r="X31" s="21">
        <f t="shared" si="12"/>
        <v>46072</v>
      </c>
      <c r="Y31" s="21">
        <f t="shared" si="13"/>
        <v>46093</v>
      </c>
      <c r="Z31" s="21">
        <f t="shared" si="14"/>
        <v>46084</v>
      </c>
      <c r="AA31" s="21">
        <f t="shared" si="35"/>
        <v>46086</v>
      </c>
      <c r="AB31" s="21">
        <f t="shared" si="16"/>
        <v>46093</v>
      </c>
      <c r="AC31" s="21">
        <f t="shared" si="36"/>
        <v>46086</v>
      </c>
      <c r="AD31" s="21">
        <f t="shared" si="18"/>
        <v>46100</v>
      </c>
      <c r="AE31" s="21">
        <f t="shared" si="19"/>
        <v>46156</v>
      </c>
    </row>
    <row r="32" spans="1:31" x14ac:dyDescent="0.25">
      <c r="A32" s="18" t="s">
        <v>276</v>
      </c>
      <c r="B32" s="18" t="s">
        <v>81</v>
      </c>
      <c r="C32" s="30">
        <v>46175</v>
      </c>
      <c r="D32">
        <v>4</v>
      </c>
      <c r="E32">
        <v>1</v>
      </c>
      <c r="F32">
        <v>0</v>
      </c>
      <c r="G32">
        <v>1</v>
      </c>
      <c r="H32">
        <v>1</v>
      </c>
      <c r="I32" s="21">
        <f t="shared" si="1"/>
        <v>45961</v>
      </c>
      <c r="J32" s="21">
        <f t="shared" ref="J32:M32" si="47">K32-J$2</f>
        <v>45982</v>
      </c>
      <c r="K32" s="21">
        <f t="shared" si="47"/>
        <v>45996</v>
      </c>
      <c r="L32" s="21">
        <f t="shared" si="47"/>
        <v>46003</v>
      </c>
      <c r="M32" s="21">
        <f t="shared" si="47"/>
        <v>46010</v>
      </c>
      <c r="N32" s="21">
        <f t="shared" si="3"/>
        <v>46017</v>
      </c>
      <c r="O32" s="21">
        <f t="shared" si="4"/>
        <v>46024</v>
      </c>
      <c r="P32" s="21">
        <f t="shared" si="5"/>
        <v>46031</v>
      </c>
      <c r="Q32" s="21">
        <f t="shared" si="6"/>
        <v>46035</v>
      </c>
      <c r="R32" s="21">
        <f t="shared" si="7"/>
        <v>46033</v>
      </c>
      <c r="S32" s="20"/>
      <c r="T32" s="21">
        <f t="shared" si="8"/>
        <v>46072</v>
      </c>
      <c r="U32" s="21">
        <f t="shared" si="9"/>
        <v>46073</v>
      </c>
      <c r="V32" s="21">
        <f t="shared" si="10"/>
        <v>46077</v>
      </c>
      <c r="W32" s="21">
        <f t="shared" si="11"/>
        <v>46084</v>
      </c>
      <c r="X32" s="21">
        <f t="shared" si="12"/>
        <v>46091</v>
      </c>
      <c r="Y32" s="21">
        <f t="shared" si="13"/>
        <v>46112</v>
      </c>
      <c r="Z32" s="21">
        <f t="shared" si="14"/>
        <v>46103</v>
      </c>
      <c r="AA32" s="21">
        <f t="shared" si="35"/>
        <v>46105</v>
      </c>
      <c r="AB32" s="21">
        <f t="shared" si="16"/>
        <v>46112</v>
      </c>
      <c r="AC32" s="21">
        <f t="shared" si="36"/>
        <v>46105</v>
      </c>
      <c r="AD32" s="21">
        <f t="shared" si="18"/>
        <v>46119</v>
      </c>
      <c r="AE32" s="21">
        <f t="shared" si="19"/>
        <v>46175</v>
      </c>
    </row>
    <row r="33" spans="1:31" x14ac:dyDescent="0.25">
      <c r="A33" s="18" t="s">
        <v>338</v>
      </c>
      <c r="B33" s="18" t="s">
        <v>398</v>
      </c>
      <c r="C33" s="30">
        <v>46174</v>
      </c>
      <c r="D33">
        <v>4</v>
      </c>
      <c r="E33">
        <v>1</v>
      </c>
      <c r="F33">
        <v>0</v>
      </c>
      <c r="G33">
        <v>1</v>
      </c>
      <c r="H33">
        <v>1</v>
      </c>
      <c r="I33" s="21">
        <f t="shared" si="1"/>
        <v>45960</v>
      </c>
      <c r="J33" s="21">
        <f t="shared" ref="J33:M33" si="48">K33-J$2</f>
        <v>45981</v>
      </c>
      <c r="K33" s="21">
        <f t="shared" si="48"/>
        <v>45995</v>
      </c>
      <c r="L33" s="21">
        <f t="shared" si="48"/>
        <v>46002</v>
      </c>
      <c r="M33" s="21">
        <f t="shared" si="48"/>
        <v>46009</v>
      </c>
      <c r="N33" s="21">
        <f t="shared" si="3"/>
        <v>46016</v>
      </c>
      <c r="O33" s="21">
        <f t="shared" si="4"/>
        <v>46023</v>
      </c>
      <c r="P33" s="21">
        <f t="shared" si="5"/>
        <v>46030</v>
      </c>
      <c r="Q33" s="21">
        <f t="shared" si="6"/>
        <v>46034</v>
      </c>
      <c r="R33" s="21">
        <f t="shared" si="7"/>
        <v>46032</v>
      </c>
      <c r="S33" s="20"/>
      <c r="T33" s="21">
        <f t="shared" si="8"/>
        <v>46071</v>
      </c>
      <c r="U33" s="21">
        <f t="shared" si="9"/>
        <v>46072</v>
      </c>
      <c r="V33" s="21">
        <f t="shared" si="10"/>
        <v>46076</v>
      </c>
      <c r="W33" s="21">
        <f t="shared" si="11"/>
        <v>46083</v>
      </c>
      <c r="X33" s="21">
        <f t="shared" si="12"/>
        <v>46090</v>
      </c>
      <c r="Y33" s="21">
        <f t="shared" si="13"/>
        <v>46111</v>
      </c>
      <c r="Z33" s="21">
        <f t="shared" si="14"/>
        <v>46102</v>
      </c>
      <c r="AA33" s="21">
        <f t="shared" si="35"/>
        <v>46104</v>
      </c>
      <c r="AB33" s="21">
        <f t="shared" si="16"/>
        <v>46111</v>
      </c>
      <c r="AC33" s="21">
        <f t="shared" si="36"/>
        <v>46104</v>
      </c>
      <c r="AD33" s="21">
        <f t="shared" si="18"/>
        <v>46118</v>
      </c>
      <c r="AE33" s="21">
        <f t="shared" si="19"/>
        <v>46174</v>
      </c>
    </row>
    <row r="34" spans="1:31" x14ac:dyDescent="0.25">
      <c r="A34" s="18" t="s">
        <v>339</v>
      </c>
      <c r="B34" s="18" t="s">
        <v>398</v>
      </c>
      <c r="C34" s="30">
        <v>46175</v>
      </c>
      <c r="D34">
        <v>4</v>
      </c>
      <c r="E34">
        <v>1</v>
      </c>
      <c r="F34">
        <v>0</v>
      </c>
      <c r="G34">
        <v>1</v>
      </c>
      <c r="H34">
        <v>1</v>
      </c>
      <c r="I34" s="21">
        <f t="shared" si="1"/>
        <v>45961</v>
      </c>
      <c r="J34" s="21">
        <f t="shared" ref="J34:M34" si="49">K34-J$2</f>
        <v>45982</v>
      </c>
      <c r="K34" s="21">
        <f t="shared" si="49"/>
        <v>45996</v>
      </c>
      <c r="L34" s="21">
        <f t="shared" si="49"/>
        <v>46003</v>
      </c>
      <c r="M34" s="21">
        <f t="shared" si="49"/>
        <v>46010</v>
      </c>
      <c r="N34" s="21">
        <f t="shared" si="3"/>
        <v>46017</v>
      </c>
      <c r="O34" s="21">
        <f t="shared" si="4"/>
        <v>46024</v>
      </c>
      <c r="P34" s="21">
        <f t="shared" si="5"/>
        <v>46031</v>
      </c>
      <c r="Q34" s="21">
        <f t="shared" si="6"/>
        <v>46035</v>
      </c>
      <c r="R34" s="21">
        <f t="shared" si="7"/>
        <v>46033</v>
      </c>
      <c r="S34" s="20"/>
      <c r="T34" s="21">
        <f t="shared" si="8"/>
        <v>46072</v>
      </c>
      <c r="U34" s="21">
        <f t="shared" si="9"/>
        <v>46073</v>
      </c>
      <c r="V34" s="21">
        <f t="shared" si="10"/>
        <v>46077</v>
      </c>
      <c r="W34" s="21">
        <f t="shared" si="11"/>
        <v>46084</v>
      </c>
      <c r="X34" s="21">
        <f t="shared" si="12"/>
        <v>46091</v>
      </c>
      <c r="Y34" s="21">
        <f t="shared" si="13"/>
        <v>46112</v>
      </c>
      <c r="Z34" s="21">
        <f t="shared" si="14"/>
        <v>46103</v>
      </c>
      <c r="AA34" s="21">
        <f t="shared" si="35"/>
        <v>46105</v>
      </c>
      <c r="AB34" s="21">
        <f t="shared" si="16"/>
        <v>46112</v>
      </c>
      <c r="AC34" s="21">
        <f t="shared" si="36"/>
        <v>46105</v>
      </c>
      <c r="AD34" s="21">
        <f t="shared" si="18"/>
        <v>46119</v>
      </c>
      <c r="AE34" s="21">
        <f t="shared" si="19"/>
        <v>46175</v>
      </c>
    </row>
    <row r="35" spans="1:31" x14ac:dyDescent="0.25">
      <c r="A35" s="18" t="s">
        <v>279</v>
      </c>
      <c r="B35" s="18" t="s">
        <v>401</v>
      </c>
      <c r="C35" s="30">
        <v>46168</v>
      </c>
      <c r="D35">
        <v>4</v>
      </c>
      <c r="E35">
        <v>1</v>
      </c>
      <c r="F35">
        <v>0</v>
      </c>
      <c r="G35">
        <v>1</v>
      </c>
      <c r="H35">
        <v>1</v>
      </c>
      <c r="I35" s="21">
        <f t="shared" si="1"/>
        <v>45954</v>
      </c>
      <c r="J35" s="21">
        <f t="shared" ref="J35:M35" si="50">K35-J$2</f>
        <v>45975</v>
      </c>
      <c r="K35" s="21">
        <f t="shared" si="50"/>
        <v>45989</v>
      </c>
      <c r="L35" s="21">
        <f t="shared" si="50"/>
        <v>45996</v>
      </c>
      <c r="M35" s="21">
        <f t="shared" si="50"/>
        <v>46003</v>
      </c>
      <c r="N35" s="21">
        <f t="shared" si="3"/>
        <v>46010</v>
      </c>
      <c r="O35" s="21">
        <f t="shared" si="4"/>
        <v>46017</v>
      </c>
      <c r="P35" s="21">
        <f t="shared" ref="P35:P52" si="51">R35-2</f>
        <v>46024</v>
      </c>
      <c r="Q35" s="21">
        <f t="shared" ref="Q35:Q52" si="52">AD35-$Q$2</f>
        <v>46028</v>
      </c>
      <c r="R35" s="21">
        <f t="shared" si="7"/>
        <v>46026</v>
      </c>
      <c r="S35" s="20"/>
      <c r="T35" s="21">
        <f t="shared" ref="T35:T52" si="53">V35-$T$2</f>
        <v>46065</v>
      </c>
      <c r="U35" s="21">
        <f t="shared" si="9"/>
        <v>46066</v>
      </c>
      <c r="V35" s="21">
        <f t="shared" si="10"/>
        <v>46070</v>
      </c>
      <c r="W35" s="21">
        <f t="shared" si="11"/>
        <v>46077</v>
      </c>
      <c r="X35" s="21">
        <f t="shared" si="12"/>
        <v>46084</v>
      </c>
      <c r="Y35" s="21">
        <f t="shared" ref="Y35:Y52" si="54">AB35</f>
        <v>46105</v>
      </c>
      <c r="Z35" s="21">
        <f t="shared" si="14"/>
        <v>46096</v>
      </c>
      <c r="AA35" s="21">
        <f t="shared" si="35"/>
        <v>46098</v>
      </c>
      <c r="AB35" s="21">
        <f t="shared" si="16"/>
        <v>46105</v>
      </c>
      <c r="AC35" s="21">
        <f t="shared" si="36"/>
        <v>46098</v>
      </c>
      <c r="AD35" s="21">
        <f t="shared" si="18"/>
        <v>46112</v>
      </c>
      <c r="AE35" s="21">
        <f t="shared" ref="AE35:AE52" si="55">C35</f>
        <v>46168</v>
      </c>
    </row>
    <row r="36" spans="1:31" x14ac:dyDescent="0.25">
      <c r="A36" s="18" t="s">
        <v>340</v>
      </c>
      <c r="B36" s="18" t="s">
        <v>398</v>
      </c>
      <c r="C36" s="30">
        <v>46195</v>
      </c>
      <c r="D36">
        <v>4</v>
      </c>
      <c r="E36">
        <v>1</v>
      </c>
      <c r="F36">
        <v>0</v>
      </c>
      <c r="G36">
        <v>1</v>
      </c>
      <c r="H36">
        <v>1</v>
      </c>
      <c r="I36" s="21">
        <f t="shared" si="1"/>
        <v>45981</v>
      </c>
      <c r="J36" s="21">
        <f t="shared" ref="J36:M36" si="56">K36-J$2</f>
        <v>46002</v>
      </c>
      <c r="K36" s="21">
        <f t="shared" si="56"/>
        <v>46016</v>
      </c>
      <c r="L36" s="21">
        <f t="shared" si="56"/>
        <v>46023</v>
      </c>
      <c r="M36" s="21">
        <f t="shared" si="56"/>
        <v>46030</v>
      </c>
      <c r="N36" s="21">
        <f t="shared" si="3"/>
        <v>46037</v>
      </c>
      <c r="O36" s="21">
        <f t="shared" si="4"/>
        <v>46044</v>
      </c>
      <c r="P36" s="21">
        <f t="shared" si="51"/>
        <v>46051</v>
      </c>
      <c r="Q36" s="21">
        <f t="shared" si="52"/>
        <v>46055</v>
      </c>
      <c r="R36" s="21">
        <f t="shared" si="7"/>
        <v>46053</v>
      </c>
      <c r="S36" s="20"/>
      <c r="T36" s="21">
        <f t="shared" si="53"/>
        <v>46092</v>
      </c>
      <c r="U36" s="21">
        <f t="shared" si="9"/>
        <v>46093</v>
      </c>
      <c r="V36" s="21">
        <f t="shared" si="10"/>
        <v>46097</v>
      </c>
      <c r="W36" s="21">
        <f t="shared" si="11"/>
        <v>46104</v>
      </c>
      <c r="X36" s="21">
        <f t="shared" si="12"/>
        <v>46111</v>
      </c>
      <c r="Y36" s="21">
        <f t="shared" si="54"/>
        <v>46132</v>
      </c>
      <c r="Z36" s="21">
        <f t="shared" si="14"/>
        <v>46123</v>
      </c>
      <c r="AA36" s="21">
        <f t="shared" si="35"/>
        <v>46125</v>
      </c>
      <c r="AB36" s="21">
        <f t="shared" si="16"/>
        <v>46132</v>
      </c>
      <c r="AC36" s="21">
        <f t="shared" si="36"/>
        <v>46125</v>
      </c>
      <c r="AD36" s="21">
        <f t="shared" si="18"/>
        <v>46139</v>
      </c>
      <c r="AE36" s="21">
        <f t="shared" si="55"/>
        <v>46195</v>
      </c>
    </row>
    <row r="37" spans="1:31" x14ac:dyDescent="0.25">
      <c r="A37" s="18" t="s">
        <v>341</v>
      </c>
      <c r="B37" s="18" t="s">
        <v>398</v>
      </c>
      <c r="C37" s="30">
        <v>46195</v>
      </c>
      <c r="D37">
        <v>4</v>
      </c>
      <c r="E37">
        <v>1</v>
      </c>
      <c r="F37">
        <v>0</v>
      </c>
      <c r="G37">
        <v>1</v>
      </c>
      <c r="H37">
        <v>1</v>
      </c>
      <c r="I37" s="21">
        <f t="shared" si="1"/>
        <v>45981</v>
      </c>
      <c r="J37" s="21">
        <f t="shared" ref="J37:M37" si="57">K37-J$2</f>
        <v>46002</v>
      </c>
      <c r="K37" s="21">
        <f t="shared" si="57"/>
        <v>46016</v>
      </c>
      <c r="L37" s="21">
        <f t="shared" si="57"/>
        <v>46023</v>
      </c>
      <c r="M37" s="21">
        <f t="shared" si="57"/>
        <v>46030</v>
      </c>
      <c r="N37" s="21">
        <f t="shared" si="3"/>
        <v>46037</v>
      </c>
      <c r="O37" s="21">
        <f t="shared" si="4"/>
        <v>46044</v>
      </c>
      <c r="P37" s="21">
        <f t="shared" si="51"/>
        <v>46051</v>
      </c>
      <c r="Q37" s="21">
        <f t="shared" si="52"/>
        <v>46055</v>
      </c>
      <c r="R37" s="21">
        <f t="shared" si="7"/>
        <v>46053</v>
      </c>
      <c r="S37" s="20"/>
      <c r="T37" s="21">
        <f t="shared" si="53"/>
        <v>46092</v>
      </c>
      <c r="U37" s="21">
        <f t="shared" si="9"/>
        <v>46093</v>
      </c>
      <c r="V37" s="21">
        <f t="shared" si="10"/>
        <v>46097</v>
      </c>
      <c r="W37" s="21">
        <f t="shared" si="11"/>
        <v>46104</v>
      </c>
      <c r="X37" s="21">
        <f t="shared" si="12"/>
        <v>46111</v>
      </c>
      <c r="Y37" s="21">
        <f t="shared" si="54"/>
        <v>46132</v>
      </c>
      <c r="Z37" s="21">
        <f t="shared" si="14"/>
        <v>46123</v>
      </c>
      <c r="AA37" s="21">
        <f t="shared" si="35"/>
        <v>46125</v>
      </c>
      <c r="AB37" s="21">
        <f t="shared" si="16"/>
        <v>46132</v>
      </c>
      <c r="AC37" s="21">
        <f t="shared" si="36"/>
        <v>46125</v>
      </c>
      <c r="AD37" s="21">
        <f t="shared" si="18"/>
        <v>46139</v>
      </c>
      <c r="AE37" s="21">
        <f t="shared" si="55"/>
        <v>46195</v>
      </c>
    </row>
    <row r="38" spans="1:31" x14ac:dyDescent="0.25">
      <c r="A38" s="18" t="s">
        <v>343</v>
      </c>
      <c r="B38" s="18" t="s">
        <v>398</v>
      </c>
      <c r="C38" s="30">
        <v>46161</v>
      </c>
      <c r="D38">
        <v>4</v>
      </c>
      <c r="E38">
        <v>1</v>
      </c>
      <c r="F38">
        <v>0</v>
      </c>
      <c r="G38">
        <v>1</v>
      </c>
      <c r="H38">
        <v>1</v>
      </c>
      <c r="I38" s="21">
        <f t="shared" si="1"/>
        <v>45947</v>
      </c>
      <c r="J38" s="21">
        <f t="shared" ref="J38:M38" si="58">K38-J$2</f>
        <v>45968</v>
      </c>
      <c r="K38" s="21">
        <f t="shared" si="58"/>
        <v>45982</v>
      </c>
      <c r="L38" s="21">
        <f t="shared" si="58"/>
        <v>45989</v>
      </c>
      <c r="M38" s="21">
        <f t="shared" si="58"/>
        <v>45996</v>
      </c>
      <c r="N38" s="21">
        <f t="shared" si="3"/>
        <v>46003</v>
      </c>
      <c r="O38" s="21">
        <f t="shared" si="4"/>
        <v>46010</v>
      </c>
      <c r="P38" s="21">
        <f t="shared" si="51"/>
        <v>46017</v>
      </c>
      <c r="Q38" s="21">
        <f t="shared" si="52"/>
        <v>46021</v>
      </c>
      <c r="R38" s="21">
        <f t="shared" si="7"/>
        <v>46019</v>
      </c>
      <c r="S38" s="20"/>
      <c r="T38" s="21">
        <f t="shared" si="53"/>
        <v>46058</v>
      </c>
      <c r="U38" s="21">
        <f t="shared" si="9"/>
        <v>46059</v>
      </c>
      <c r="V38" s="21">
        <f t="shared" si="10"/>
        <v>46063</v>
      </c>
      <c r="W38" s="21">
        <f t="shared" si="11"/>
        <v>46070</v>
      </c>
      <c r="X38" s="21">
        <f t="shared" si="12"/>
        <v>46077</v>
      </c>
      <c r="Y38" s="21">
        <f t="shared" si="54"/>
        <v>46098</v>
      </c>
      <c r="Z38" s="21">
        <f t="shared" si="14"/>
        <v>46089</v>
      </c>
      <c r="AA38" s="21">
        <f t="shared" si="35"/>
        <v>46091</v>
      </c>
      <c r="AB38" s="21">
        <f t="shared" si="16"/>
        <v>46098</v>
      </c>
      <c r="AC38" s="21">
        <f t="shared" si="36"/>
        <v>46091</v>
      </c>
      <c r="AD38" s="21">
        <f t="shared" si="18"/>
        <v>46105</v>
      </c>
      <c r="AE38" s="21">
        <f t="shared" si="55"/>
        <v>46161</v>
      </c>
    </row>
    <row r="39" spans="1:31" x14ac:dyDescent="0.25">
      <c r="A39" s="18" t="s">
        <v>344</v>
      </c>
      <c r="B39" s="18" t="s">
        <v>398</v>
      </c>
      <c r="C39" s="30">
        <v>46161</v>
      </c>
      <c r="D39">
        <v>4</v>
      </c>
      <c r="E39">
        <v>1</v>
      </c>
      <c r="F39">
        <v>0</v>
      </c>
      <c r="G39">
        <v>1</v>
      </c>
      <c r="H39">
        <v>1</v>
      </c>
      <c r="I39" s="21">
        <f t="shared" si="1"/>
        <v>45947</v>
      </c>
      <c r="J39" s="21">
        <f t="shared" ref="J39:M39" si="59">K39-J$2</f>
        <v>45968</v>
      </c>
      <c r="K39" s="21">
        <f t="shared" si="59"/>
        <v>45982</v>
      </c>
      <c r="L39" s="21">
        <f t="shared" si="59"/>
        <v>45989</v>
      </c>
      <c r="M39" s="21">
        <f t="shared" si="59"/>
        <v>45996</v>
      </c>
      <c r="N39" s="21">
        <f t="shared" si="3"/>
        <v>46003</v>
      </c>
      <c r="O39" s="21">
        <f t="shared" si="4"/>
        <v>46010</v>
      </c>
      <c r="P39" s="21">
        <f t="shared" si="51"/>
        <v>46017</v>
      </c>
      <c r="Q39" s="21">
        <f t="shared" si="52"/>
        <v>46021</v>
      </c>
      <c r="R39" s="21">
        <f t="shared" si="7"/>
        <v>46019</v>
      </c>
      <c r="S39" s="20"/>
      <c r="T39" s="21">
        <f t="shared" si="53"/>
        <v>46058</v>
      </c>
      <c r="U39" s="21">
        <f t="shared" si="9"/>
        <v>46059</v>
      </c>
      <c r="V39" s="21">
        <f t="shared" si="10"/>
        <v>46063</v>
      </c>
      <c r="W39" s="21">
        <f t="shared" si="11"/>
        <v>46070</v>
      </c>
      <c r="X39" s="21">
        <f t="shared" si="12"/>
        <v>46077</v>
      </c>
      <c r="Y39" s="21">
        <f t="shared" si="54"/>
        <v>46098</v>
      </c>
      <c r="Z39" s="21">
        <f t="shared" si="14"/>
        <v>46089</v>
      </c>
      <c r="AA39" s="21">
        <f t="shared" si="35"/>
        <v>46091</v>
      </c>
      <c r="AB39" s="21">
        <f t="shared" si="16"/>
        <v>46098</v>
      </c>
      <c r="AC39" s="21">
        <f t="shared" si="36"/>
        <v>46091</v>
      </c>
      <c r="AD39" s="21">
        <f t="shared" si="18"/>
        <v>46105</v>
      </c>
      <c r="AE39" s="21">
        <f t="shared" si="55"/>
        <v>46161</v>
      </c>
    </row>
    <row r="40" spans="1:31" x14ac:dyDescent="0.25">
      <c r="A40" s="18" t="s">
        <v>345</v>
      </c>
      <c r="B40" s="18" t="s">
        <v>398</v>
      </c>
      <c r="C40" s="30">
        <v>46162</v>
      </c>
      <c r="D40">
        <v>4</v>
      </c>
      <c r="E40">
        <v>1</v>
      </c>
      <c r="F40">
        <v>0</v>
      </c>
      <c r="G40">
        <v>1</v>
      </c>
      <c r="H40">
        <v>1</v>
      </c>
      <c r="I40" s="21">
        <f t="shared" si="1"/>
        <v>45948</v>
      </c>
      <c r="J40" s="21">
        <f t="shared" ref="J40:M40" si="60">K40-J$2</f>
        <v>45969</v>
      </c>
      <c r="K40" s="21">
        <f t="shared" si="60"/>
        <v>45983</v>
      </c>
      <c r="L40" s="21">
        <f t="shared" si="60"/>
        <v>45990</v>
      </c>
      <c r="M40" s="21">
        <f t="shared" si="60"/>
        <v>45997</v>
      </c>
      <c r="N40" s="21">
        <f t="shared" si="3"/>
        <v>46004</v>
      </c>
      <c r="O40" s="21">
        <f t="shared" si="4"/>
        <v>46011</v>
      </c>
      <c r="P40" s="21">
        <f t="shared" si="51"/>
        <v>46018</v>
      </c>
      <c r="Q40" s="21">
        <f t="shared" si="52"/>
        <v>46022</v>
      </c>
      <c r="R40" s="21">
        <f t="shared" si="7"/>
        <v>46020</v>
      </c>
      <c r="S40" s="20"/>
      <c r="T40" s="21">
        <f t="shared" si="53"/>
        <v>46059</v>
      </c>
      <c r="U40" s="21">
        <f t="shared" si="9"/>
        <v>46060</v>
      </c>
      <c r="V40" s="21">
        <f t="shared" si="10"/>
        <v>46064</v>
      </c>
      <c r="W40" s="21">
        <f t="shared" si="11"/>
        <v>46071</v>
      </c>
      <c r="X40" s="21">
        <f t="shared" si="12"/>
        <v>46078</v>
      </c>
      <c r="Y40" s="21">
        <f t="shared" si="54"/>
        <v>46099</v>
      </c>
      <c r="Z40" s="21">
        <f t="shared" si="14"/>
        <v>46090</v>
      </c>
      <c r="AA40" s="21">
        <f t="shared" si="35"/>
        <v>46092</v>
      </c>
      <c r="AB40" s="21">
        <f t="shared" si="16"/>
        <v>46099</v>
      </c>
      <c r="AC40" s="21">
        <f t="shared" si="36"/>
        <v>46092</v>
      </c>
      <c r="AD40" s="21">
        <f t="shared" si="18"/>
        <v>46106</v>
      </c>
      <c r="AE40" s="21">
        <f t="shared" si="55"/>
        <v>46162</v>
      </c>
    </row>
    <row r="41" spans="1:31" x14ac:dyDescent="0.25">
      <c r="A41" s="18" t="s">
        <v>349</v>
      </c>
      <c r="B41" s="18" t="s">
        <v>117</v>
      </c>
      <c r="C41" s="30">
        <v>46230</v>
      </c>
      <c r="D41">
        <v>4</v>
      </c>
      <c r="E41">
        <v>1</v>
      </c>
      <c r="F41">
        <v>0</v>
      </c>
      <c r="G41">
        <v>1</v>
      </c>
      <c r="H41">
        <v>1</v>
      </c>
      <c r="I41" s="21">
        <f t="shared" si="1"/>
        <v>46016</v>
      </c>
      <c r="J41" s="21">
        <f t="shared" ref="J41:M41" si="61">K41-J$2</f>
        <v>46037</v>
      </c>
      <c r="K41" s="21">
        <f t="shared" si="61"/>
        <v>46051</v>
      </c>
      <c r="L41" s="21">
        <f t="shared" si="61"/>
        <v>46058</v>
      </c>
      <c r="M41" s="21">
        <f t="shared" si="61"/>
        <v>46065</v>
      </c>
      <c r="N41" s="21">
        <f t="shared" si="3"/>
        <v>46072</v>
      </c>
      <c r="O41" s="21">
        <f t="shared" si="4"/>
        <v>46079</v>
      </c>
      <c r="P41" s="21">
        <f t="shared" si="51"/>
        <v>46086</v>
      </c>
      <c r="Q41" s="21">
        <f t="shared" si="52"/>
        <v>46090</v>
      </c>
      <c r="R41" s="21">
        <f t="shared" si="7"/>
        <v>46088</v>
      </c>
      <c r="S41" s="20"/>
      <c r="T41" s="21">
        <f t="shared" si="53"/>
        <v>46127</v>
      </c>
      <c r="U41" s="21">
        <f t="shared" si="9"/>
        <v>46128</v>
      </c>
      <c r="V41" s="21">
        <f t="shared" si="10"/>
        <v>46132</v>
      </c>
      <c r="W41" s="21">
        <f t="shared" si="11"/>
        <v>46139</v>
      </c>
      <c r="X41" s="21">
        <f t="shared" si="12"/>
        <v>46146</v>
      </c>
      <c r="Y41" s="21">
        <f t="shared" si="54"/>
        <v>46167</v>
      </c>
      <c r="Z41" s="21">
        <f t="shared" si="14"/>
        <v>46158</v>
      </c>
      <c r="AA41" s="21">
        <f t="shared" si="35"/>
        <v>46160</v>
      </c>
      <c r="AB41" s="21">
        <f t="shared" si="16"/>
        <v>46167</v>
      </c>
      <c r="AC41" s="21">
        <f t="shared" si="36"/>
        <v>46160</v>
      </c>
      <c r="AD41" s="21">
        <f t="shared" si="18"/>
        <v>46174</v>
      </c>
      <c r="AE41" s="21">
        <f t="shared" si="55"/>
        <v>46230</v>
      </c>
    </row>
    <row r="42" spans="1:31" x14ac:dyDescent="0.25">
      <c r="A42" s="18" t="s">
        <v>357</v>
      </c>
      <c r="B42" s="18" t="s">
        <v>87</v>
      </c>
      <c r="C42" s="30">
        <v>46161</v>
      </c>
      <c r="D42">
        <v>4</v>
      </c>
      <c r="E42">
        <v>1</v>
      </c>
      <c r="F42">
        <v>0</v>
      </c>
      <c r="G42">
        <v>1</v>
      </c>
      <c r="H42">
        <v>1</v>
      </c>
      <c r="I42" s="21">
        <f t="shared" si="1"/>
        <v>45947</v>
      </c>
      <c r="J42" s="21">
        <f t="shared" ref="J42:M42" si="62">K42-J$2</f>
        <v>45968</v>
      </c>
      <c r="K42" s="21">
        <f t="shared" si="62"/>
        <v>45982</v>
      </c>
      <c r="L42" s="21">
        <f t="shared" si="62"/>
        <v>45989</v>
      </c>
      <c r="M42" s="21">
        <f t="shared" si="62"/>
        <v>45996</v>
      </c>
      <c r="N42" s="21">
        <f t="shared" si="3"/>
        <v>46003</v>
      </c>
      <c r="O42" s="21">
        <f t="shared" si="4"/>
        <v>46010</v>
      </c>
      <c r="P42" s="21">
        <f t="shared" si="51"/>
        <v>46017</v>
      </c>
      <c r="Q42" s="21">
        <f t="shared" si="52"/>
        <v>46021</v>
      </c>
      <c r="R42" s="21">
        <f t="shared" si="7"/>
        <v>46019</v>
      </c>
      <c r="S42" s="20"/>
      <c r="T42" s="21">
        <f t="shared" si="53"/>
        <v>46058</v>
      </c>
      <c r="U42" s="21">
        <f t="shared" si="9"/>
        <v>46059</v>
      </c>
      <c r="V42" s="21">
        <f t="shared" si="10"/>
        <v>46063</v>
      </c>
      <c r="W42" s="21">
        <f t="shared" si="11"/>
        <v>46070</v>
      </c>
      <c r="X42" s="21">
        <f t="shared" si="12"/>
        <v>46077</v>
      </c>
      <c r="Y42" s="21">
        <f t="shared" si="54"/>
        <v>46098</v>
      </c>
      <c r="Z42" s="21">
        <f t="shared" si="14"/>
        <v>46089</v>
      </c>
      <c r="AA42" s="21">
        <f t="shared" si="35"/>
        <v>46091</v>
      </c>
      <c r="AB42" s="21">
        <f t="shared" si="16"/>
        <v>46098</v>
      </c>
      <c r="AC42" s="21">
        <f t="shared" si="36"/>
        <v>46091</v>
      </c>
      <c r="AD42" s="21">
        <f t="shared" si="18"/>
        <v>46105</v>
      </c>
      <c r="AE42" s="21">
        <f t="shared" si="55"/>
        <v>46161</v>
      </c>
    </row>
    <row r="43" spans="1:31" x14ac:dyDescent="0.25">
      <c r="A43" s="18" t="s">
        <v>358</v>
      </c>
      <c r="B43" s="18" t="s">
        <v>87</v>
      </c>
      <c r="C43" s="30">
        <v>46162</v>
      </c>
      <c r="D43">
        <v>4</v>
      </c>
      <c r="E43">
        <v>1</v>
      </c>
      <c r="F43">
        <v>0</v>
      </c>
      <c r="G43">
        <v>1</v>
      </c>
      <c r="H43">
        <v>1</v>
      </c>
      <c r="I43" s="21">
        <f t="shared" si="1"/>
        <v>45948</v>
      </c>
      <c r="J43" s="21">
        <f t="shared" ref="J43:M43" si="63">K43-J$2</f>
        <v>45969</v>
      </c>
      <c r="K43" s="21">
        <f t="shared" si="63"/>
        <v>45983</v>
      </c>
      <c r="L43" s="21">
        <f t="shared" si="63"/>
        <v>45990</v>
      </c>
      <c r="M43" s="21">
        <f t="shared" si="63"/>
        <v>45997</v>
      </c>
      <c r="N43" s="21">
        <f t="shared" si="3"/>
        <v>46004</v>
      </c>
      <c r="O43" s="21">
        <f t="shared" si="4"/>
        <v>46011</v>
      </c>
      <c r="P43" s="21">
        <f t="shared" si="51"/>
        <v>46018</v>
      </c>
      <c r="Q43" s="21">
        <f t="shared" si="52"/>
        <v>46022</v>
      </c>
      <c r="R43" s="21">
        <f t="shared" si="7"/>
        <v>46020</v>
      </c>
      <c r="S43" s="20"/>
      <c r="T43" s="21">
        <f t="shared" si="53"/>
        <v>46059</v>
      </c>
      <c r="U43" s="21">
        <f t="shared" si="9"/>
        <v>46060</v>
      </c>
      <c r="V43" s="21">
        <f t="shared" si="10"/>
        <v>46064</v>
      </c>
      <c r="W43" s="21">
        <f t="shared" si="11"/>
        <v>46071</v>
      </c>
      <c r="X43" s="21">
        <f t="shared" si="12"/>
        <v>46078</v>
      </c>
      <c r="Y43" s="21">
        <f t="shared" si="54"/>
        <v>46099</v>
      </c>
      <c r="Z43" s="21">
        <f t="shared" si="14"/>
        <v>46090</v>
      </c>
      <c r="AA43" s="21">
        <f t="shared" si="35"/>
        <v>46092</v>
      </c>
      <c r="AB43" s="21">
        <f t="shared" si="16"/>
        <v>46099</v>
      </c>
      <c r="AC43" s="21">
        <f t="shared" si="36"/>
        <v>46092</v>
      </c>
      <c r="AD43" s="21">
        <f t="shared" si="18"/>
        <v>46106</v>
      </c>
      <c r="AE43" s="21">
        <f t="shared" si="55"/>
        <v>46162</v>
      </c>
    </row>
    <row r="44" spans="1:31" x14ac:dyDescent="0.25">
      <c r="A44" s="18" t="s">
        <v>359</v>
      </c>
      <c r="B44" s="18" t="s">
        <v>87</v>
      </c>
      <c r="C44" s="30">
        <v>46162</v>
      </c>
      <c r="D44">
        <v>4</v>
      </c>
      <c r="E44">
        <v>1</v>
      </c>
      <c r="F44">
        <v>0</v>
      </c>
      <c r="G44">
        <v>1</v>
      </c>
      <c r="H44">
        <v>1</v>
      </c>
      <c r="I44" s="21">
        <f t="shared" si="1"/>
        <v>45948</v>
      </c>
      <c r="J44" s="21">
        <f t="shared" ref="J44:M44" si="64">K44-J$2</f>
        <v>45969</v>
      </c>
      <c r="K44" s="21">
        <f t="shared" si="64"/>
        <v>45983</v>
      </c>
      <c r="L44" s="21">
        <f t="shared" si="64"/>
        <v>45990</v>
      </c>
      <c r="M44" s="21">
        <f t="shared" si="64"/>
        <v>45997</v>
      </c>
      <c r="N44" s="21">
        <f t="shared" si="3"/>
        <v>46004</v>
      </c>
      <c r="O44" s="21">
        <f t="shared" si="4"/>
        <v>46011</v>
      </c>
      <c r="P44" s="21">
        <f t="shared" si="51"/>
        <v>46018</v>
      </c>
      <c r="Q44" s="21">
        <f t="shared" si="52"/>
        <v>46022</v>
      </c>
      <c r="R44" s="21">
        <f t="shared" si="7"/>
        <v>46020</v>
      </c>
      <c r="S44" s="20"/>
      <c r="T44" s="21">
        <f t="shared" si="53"/>
        <v>46059</v>
      </c>
      <c r="U44" s="21">
        <f t="shared" si="9"/>
        <v>46060</v>
      </c>
      <c r="V44" s="21">
        <f t="shared" si="10"/>
        <v>46064</v>
      </c>
      <c r="W44" s="21">
        <f t="shared" si="11"/>
        <v>46071</v>
      </c>
      <c r="X44" s="21">
        <f t="shared" si="12"/>
        <v>46078</v>
      </c>
      <c r="Y44" s="21">
        <f t="shared" si="54"/>
        <v>46099</v>
      </c>
      <c r="Z44" s="21">
        <f t="shared" si="14"/>
        <v>46090</v>
      </c>
      <c r="AA44" s="21">
        <f t="shared" si="35"/>
        <v>46092</v>
      </c>
      <c r="AB44" s="21">
        <f t="shared" si="16"/>
        <v>46099</v>
      </c>
      <c r="AC44" s="21">
        <f t="shared" si="36"/>
        <v>46092</v>
      </c>
      <c r="AD44" s="21">
        <f t="shared" si="18"/>
        <v>46106</v>
      </c>
      <c r="AE44" s="21">
        <f t="shared" si="55"/>
        <v>46162</v>
      </c>
    </row>
    <row r="45" spans="1:31" x14ac:dyDescent="0.25">
      <c r="A45" s="18" t="s">
        <v>361</v>
      </c>
      <c r="B45" s="18" t="s">
        <v>312</v>
      </c>
      <c r="C45" s="30">
        <v>46184</v>
      </c>
      <c r="D45">
        <v>4</v>
      </c>
      <c r="E45">
        <v>1</v>
      </c>
      <c r="F45">
        <v>0</v>
      </c>
      <c r="G45">
        <v>1</v>
      </c>
      <c r="H45">
        <v>1</v>
      </c>
      <c r="I45" s="21">
        <f t="shared" si="1"/>
        <v>45970</v>
      </c>
      <c r="J45" s="21">
        <f t="shared" ref="J45:M45" si="65">K45-J$2</f>
        <v>45991</v>
      </c>
      <c r="K45" s="21">
        <f t="shared" si="65"/>
        <v>46005</v>
      </c>
      <c r="L45" s="21">
        <f t="shared" si="65"/>
        <v>46012</v>
      </c>
      <c r="M45" s="21">
        <f t="shared" si="65"/>
        <v>46019</v>
      </c>
      <c r="N45" s="21">
        <f t="shared" si="3"/>
        <v>46026</v>
      </c>
      <c r="O45" s="21">
        <f t="shared" si="4"/>
        <v>46033</v>
      </c>
      <c r="P45" s="21">
        <f t="shared" si="51"/>
        <v>46040</v>
      </c>
      <c r="Q45" s="21">
        <f t="shared" si="52"/>
        <v>46044</v>
      </c>
      <c r="R45" s="21">
        <f t="shared" si="7"/>
        <v>46042</v>
      </c>
      <c r="S45" s="20"/>
      <c r="T45" s="21">
        <f t="shared" si="53"/>
        <v>46081</v>
      </c>
      <c r="U45" s="21">
        <f t="shared" si="9"/>
        <v>46082</v>
      </c>
      <c r="V45" s="21">
        <f t="shared" si="10"/>
        <v>46086</v>
      </c>
      <c r="W45" s="21">
        <f t="shared" si="11"/>
        <v>46093</v>
      </c>
      <c r="X45" s="21">
        <f t="shared" si="12"/>
        <v>46100</v>
      </c>
      <c r="Y45" s="21">
        <f t="shared" si="54"/>
        <v>46121</v>
      </c>
      <c r="Z45" s="21">
        <f t="shared" si="14"/>
        <v>46112</v>
      </c>
      <c r="AA45" s="21">
        <f t="shared" si="35"/>
        <v>46114</v>
      </c>
      <c r="AB45" s="21">
        <f t="shared" si="16"/>
        <v>46121</v>
      </c>
      <c r="AC45" s="21">
        <f t="shared" si="36"/>
        <v>46114</v>
      </c>
      <c r="AD45" s="21">
        <f t="shared" si="18"/>
        <v>46128</v>
      </c>
      <c r="AE45" s="21">
        <f t="shared" si="55"/>
        <v>46184</v>
      </c>
    </row>
    <row r="46" spans="1:31" x14ac:dyDescent="0.25">
      <c r="A46" s="18" t="s">
        <v>362</v>
      </c>
      <c r="B46" s="18" t="s">
        <v>364</v>
      </c>
      <c r="C46" s="30">
        <v>46162</v>
      </c>
      <c r="D46">
        <v>4</v>
      </c>
      <c r="E46">
        <v>1</v>
      </c>
      <c r="F46">
        <v>0</v>
      </c>
      <c r="G46">
        <v>1</v>
      </c>
      <c r="H46">
        <v>1</v>
      </c>
      <c r="I46" s="21">
        <f t="shared" si="1"/>
        <v>45948</v>
      </c>
      <c r="J46" s="21">
        <f t="shared" ref="J46:M46" si="66">K46-J$2</f>
        <v>45969</v>
      </c>
      <c r="K46" s="21">
        <f t="shared" si="66"/>
        <v>45983</v>
      </c>
      <c r="L46" s="21">
        <f t="shared" si="66"/>
        <v>45990</v>
      </c>
      <c r="M46" s="21">
        <f t="shared" si="66"/>
        <v>45997</v>
      </c>
      <c r="N46" s="21">
        <f t="shared" si="3"/>
        <v>46004</v>
      </c>
      <c r="O46" s="21">
        <f t="shared" si="4"/>
        <v>46011</v>
      </c>
      <c r="P46" s="21">
        <f t="shared" si="51"/>
        <v>46018</v>
      </c>
      <c r="Q46" s="21">
        <f t="shared" si="52"/>
        <v>46022</v>
      </c>
      <c r="R46" s="21">
        <f t="shared" si="7"/>
        <v>46020</v>
      </c>
      <c r="S46" s="20"/>
      <c r="T46" s="21">
        <f t="shared" si="53"/>
        <v>46059</v>
      </c>
      <c r="U46" s="21">
        <f t="shared" si="9"/>
        <v>46060</v>
      </c>
      <c r="V46" s="21">
        <f t="shared" si="10"/>
        <v>46064</v>
      </c>
      <c r="W46" s="21">
        <f t="shared" si="11"/>
        <v>46071</v>
      </c>
      <c r="X46" s="21">
        <f t="shared" si="12"/>
        <v>46078</v>
      </c>
      <c r="Y46" s="21">
        <f t="shared" si="54"/>
        <v>46099</v>
      </c>
      <c r="Z46" s="21">
        <f t="shared" si="14"/>
        <v>46090</v>
      </c>
      <c r="AA46" s="21">
        <f t="shared" si="35"/>
        <v>46092</v>
      </c>
      <c r="AB46" s="21">
        <f t="shared" si="16"/>
        <v>46099</v>
      </c>
      <c r="AC46" s="21">
        <f t="shared" si="36"/>
        <v>46092</v>
      </c>
      <c r="AD46" s="21">
        <f t="shared" si="18"/>
        <v>46106</v>
      </c>
      <c r="AE46" s="21">
        <f t="shared" si="55"/>
        <v>46162</v>
      </c>
    </row>
    <row r="47" spans="1:31" x14ac:dyDescent="0.25">
      <c r="A47" s="18" t="s">
        <v>363</v>
      </c>
      <c r="B47" s="18" t="s">
        <v>364</v>
      </c>
      <c r="C47" s="30">
        <v>46162</v>
      </c>
      <c r="D47">
        <v>4</v>
      </c>
      <c r="E47">
        <v>1</v>
      </c>
      <c r="F47">
        <v>0</v>
      </c>
      <c r="G47">
        <v>1</v>
      </c>
      <c r="H47">
        <v>1</v>
      </c>
      <c r="I47" s="21">
        <f t="shared" si="1"/>
        <v>45948</v>
      </c>
      <c r="J47" s="21">
        <f t="shared" ref="J47:M47" si="67">K47-J$2</f>
        <v>45969</v>
      </c>
      <c r="K47" s="21">
        <f t="shared" si="67"/>
        <v>45983</v>
      </c>
      <c r="L47" s="21">
        <f t="shared" si="67"/>
        <v>45990</v>
      </c>
      <c r="M47" s="21">
        <f t="shared" si="67"/>
        <v>45997</v>
      </c>
      <c r="N47" s="21">
        <f t="shared" si="3"/>
        <v>46004</v>
      </c>
      <c r="O47" s="21">
        <f t="shared" si="4"/>
        <v>46011</v>
      </c>
      <c r="P47" s="21">
        <f t="shared" si="51"/>
        <v>46018</v>
      </c>
      <c r="Q47" s="21">
        <f t="shared" si="52"/>
        <v>46022</v>
      </c>
      <c r="R47" s="21">
        <f t="shared" si="7"/>
        <v>46020</v>
      </c>
      <c r="S47" s="20"/>
      <c r="T47" s="21">
        <f t="shared" si="53"/>
        <v>46059</v>
      </c>
      <c r="U47" s="21">
        <f t="shared" si="9"/>
        <v>46060</v>
      </c>
      <c r="V47" s="21">
        <f t="shared" si="10"/>
        <v>46064</v>
      </c>
      <c r="W47" s="21">
        <f t="shared" si="11"/>
        <v>46071</v>
      </c>
      <c r="X47" s="21">
        <f t="shared" si="12"/>
        <v>46078</v>
      </c>
      <c r="Y47" s="21">
        <f t="shared" si="54"/>
        <v>46099</v>
      </c>
      <c r="Z47" s="21">
        <f t="shared" si="14"/>
        <v>46090</v>
      </c>
      <c r="AA47" s="21">
        <f t="shared" si="35"/>
        <v>46092</v>
      </c>
      <c r="AB47" s="21">
        <f t="shared" si="16"/>
        <v>46099</v>
      </c>
      <c r="AC47" s="21">
        <f t="shared" si="36"/>
        <v>46092</v>
      </c>
      <c r="AD47" s="21">
        <f t="shared" si="18"/>
        <v>46106</v>
      </c>
      <c r="AE47" s="21">
        <f t="shared" si="55"/>
        <v>46162</v>
      </c>
    </row>
    <row r="48" spans="1:31" x14ac:dyDescent="0.25">
      <c r="A48" s="18" t="s">
        <v>365</v>
      </c>
      <c r="B48" s="18" t="s">
        <v>374</v>
      </c>
      <c r="C48" s="30">
        <v>46203</v>
      </c>
      <c r="D48">
        <v>4</v>
      </c>
      <c r="E48">
        <v>1</v>
      </c>
      <c r="F48">
        <v>0</v>
      </c>
      <c r="G48">
        <v>1</v>
      </c>
      <c r="H48">
        <v>1</v>
      </c>
      <c r="I48" s="21">
        <f t="shared" si="1"/>
        <v>45989</v>
      </c>
      <c r="J48" s="21">
        <f t="shared" ref="J48:M48" si="68">K48-J$2</f>
        <v>46010</v>
      </c>
      <c r="K48" s="21">
        <f t="shared" si="68"/>
        <v>46024</v>
      </c>
      <c r="L48" s="21">
        <f t="shared" si="68"/>
        <v>46031</v>
      </c>
      <c r="M48" s="21">
        <f t="shared" si="68"/>
        <v>46038</v>
      </c>
      <c r="N48" s="21">
        <f t="shared" si="3"/>
        <v>46045</v>
      </c>
      <c r="O48" s="21">
        <f t="shared" si="4"/>
        <v>46052</v>
      </c>
      <c r="P48" s="21">
        <f t="shared" si="51"/>
        <v>46059</v>
      </c>
      <c r="Q48" s="21">
        <f t="shared" si="52"/>
        <v>46063</v>
      </c>
      <c r="R48" s="21">
        <f t="shared" si="7"/>
        <v>46061</v>
      </c>
      <c r="S48" s="20"/>
      <c r="T48" s="21">
        <f t="shared" si="53"/>
        <v>46100</v>
      </c>
      <c r="U48" s="21">
        <f t="shared" si="9"/>
        <v>46101</v>
      </c>
      <c r="V48" s="21">
        <f t="shared" si="10"/>
        <v>46105</v>
      </c>
      <c r="W48" s="21">
        <f t="shared" si="11"/>
        <v>46112</v>
      </c>
      <c r="X48" s="21">
        <f t="shared" si="12"/>
        <v>46119</v>
      </c>
      <c r="Y48" s="21">
        <f t="shared" si="54"/>
        <v>46140</v>
      </c>
      <c r="Z48" s="21">
        <f t="shared" si="14"/>
        <v>46131</v>
      </c>
      <c r="AA48" s="21">
        <f t="shared" si="35"/>
        <v>46133</v>
      </c>
      <c r="AB48" s="21">
        <f t="shared" si="16"/>
        <v>46140</v>
      </c>
      <c r="AC48" s="21">
        <f t="shared" si="36"/>
        <v>46133</v>
      </c>
      <c r="AD48" s="21">
        <f t="shared" si="18"/>
        <v>46147</v>
      </c>
      <c r="AE48" s="21">
        <f t="shared" si="55"/>
        <v>46203</v>
      </c>
    </row>
    <row r="49" spans="1:31" x14ac:dyDescent="0.25">
      <c r="A49" s="18" t="s">
        <v>366</v>
      </c>
      <c r="B49" s="18" t="s">
        <v>374</v>
      </c>
      <c r="C49" s="30">
        <v>46203</v>
      </c>
      <c r="D49">
        <v>4</v>
      </c>
      <c r="E49">
        <v>1</v>
      </c>
      <c r="F49">
        <v>0</v>
      </c>
      <c r="G49">
        <v>1</v>
      </c>
      <c r="H49">
        <v>1</v>
      </c>
      <c r="I49" s="21">
        <f t="shared" si="1"/>
        <v>45989</v>
      </c>
      <c r="J49" s="21">
        <f t="shared" ref="J49:M49" si="69">K49-J$2</f>
        <v>46010</v>
      </c>
      <c r="K49" s="21">
        <f t="shared" si="69"/>
        <v>46024</v>
      </c>
      <c r="L49" s="21">
        <f t="shared" si="69"/>
        <v>46031</v>
      </c>
      <c r="M49" s="21">
        <f t="shared" si="69"/>
        <v>46038</v>
      </c>
      <c r="N49" s="21">
        <f t="shared" si="3"/>
        <v>46045</v>
      </c>
      <c r="O49" s="21">
        <f t="shared" si="4"/>
        <v>46052</v>
      </c>
      <c r="P49" s="21">
        <f t="shared" si="51"/>
        <v>46059</v>
      </c>
      <c r="Q49" s="21">
        <f t="shared" si="52"/>
        <v>46063</v>
      </c>
      <c r="R49" s="21">
        <f t="shared" si="7"/>
        <v>46061</v>
      </c>
      <c r="S49" s="20"/>
      <c r="T49" s="21">
        <f t="shared" si="53"/>
        <v>46100</v>
      </c>
      <c r="U49" s="21">
        <f t="shared" si="9"/>
        <v>46101</v>
      </c>
      <c r="V49" s="21">
        <f t="shared" si="10"/>
        <v>46105</v>
      </c>
      <c r="W49" s="21">
        <f t="shared" si="11"/>
        <v>46112</v>
      </c>
      <c r="X49" s="21">
        <f t="shared" si="12"/>
        <v>46119</v>
      </c>
      <c r="Y49" s="21">
        <f t="shared" si="54"/>
        <v>46140</v>
      </c>
      <c r="Z49" s="21">
        <f t="shared" si="14"/>
        <v>46131</v>
      </c>
      <c r="AA49" s="21">
        <f t="shared" si="35"/>
        <v>46133</v>
      </c>
      <c r="AB49" s="21">
        <f t="shared" si="16"/>
        <v>46140</v>
      </c>
      <c r="AC49" s="21">
        <f t="shared" si="36"/>
        <v>46133</v>
      </c>
      <c r="AD49" s="21">
        <f t="shared" si="18"/>
        <v>46147</v>
      </c>
      <c r="AE49" s="21">
        <f t="shared" si="55"/>
        <v>46203</v>
      </c>
    </row>
    <row r="50" spans="1:31" x14ac:dyDescent="0.25">
      <c r="A50" s="18" t="s">
        <v>367</v>
      </c>
      <c r="B50" s="18" t="s">
        <v>374</v>
      </c>
      <c r="C50" s="30">
        <v>46203</v>
      </c>
      <c r="D50">
        <v>4</v>
      </c>
      <c r="E50">
        <v>1</v>
      </c>
      <c r="F50">
        <v>0</v>
      </c>
      <c r="G50">
        <v>1</v>
      </c>
      <c r="H50">
        <v>1</v>
      </c>
      <c r="I50" s="21">
        <f t="shared" si="1"/>
        <v>45989</v>
      </c>
      <c r="J50" s="21">
        <f t="shared" ref="J50:M50" si="70">K50-J$2</f>
        <v>46010</v>
      </c>
      <c r="K50" s="21">
        <f t="shared" si="70"/>
        <v>46024</v>
      </c>
      <c r="L50" s="21">
        <f t="shared" si="70"/>
        <v>46031</v>
      </c>
      <c r="M50" s="21">
        <f t="shared" si="70"/>
        <v>46038</v>
      </c>
      <c r="N50" s="21">
        <f t="shared" si="3"/>
        <v>46045</v>
      </c>
      <c r="O50" s="21">
        <f t="shared" si="4"/>
        <v>46052</v>
      </c>
      <c r="P50" s="21">
        <f t="shared" si="51"/>
        <v>46059</v>
      </c>
      <c r="Q50" s="21">
        <f t="shared" si="52"/>
        <v>46063</v>
      </c>
      <c r="R50" s="21">
        <f t="shared" si="7"/>
        <v>46061</v>
      </c>
      <c r="S50" s="20"/>
      <c r="T50" s="21">
        <f t="shared" si="53"/>
        <v>46100</v>
      </c>
      <c r="U50" s="21">
        <f t="shared" si="9"/>
        <v>46101</v>
      </c>
      <c r="V50" s="21">
        <f t="shared" si="10"/>
        <v>46105</v>
      </c>
      <c r="W50" s="21">
        <f t="shared" si="11"/>
        <v>46112</v>
      </c>
      <c r="X50" s="21">
        <f t="shared" si="12"/>
        <v>46119</v>
      </c>
      <c r="Y50" s="21">
        <f t="shared" si="54"/>
        <v>46140</v>
      </c>
      <c r="Z50" s="21">
        <f t="shared" si="14"/>
        <v>46131</v>
      </c>
      <c r="AA50" s="21">
        <f t="shared" si="35"/>
        <v>46133</v>
      </c>
      <c r="AB50" s="21">
        <f t="shared" si="16"/>
        <v>46140</v>
      </c>
      <c r="AC50" s="21">
        <f t="shared" si="36"/>
        <v>46133</v>
      </c>
      <c r="AD50" s="21">
        <f t="shared" si="18"/>
        <v>46147</v>
      </c>
      <c r="AE50" s="21">
        <f t="shared" si="55"/>
        <v>46203</v>
      </c>
    </row>
    <row r="51" spans="1:31" x14ac:dyDescent="0.25">
      <c r="A51" s="18" t="s">
        <v>369</v>
      </c>
      <c r="B51" s="18" t="s">
        <v>374</v>
      </c>
      <c r="C51" s="30">
        <v>46170</v>
      </c>
      <c r="D51">
        <v>5</v>
      </c>
      <c r="E51">
        <v>1</v>
      </c>
      <c r="F51">
        <v>0</v>
      </c>
      <c r="G51">
        <v>1</v>
      </c>
      <c r="H51">
        <v>1</v>
      </c>
      <c r="I51" s="21">
        <f t="shared" si="1"/>
        <v>45949</v>
      </c>
      <c r="J51" s="21">
        <f t="shared" ref="J51:M51" si="71">K51-J$2</f>
        <v>45970</v>
      </c>
      <c r="K51" s="21">
        <f t="shared" si="71"/>
        <v>45984</v>
      </c>
      <c r="L51" s="21">
        <f t="shared" si="71"/>
        <v>45991</v>
      </c>
      <c r="M51" s="21">
        <f t="shared" si="71"/>
        <v>45998</v>
      </c>
      <c r="N51" s="21">
        <f t="shared" si="3"/>
        <v>46005</v>
      </c>
      <c r="O51" s="21">
        <f t="shared" si="4"/>
        <v>46012</v>
      </c>
      <c r="P51" s="21">
        <f t="shared" si="51"/>
        <v>46019</v>
      </c>
      <c r="Q51" s="21">
        <f t="shared" si="52"/>
        <v>46023</v>
      </c>
      <c r="R51" s="21">
        <f t="shared" si="7"/>
        <v>46021</v>
      </c>
      <c r="S51" s="20"/>
      <c r="T51" s="21">
        <f t="shared" si="53"/>
        <v>46060</v>
      </c>
      <c r="U51" s="21">
        <f t="shared" si="9"/>
        <v>46061</v>
      </c>
      <c r="V51" s="21">
        <f t="shared" si="10"/>
        <v>46065</v>
      </c>
      <c r="W51" s="21">
        <f t="shared" si="11"/>
        <v>46072</v>
      </c>
      <c r="X51" s="21">
        <f t="shared" si="12"/>
        <v>46079</v>
      </c>
      <c r="Y51" s="21">
        <f t="shared" si="54"/>
        <v>46100</v>
      </c>
      <c r="Z51" s="21">
        <f t="shared" si="14"/>
        <v>46091</v>
      </c>
      <c r="AA51" s="21">
        <f t="shared" si="35"/>
        <v>46093</v>
      </c>
      <c r="AB51" s="21">
        <f t="shared" si="16"/>
        <v>46100</v>
      </c>
      <c r="AC51" s="21">
        <f t="shared" si="36"/>
        <v>46093</v>
      </c>
      <c r="AD51" s="21">
        <f t="shared" si="18"/>
        <v>46107</v>
      </c>
      <c r="AE51" s="21">
        <f t="shared" si="55"/>
        <v>46170</v>
      </c>
    </row>
    <row r="52" spans="1:31" x14ac:dyDescent="0.25">
      <c r="A52" s="18" t="s">
        <v>370</v>
      </c>
      <c r="B52" s="18" t="s">
        <v>374</v>
      </c>
      <c r="C52" s="30">
        <v>46197</v>
      </c>
      <c r="D52">
        <v>3</v>
      </c>
      <c r="E52">
        <v>1</v>
      </c>
      <c r="F52">
        <v>0</v>
      </c>
      <c r="G52">
        <v>1</v>
      </c>
      <c r="H52">
        <v>1</v>
      </c>
      <c r="I52" s="21">
        <f t="shared" si="1"/>
        <v>45990</v>
      </c>
      <c r="J52" s="21">
        <f t="shared" ref="J52:M52" si="72">K52-J$2</f>
        <v>46011</v>
      </c>
      <c r="K52" s="21">
        <f t="shared" si="72"/>
        <v>46025</v>
      </c>
      <c r="L52" s="21">
        <f t="shared" si="72"/>
        <v>46032</v>
      </c>
      <c r="M52" s="21">
        <f t="shared" si="72"/>
        <v>46039</v>
      </c>
      <c r="N52" s="21">
        <f t="shared" si="3"/>
        <v>46046</v>
      </c>
      <c r="O52" s="21">
        <f t="shared" si="4"/>
        <v>46053</v>
      </c>
      <c r="P52" s="21">
        <f t="shared" si="51"/>
        <v>46060</v>
      </c>
      <c r="Q52" s="21">
        <f t="shared" si="52"/>
        <v>46064</v>
      </c>
      <c r="R52" s="21">
        <f t="shared" si="7"/>
        <v>46062</v>
      </c>
      <c r="S52" s="20"/>
      <c r="T52" s="21">
        <f t="shared" si="53"/>
        <v>46101</v>
      </c>
      <c r="U52" s="21">
        <f t="shared" si="9"/>
        <v>46102</v>
      </c>
      <c r="V52" s="21">
        <f t="shared" si="10"/>
        <v>46106</v>
      </c>
      <c r="W52" s="21">
        <f t="shared" si="11"/>
        <v>46113</v>
      </c>
      <c r="X52" s="21">
        <f t="shared" si="12"/>
        <v>46120</v>
      </c>
      <c r="Y52" s="21">
        <f t="shared" si="54"/>
        <v>46141</v>
      </c>
      <c r="Z52" s="21">
        <f t="shared" si="14"/>
        <v>46132</v>
      </c>
      <c r="AA52" s="21">
        <f t="shared" si="35"/>
        <v>46134</v>
      </c>
      <c r="AB52" s="21">
        <f t="shared" si="16"/>
        <v>46141</v>
      </c>
      <c r="AC52" s="21">
        <f t="shared" si="36"/>
        <v>46134</v>
      </c>
      <c r="AD52" s="21">
        <f t="shared" si="18"/>
        <v>46148</v>
      </c>
      <c r="AE52" s="21">
        <f t="shared" si="55"/>
        <v>46197</v>
      </c>
    </row>
    <row r="53" spans="1:31" x14ac:dyDescent="0.25">
      <c r="A53" s="18" t="s">
        <v>371</v>
      </c>
      <c r="B53" s="18" t="s">
        <v>374</v>
      </c>
      <c r="C53" s="30">
        <v>46177</v>
      </c>
      <c r="D53">
        <v>5</v>
      </c>
      <c r="E53">
        <v>1</v>
      </c>
      <c r="F53">
        <v>0</v>
      </c>
      <c r="G53">
        <v>1</v>
      </c>
      <c r="H53">
        <v>1</v>
      </c>
      <c r="I53" s="21">
        <f t="shared" si="1"/>
        <v>45956</v>
      </c>
      <c r="J53" s="21">
        <f t="shared" ref="J53:M53" si="73">K53-J$2</f>
        <v>45977</v>
      </c>
      <c r="K53" s="21">
        <f t="shared" si="73"/>
        <v>45991</v>
      </c>
      <c r="L53" s="21">
        <f t="shared" si="73"/>
        <v>45998</v>
      </c>
      <c r="M53" s="21">
        <f t="shared" si="73"/>
        <v>46005</v>
      </c>
      <c r="N53" s="21">
        <f t="shared" si="3"/>
        <v>46012</v>
      </c>
      <c r="O53" s="21">
        <f t="shared" si="4"/>
        <v>46019</v>
      </c>
      <c r="P53" s="21">
        <f t="shared" ref="P53:P55" si="74">R53-2</f>
        <v>46026</v>
      </c>
      <c r="Q53" s="21">
        <f t="shared" ref="Q53:Q55" si="75">AD53-$Q$2</f>
        <v>46030</v>
      </c>
      <c r="R53" s="21">
        <f t="shared" si="7"/>
        <v>46028</v>
      </c>
      <c r="S53" s="20"/>
      <c r="T53" s="21">
        <f t="shared" ref="T53:T55" si="76">V53-$T$2</f>
        <v>46067</v>
      </c>
      <c r="U53" s="21">
        <f t="shared" si="9"/>
        <v>46068</v>
      </c>
      <c r="V53" s="21">
        <f t="shared" si="10"/>
        <v>46072</v>
      </c>
      <c r="W53" s="21">
        <f t="shared" si="11"/>
        <v>46079</v>
      </c>
      <c r="X53" s="21">
        <f t="shared" si="12"/>
        <v>46086</v>
      </c>
      <c r="Y53" s="21">
        <f t="shared" ref="Y53:Y55" si="77">AB53</f>
        <v>46107</v>
      </c>
      <c r="Z53" s="21">
        <f t="shared" si="14"/>
        <v>46098</v>
      </c>
      <c r="AA53" s="21">
        <f t="shared" si="35"/>
        <v>46100</v>
      </c>
      <c r="AB53" s="21">
        <f t="shared" si="16"/>
        <v>46107</v>
      </c>
      <c r="AC53" s="21">
        <f t="shared" si="36"/>
        <v>46100</v>
      </c>
      <c r="AD53" s="21">
        <f t="shared" si="18"/>
        <v>46114</v>
      </c>
      <c r="AE53" s="21">
        <f t="shared" ref="AE53:AE55" si="78">C53</f>
        <v>46177</v>
      </c>
    </row>
    <row r="54" spans="1:31" x14ac:dyDescent="0.25">
      <c r="A54" s="18" t="s">
        <v>372</v>
      </c>
      <c r="B54" s="18" t="s">
        <v>374</v>
      </c>
      <c r="C54" s="30">
        <v>46198</v>
      </c>
      <c r="D54">
        <v>5</v>
      </c>
      <c r="E54">
        <v>1</v>
      </c>
      <c r="F54">
        <v>0</v>
      </c>
      <c r="G54">
        <v>1</v>
      </c>
      <c r="H54">
        <v>1</v>
      </c>
      <c r="I54" s="21">
        <f t="shared" si="1"/>
        <v>45977</v>
      </c>
      <c r="J54" s="21">
        <f t="shared" ref="J54:M54" si="79">K54-J$2</f>
        <v>45998</v>
      </c>
      <c r="K54" s="21">
        <f t="shared" si="79"/>
        <v>46012</v>
      </c>
      <c r="L54" s="21">
        <f t="shared" si="79"/>
        <v>46019</v>
      </c>
      <c r="M54" s="21">
        <f t="shared" si="79"/>
        <v>46026</v>
      </c>
      <c r="N54" s="21">
        <f t="shared" si="3"/>
        <v>46033</v>
      </c>
      <c r="O54" s="21">
        <f t="shared" si="4"/>
        <v>46040</v>
      </c>
      <c r="P54" s="21">
        <f t="shared" si="74"/>
        <v>46047</v>
      </c>
      <c r="Q54" s="21">
        <f t="shared" si="75"/>
        <v>46051</v>
      </c>
      <c r="R54" s="21">
        <f t="shared" si="7"/>
        <v>46049</v>
      </c>
      <c r="S54" s="20"/>
      <c r="T54" s="21">
        <f t="shared" si="76"/>
        <v>46088</v>
      </c>
      <c r="U54" s="21">
        <f t="shared" si="9"/>
        <v>46089</v>
      </c>
      <c r="V54" s="21">
        <f t="shared" si="10"/>
        <v>46093</v>
      </c>
      <c r="W54" s="21">
        <f t="shared" si="11"/>
        <v>46100</v>
      </c>
      <c r="X54" s="21">
        <f t="shared" si="12"/>
        <v>46107</v>
      </c>
      <c r="Y54" s="21">
        <f t="shared" si="77"/>
        <v>46128</v>
      </c>
      <c r="Z54" s="21">
        <f t="shared" si="14"/>
        <v>46119</v>
      </c>
      <c r="AA54" s="21">
        <f t="shared" si="35"/>
        <v>46121</v>
      </c>
      <c r="AB54" s="21">
        <f t="shared" si="16"/>
        <v>46128</v>
      </c>
      <c r="AC54" s="21">
        <f t="shared" si="36"/>
        <v>46121</v>
      </c>
      <c r="AD54" s="21">
        <f t="shared" si="18"/>
        <v>46135</v>
      </c>
      <c r="AE54" s="21">
        <f t="shared" si="78"/>
        <v>46198</v>
      </c>
    </row>
    <row r="55" spans="1:31" x14ac:dyDescent="0.25">
      <c r="A55" s="18" t="s">
        <v>373</v>
      </c>
      <c r="B55" s="18" t="s">
        <v>374</v>
      </c>
      <c r="C55" s="30">
        <v>46198</v>
      </c>
      <c r="D55">
        <v>5</v>
      </c>
      <c r="E55">
        <v>1</v>
      </c>
      <c r="F55">
        <v>0</v>
      </c>
      <c r="G55">
        <v>1</v>
      </c>
      <c r="H55">
        <v>1</v>
      </c>
      <c r="I55" s="21">
        <f t="shared" si="1"/>
        <v>45977</v>
      </c>
      <c r="J55" s="21">
        <f t="shared" ref="J55:M55" si="80">K55-J$2</f>
        <v>45998</v>
      </c>
      <c r="K55" s="21">
        <f t="shared" si="80"/>
        <v>46012</v>
      </c>
      <c r="L55" s="21">
        <f t="shared" si="80"/>
        <v>46019</v>
      </c>
      <c r="M55" s="21">
        <f t="shared" si="80"/>
        <v>46026</v>
      </c>
      <c r="N55" s="21">
        <f t="shared" si="3"/>
        <v>46033</v>
      </c>
      <c r="O55" s="21">
        <f t="shared" si="4"/>
        <v>46040</v>
      </c>
      <c r="P55" s="21">
        <f t="shared" si="74"/>
        <v>46047</v>
      </c>
      <c r="Q55" s="21">
        <f t="shared" si="75"/>
        <v>46051</v>
      </c>
      <c r="R55" s="21">
        <f t="shared" si="7"/>
        <v>46049</v>
      </c>
      <c r="S55" s="20"/>
      <c r="T55" s="21">
        <f t="shared" si="76"/>
        <v>46088</v>
      </c>
      <c r="U55" s="21">
        <f t="shared" si="9"/>
        <v>46089</v>
      </c>
      <c r="V55" s="21">
        <f t="shared" si="10"/>
        <v>46093</v>
      </c>
      <c r="W55" s="21">
        <f t="shared" si="11"/>
        <v>46100</v>
      </c>
      <c r="X55" s="21">
        <f t="shared" si="12"/>
        <v>46107</v>
      </c>
      <c r="Y55" s="21">
        <f t="shared" si="77"/>
        <v>46128</v>
      </c>
      <c r="Z55" s="21">
        <f t="shared" si="14"/>
        <v>46119</v>
      </c>
      <c r="AA55" s="21">
        <f t="shared" si="35"/>
        <v>46121</v>
      </c>
      <c r="AB55" s="21">
        <f t="shared" si="16"/>
        <v>46128</v>
      </c>
      <c r="AC55" s="21">
        <f t="shared" si="36"/>
        <v>46121</v>
      </c>
      <c r="AD55" s="21">
        <f t="shared" si="18"/>
        <v>46135</v>
      </c>
      <c r="AE55" s="21">
        <f t="shared" si="78"/>
        <v>46198</v>
      </c>
    </row>
    <row r="56" spans="1:31" x14ac:dyDescent="0.25">
      <c r="A56" s="18" t="s">
        <v>368</v>
      </c>
      <c r="B56" s="18" t="s">
        <v>74</v>
      </c>
      <c r="C56" s="30">
        <v>46176</v>
      </c>
      <c r="D56">
        <v>5</v>
      </c>
      <c r="E56">
        <v>1</v>
      </c>
      <c r="F56">
        <v>0</v>
      </c>
      <c r="G56">
        <v>1</v>
      </c>
      <c r="H56">
        <v>1</v>
      </c>
      <c r="I56" s="21">
        <f t="shared" si="1"/>
        <v>45955</v>
      </c>
      <c r="J56" s="21">
        <f t="shared" ref="J56:M56" si="81">K56-J$2</f>
        <v>45976</v>
      </c>
      <c r="K56" s="21">
        <f t="shared" si="81"/>
        <v>45990</v>
      </c>
      <c r="L56" s="21">
        <f t="shared" si="81"/>
        <v>45997</v>
      </c>
      <c r="M56" s="21">
        <f t="shared" si="81"/>
        <v>46004</v>
      </c>
      <c r="N56" s="21">
        <f t="shared" si="3"/>
        <v>46011</v>
      </c>
      <c r="O56" s="21">
        <f t="shared" si="4"/>
        <v>46018</v>
      </c>
      <c r="P56" s="21">
        <f t="shared" ref="P56:P59" si="82">R56-2</f>
        <v>46025</v>
      </c>
      <c r="Q56" s="21">
        <f t="shared" ref="Q56:Q59" si="83">AD56-$Q$2</f>
        <v>46029</v>
      </c>
      <c r="R56" s="21">
        <f t="shared" si="7"/>
        <v>46027</v>
      </c>
      <c r="S56" s="20"/>
      <c r="T56" s="21">
        <f t="shared" ref="T56:T59" si="84">V56-$T$2</f>
        <v>46066</v>
      </c>
      <c r="U56" s="21">
        <f t="shared" si="9"/>
        <v>46067</v>
      </c>
      <c r="V56" s="21">
        <f t="shared" si="10"/>
        <v>46071</v>
      </c>
      <c r="W56" s="21">
        <f t="shared" si="11"/>
        <v>46078</v>
      </c>
      <c r="X56" s="21">
        <f t="shared" si="12"/>
        <v>46085</v>
      </c>
      <c r="Y56" s="21">
        <f t="shared" ref="Y56:Y59" si="85">AB56</f>
        <v>46106</v>
      </c>
      <c r="Z56" s="21">
        <f t="shared" si="14"/>
        <v>46097</v>
      </c>
      <c r="AA56" s="21">
        <f t="shared" si="35"/>
        <v>46099</v>
      </c>
      <c r="AB56" s="21">
        <f t="shared" si="16"/>
        <v>46106</v>
      </c>
      <c r="AC56" s="21">
        <f t="shared" si="36"/>
        <v>46099</v>
      </c>
      <c r="AD56" s="21">
        <f t="shared" si="18"/>
        <v>46113</v>
      </c>
      <c r="AE56" s="21">
        <f t="shared" ref="AE56:AE59" si="86">C56</f>
        <v>46176</v>
      </c>
    </row>
    <row r="57" spans="1:31" x14ac:dyDescent="0.25">
      <c r="A57" s="18" t="s">
        <v>377</v>
      </c>
      <c r="B57" s="18" t="s">
        <v>74</v>
      </c>
      <c r="C57" s="30">
        <v>46218</v>
      </c>
      <c r="D57">
        <v>5</v>
      </c>
      <c r="E57">
        <v>1</v>
      </c>
      <c r="F57">
        <v>0</v>
      </c>
      <c r="G57">
        <v>1</v>
      </c>
      <c r="H57">
        <v>1</v>
      </c>
      <c r="I57" s="21">
        <f t="shared" si="1"/>
        <v>45997</v>
      </c>
      <c r="J57" s="21">
        <f t="shared" ref="J57:M57" si="87">K57-J$2</f>
        <v>46018</v>
      </c>
      <c r="K57" s="21">
        <f t="shared" si="87"/>
        <v>46032</v>
      </c>
      <c r="L57" s="21">
        <f t="shared" si="87"/>
        <v>46039</v>
      </c>
      <c r="M57" s="21">
        <f t="shared" si="87"/>
        <v>46046</v>
      </c>
      <c r="N57" s="21">
        <f t="shared" si="3"/>
        <v>46053</v>
      </c>
      <c r="O57" s="21">
        <f t="shared" si="4"/>
        <v>46060</v>
      </c>
      <c r="P57" s="21">
        <f t="shared" si="82"/>
        <v>46067</v>
      </c>
      <c r="Q57" s="21">
        <f t="shared" si="83"/>
        <v>46071</v>
      </c>
      <c r="R57" s="21">
        <f t="shared" si="7"/>
        <v>46069</v>
      </c>
      <c r="S57" s="20"/>
      <c r="T57" s="21">
        <f t="shared" si="84"/>
        <v>46108</v>
      </c>
      <c r="U57" s="21">
        <f t="shared" si="9"/>
        <v>46109</v>
      </c>
      <c r="V57" s="21">
        <f t="shared" si="10"/>
        <v>46113</v>
      </c>
      <c r="W57" s="21">
        <f t="shared" si="11"/>
        <v>46120</v>
      </c>
      <c r="X57" s="21">
        <f t="shared" si="12"/>
        <v>46127</v>
      </c>
      <c r="Y57" s="21">
        <f t="shared" si="85"/>
        <v>46148</v>
      </c>
      <c r="Z57" s="21">
        <f t="shared" si="14"/>
        <v>46139</v>
      </c>
      <c r="AA57" s="21">
        <f t="shared" si="35"/>
        <v>46141</v>
      </c>
      <c r="AB57" s="21">
        <f t="shared" si="16"/>
        <v>46148</v>
      </c>
      <c r="AC57" s="21">
        <f t="shared" si="36"/>
        <v>46141</v>
      </c>
      <c r="AD57" s="21">
        <f t="shared" si="18"/>
        <v>46155</v>
      </c>
      <c r="AE57" s="21">
        <f t="shared" si="86"/>
        <v>46218</v>
      </c>
    </row>
    <row r="58" spans="1:31" x14ac:dyDescent="0.25">
      <c r="A58" s="18" t="s">
        <v>378</v>
      </c>
      <c r="B58" s="18" t="s">
        <v>74</v>
      </c>
      <c r="C58" s="30">
        <v>46218</v>
      </c>
      <c r="D58">
        <v>5</v>
      </c>
      <c r="E58">
        <v>1</v>
      </c>
      <c r="F58">
        <v>0</v>
      </c>
      <c r="G58">
        <v>1</v>
      </c>
      <c r="H58">
        <v>1</v>
      </c>
      <c r="I58" s="21">
        <f t="shared" si="1"/>
        <v>45997</v>
      </c>
      <c r="J58" s="21">
        <f t="shared" ref="J58:M58" si="88">K58-J$2</f>
        <v>46018</v>
      </c>
      <c r="K58" s="21">
        <f t="shared" si="88"/>
        <v>46032</v>
      </c>
      <c r="L58" s="21">
        <f t="shared" si="88"/>
        <v>46039</v>
      </c>
      <c r="M58" s="21">
        <f t="shared" si="88"/>
        <v>46046</v>
      </c>
      <c r="N58" s="21">
        <f t="shared" si="3"/>
        <v>46053</v>
      </c>
      <c r="O58" s="21">
        <f t="shared" si="4"/>
        <v>46060</v>
      </c>
      <c r="P58" s="21">
        <f t="shared" si="82"/>
        <v>46067</v>
      </c>
      <c r="Q58" s="21">
        <f t="shared" si="83"/>
        <v>46071</v>
      </c>
      <c r="R58" s="21">
        <f t="shared" si="7"/>
        <v>46069</v>
      </c>
      <c r="S58" s="20"/>
      <c r="T58" s="21">
        <f t="shared" si="84"/>
        <v>46108</v>
      </c>
      <c r="U58" s="21">
        <f t="shared" si="9"/>
        <v>46109</v>
      </c>
      <c r="V58" s="21">
        <f t="shared" si="10"/>
        <v>46113</v>
      </c>
      <c r="W58" s="21">
        <f t="shared" si="11"/>
        <v>46120</v>
      </c>
      <c r="X58" s="21">
        <f t="shared" si="12"/>
        <v>46127</v>
      </c>
      <c r="Y58" s="21">
        <f t="shared" si="85"/>
        <v>46148</v>
      </c>
      <c r="Z58" s="21">
        <f t="shared" si="14"/>
        <v>46139</v>
      </c>
      <c r="AA58" s="21">
        <f t="shared" si="35"/>
        <v>46141</v>
      </c>
      <c r="AB58" s="21">
        <f t="shared" si="16"/>
        <v>46148</v>
      </c>
      <c r="AC58" s="21">
        <f t="shared" si="36"/>
        <v>46141</v>
      </c>
      <c r="AD58" s="21">
        <f t="shared" si="18"/>
        <v>46155</v>
      </c>
      <c r="AE58" s="21">
        <f t="shared" si="86"/>
        <v>46218</v>
      </c>
    </row>
    <row r="59" spans="1:31" x14ac:dyDescent="0.25">
      <c r="A59" s="18" t="s">
        <v>356</v>
      </c>
      <c r="B59" s="18" t="s">
        <v>81</v>
      </c>
      <c r="C59" s="30">
        <v>46211</v>
      </c>
      <c r="D59">
        <v>5</v>
      </c>
      <c r="E59">
        <v>1</v>
      </c>
      <c r="F59">
        <v>0</v>
      </c>
      <c r="G59">
        <v>1</v>
      </c>
      <c r="H59">
        <v>1</v>
      </c>
      <c r="I59" s="21">
        <f t="shared" si="1"/>
        <v>45990</v>
      </c>
      <c r="J59" s="21">
        <f t="shared" ref="J59:M60" si="89">K59-J$2</f>
        <v>46011</v>
      </c>
      <c r="K59" s="21">
        <f t="shared" si="89"/>
        <v>46025</v>
      </c>
      <c r="L59" s="21">
        <f t="shared" si="89"/>
        <v>46032</v>
      </c>
      <c r="M59" s="21">
        <f t="shared" si="89"/>
        <v>46039</v>
      </c>
      <c r="N59" s="21">
        <f t="shared" si="3"/>
        <v>46046</v>
      </c>
      <c r="O59" s="21">
        <f t="shared" si="4"/>
        <v>46053</v>
      </c>
      <c r="P59" s="21">
        <f t="shared" si="82"/>
        <v>46060</v>
      </c>
      <c r="Q59" s="21">
        <f t="shared" si="83"/>
        <v>46064</v>
      </c>
      <c r="R59" s="21">
        <f t="shared" si="7"/>
        <v>46062</v>
      </c>
      <c r="S59" s="20"/>
      <c r="T59" s="21">
        <f t="shared" si="84"/>
        <v>46101</v>
      </c>
      <c r="U59" s="21">
        <f t="shared" si="9"/>
        <v>46102</v>
      </c>
      <c r="V59" s="21">
        <f t="shared" si="10"/>
        <v>46106</v>
      </c>
      <c r="W59" s="21">
        <f t="shared" si="11"/>
        <v>46113</v>
      </c>
      <c r="X59" s="21">
        <f t="shared" si="12"/>
        <v>46120</v>
      </c>
      <c r="Y59" s="21">
        <f t="shared" si="85"/>
        <v>46141</v>
      </c>
      <c r="Z59" s="21">
        <f t="shared" si="14"/>
        <v>46132</v>
      </c>
      <c r="AA59" s="21">
        <f t="shared" si="35"/>
        <v>46134</v>
      </c>
      <c r="AB59" s="21">
        <f t="shared" si="16"/>
        <v>46141</v>
      </c>
      <c r="AC59" s="21">
        <f t="shared" si="36"/>
        <v>46134</v>
      </c>
      <c r="AD59" s="21">
        <f t="shared" si="18"/>
        <v>46148</v>
      </c>
      <c r="AE59" s="21">
        <f t="shared" si="86"/>
        <v>46211</v>
      </c>
    </row>
    <row r="60" spans="1:31" x14ac:dyDescent="0.25">
      <c r="A60" s="18" t="s">
        <v>379</v>
      </c>
      <c r="B60" s="18" t="s">
        <v>81</v>
      </c>
      <c r="C60" s="30">
        <v>46177</v>
      </c>
      <c r="D60">
        <v>4</v>
      </c>
      <c r="E60">
        <v>1</v>
      </c>
      <c r="F60">
        <v>0</v>
      </c>
      <c r="G60">
        <v>1</v>
      </c>
      <c r="H60">
        <v>1</v>
      </c>
      <c r="I60" s="21">
        <f t="shared" si="1"/>
        <v>45963</v>
      </c>
      <c r="J60" s="21">
        <f t="shared" si="89"/>
        <v>45984</v>
      </c>
      <c r="K60" s="21">
        <f t="shared" si="89"/>
        <v>45998</v>
      </c>
      <c r="L60" s="21">
        <f t="shared" si="89"/>
        <v>46005</v>
      </c>
      <c r="M60" s="21">
        <f t="shared" si="89"/>
        <v>46012</v>
      </c>
      <c r="N60" s="21">
        <f t="shared" si="3"/>
        <v>46019</v>
      </c>
      <c r="O60" s="21">
        <f t="shared" si="4"/>
        <v>46026</v>
      </c>
      <c r="P60" s="21">
        <f t="shared" ref="P60" si="90">R60-2</f>
        <v>46033</v>
      </c>
      <c r="Q60" s="21">
        <f t="shared" ref="Q60" si="91">AD60-$Q$2</f>
        <v>46037</v>
      </c>
      <c r="R60" s="21">
        <f t="shared" si="7"/>
        <v>46035</v>
      </c>
      <c r="S60" s="20"/>
      <c r="T60" s="21">
        <f t="shared" ref="T60" si="92">V60-$T$2</f>
        <v>46074</v>
      </c>
      <c r="U60" s="21">
        <f t="shared" si="9"/>
        <v>46075</v>
      </c>
      <c r="V60" s="21">
        <f t="shared" si="10"/>
        <v>46079</v>
      </c>
      <c r="W60" s="21">
        <f t="shared" si="11"/>
        <v>46086</v>
      </c>
      <c r="X60" s="21">
        <f t="shared" si="12"/>
        <v>46093</v>
      </c>
      <c r="Y60" s="21">
        <f t="shared" ref="Y60" si="93">AB60</f>
        <v>46114</v>
      </c>
      <c r="Z60" s="21">
        <f t="shared" si="14"/>
        <v>46105</v>
      </c>
      <c r="AA60" s="21">
        <f t="shared" si="35"/>
        <v>46107</v>
      </c>
      <c r="AB60" s="21">
        <f t="shared" si="16"/>
        <v>46114</v>
      </c>
      <c r="AC60" s="21">
        <f t="shared" si="36"/>
        <v>46107</v>
      </c>
      <c r="AD60" s="21">
        <f t="shared" si="18"/>
        <v>46121</v>
      </c>
      <c r="AE60" s="21">
        <f t="shared" ref="AE60" si="94">C60</f>
        <v>46177</v>
      </c>
    </row>
    <row r="61" spans="1:31" x14ac:dyDescent="0.25">
      <c r="A61" s="18"/>
      <c r="B61" s="18"/>
      <c r="C61" s="30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0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</row>
    <row r="62" spans="1:31" x14ac:dyDescent="0.25">
      <c r="A62" s="18"/>
      <c r="B62" s="18"/>
      <c r="C62" s="30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0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</row>
    <row r="63" spans="1:31" x14ac:dyDescent="0.25">
      <c r="A63" s="18"/>
      <c r="B63" s="18"/>
      <c r="C63" s="30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0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</row>
    <row r="64" spans="1:31" x14ac:dyDescent="0.25">
      <c r="A64" s="18"/>
      <c r="B64" s="18"/>
      <c r="C64" s="30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0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</row>
    <row r="65" spans="1:31" x14ac:dyDescent="0.25">
      <c r="A65" s="18"/>
      <c r="B65" s="18"/>
      <c r="C65" s="30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0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</row>
    <row r="66" spans="1:31" x14ac:dyDescent="0.25">
      <c r="A66" s="18"/>
      <c r="B66" s="18"/>
      <c r="C66" s="30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0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</row>
    <row r="67" spans="1:31" x14ac:dyDescent="0.25">
      <c r="A67" s="18"/>
      <c r="B67" s="18"/>
      <c r="C67" s="30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0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</row>
    <row r="68" spans="1:31" x14ac:dyDescent="0.25">
      <c r="A68" s="18"/>
      <c r="B68" s="18"/>
      <c r="C68" s="30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0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</row>
    <row r="69" spans="1:31" x14ac:dyDescent="0.25">
      <c r="A69" s="18"/>
      <c r="B69" s="18"/>
      <c r="C69" s="30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0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</row>
    <row r="70" spans="1:31" x14ac:dyDescent="0.25">
      <c r="A70" s="18"/>
      <c r="B70" s="18"/>
      <c r="C70" s="30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0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</row>
    <row r="71" spans="1:31" x14ac:dyDescent="0.25">
      <c r="A71" s="18"/>
      <c r="B71" s="18"/>
      <c r="C71" s="30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0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</row>
    <row r="72" spans="1:31" x14ac:dyDescent="0.25">
      <c r="A72" s="18"/>
      <c r="B72" s="18"/>
      <c r="C72" s="30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0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</row>
    <row r="73" spans="1:31" x14ac:dyDescent="0.25">
      <c r="A73" s="18"/>
      <c r="B73" s="18"/>
      <c r="C73" s="30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0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</row>
    <row r="74" spans="1:31" x14ac:dyDescent="0.25">
      <c r="A74" s="18"/>
      <c r="B74" s="18"/>
      <c r="C74" s="30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0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</row>
    <row r="75" spans="1:31" x14ac:dyDescent="0.25">
      <c r="A75" s="18"/>
      <c r="B75" s="18"/>
      <c r="C75" s="30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0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</row>
    <row r="76" spans="1:31" x14ac:dyDescent="0.25">
      <c r="A76" s="18"/>
      <c r="B76" s="18"/>
      <c r="C76" s="30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0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</row>
    <row r="77" spans="1:31" x14ac:dyDescent="0.25">
      <c r="A77" s="18"/>
      <c r="B77" s="18"/>
      <c r="C77" s="30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0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</row>
    <row r="78" spans="1:31" x14ac:dyDescent="0.25">
      <c r="A78" s="18"/>
      <c r="B78" s="18"/>
      <c r="C78" s="30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0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</row>
    <row r="79" spans="1:31" x14ac:dyDescent="0.25">
      <c r="A79" s="18"/>
      <c r="B79" s="18"/>
      <c r="C79" s="30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0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</row>
    <row r="80" spans="1:31" x14ac:dyDescent="0.25">
      <c r="A80" s="18"/>
      <c r="B80" s="18"/>
      <c r="C80" s="30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0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</row>
    <row r="81" spans="1:31" x14ac:dyDescent="0.25">
      <c r="A81" s="18"/>
      <c r="B81" s="18"/>
      <c r="C81" s="30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0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</row>
    <row r="82" spans="1:31" x14ac:dyDescent="0.25">
      <c r="A82" s="18"/>
      <c r="B82" s="18"/>
      <c r="C82" s="30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0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 spans="1:31" x14ac:dyDescent="0.25">
      <c r="A83" s="18"/>
      <c r="B83" s="18"/>
      <c r="C83" s="30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0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</row>
    <row r="84" spans="1:31" x14ac:dyDescent="0.25">
      <c r="A84" s="18"/>
      <c r="B84" s="18"/>
      <c r="C84" s="30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0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</row>
    <row r="85" spans="1:31" x14ac:dyDescent="0.25">
      <c r="A85" s="18"/>
      <c r="B85" s="18"/>
      <c r="C85" s="30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0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</row>
    <row r="86" spans="1:31" x14ac:dyDescent="0.25">
      <c r="A86" s="18"/>
      <c r="B86" s="18"/>
      <c r="C86" s="30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0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</row>
    <row r="87" spans="1:31" x14ac:dyDescent="0.25">
      <c r="A87" s="18"/>
      <c r="B87" s="18"/>
      <c r="C87" s="30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0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</row>
    <row r="88" spans="1:31" x14ac:dyDescent="0.25">
      <c r="A88" s="18"/>
      <c r="B88" s="18"/>
      <c r="C88" s="30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0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</row>
    <row r="89" spans="1:31" x14ac:dyDescent="0.25">
      <c r="A89" s="18"/>
      <c r="B89" s="18"/>
      <c r="C89" s="30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0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</row>
    <row r="90" spans="1:31" x14ac:dyDescent="0.25">
      <c r="A90" s="18"/>
      <c r="B90" s="18"/>
      <c r="C90" s="30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0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</row>
    <row r="91" spans="1:31" x14ac:dyDescent="0.25">
      <c r="A91" s="18"/>
      <c r="B91" s="18"/>
      <c r="C91" s="30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0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</row>
    <row r="92" spans="1:31" x14ac:dyDescent="0.25">
      <c r="A92" s="18"/>
      <c r="B92" s="18"/>
      <c r="C92" s="30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0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</row>
    <row r="93" spans="1:31" x14ac:dyDescent="0.25">
      <c r="A93" s="18"/>
      <c r="B93" s="18"/>
      <c r="C93" s="30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0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</row>
    <row r="94" spans="1:31" x14ac:dyDescent="0.25">
      <c r="A94" s="18"/>
      <c r="B94" s="18"/>
      <c r="C94" s="30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0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</row>
    <row r="95" spans="1:31" x14ac:dyDescent="0.25">
      <c r="A95" s="18"/>
      <c r="B95" s="18"/>
      <c r="C95" s="30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0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</row>
    <row r="96" spans="1:31" x14ac:dyDescent="0.25">
      <c r="A96" s="18"/>
      <c r="B96" s="18"/>
      <c r="C96" s="30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0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</row>
    <row r="97" spans="1:31" x14ac:dyDescent="0.25">
      <c r="A97" s="18"/>
      <c r="B97" s="18"/>
      <c r="C97" s="30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0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</row>
    <row r="98" spans="1:31" x14ac:dyDescent="0.25">
      <c r="A98" s="18"/>
      <c r="B98" s="18"/>
      <c r="C98" s="30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0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</row>
    <row r="99" spans="1:31" x14ac:dyDescent="0.25">
      <c r="A99" s="18"/>
      <c r="B99" s="18"/>
      <c r="C99" s="30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0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</row>
    <row r="100" spans="1:31" x14ac:dyDescent="0.25">
      <c r="A100" s="18"/>
      <c r="B100" s="18"/>
      <c r="C100" s="30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0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 spans="1:31" x14ac:dyDescent="0.25">
      <c r="A101" s="18"/>
      <c r="B101" s="18"/>
      <c r="C101" s="30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0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</row>
    <row r="102" spans="1:31" x14ac:dyDescent="0.25">
      <c r="A102" s="18"/>
      <c r="B102" s="18"/>
      <c r="C102" s="30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0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 spans="1:31" x14ac:dyDescent="0.25">
      <c r="A103" s="18"/>
      <c r="B103" s="18"/>
      <c r="C103" s="30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0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</row>
    <row r="104" spans="1:31" x14ac:dyDescent="0.25">
      <c r="A104" s="18"/>
      <c r="B104" s="18"/>
      <c r="C104" s="30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0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</row>
    <row r="105" spans="1:31" x14ac:dyDescent="0.25">
      <c r="A105" s="18"/>
      <c r="B105" s="18"/>
      <c r="C105" s="30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0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</row>
    <row r="106" spans="1:31" x14ac:dyDescent="0.25">
      <c r="A106" s="18"/>
      <c r="B106" s="18"/>
      <c r="C106" s="30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0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</row>
    <row r="107" spans="1:31" x14ac:dyDescent="0.25">
      <c r="A107" s="18"/>
      <c r="B107" s="18"/>
      <c r="C107" s="30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0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</row>
    <row r="108" spans="1:31" x14ac:dyDescent="0.25">
      <c r="A108" s="18"/>
      <c r="B108" s="18"/>
      <c r="C108" s="30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0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 spans="1:31" x14ac:dyDescent="0.25">
      <c r="A109" s="18"/>
      <c r="B109" s="18"/>
      <c r="C109" s="30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0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</row>
    <row r="110" spans="1:31" x14ac:dyDescent="0.25">
      <c r="A110" s="18"/>
      <c r="B110" s="18"/>
      <c r="C110" s="30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0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 spans="1:31" x14ac:dyDescent="0.25">
      <c r="A111" s="18"/>
      <c r="B111" s="18"/>
      <c r="C111" s="30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0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</row>
    <row r="112" spans="1:31" x14ac:dyDescent="0.25">
      <c r="A112" s="18"/>
      <c r="B112" s="18"/>
      <c r="C112" s="30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0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 spans="1:31" x14ac:dyDescent="0.25">
      <c r="A113" s="18"/>
      <c r="B113" s="18"/>
      <c r="C113" s="30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0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</row>
    <row r="114" spans="1:31" x14ac:dyDescent="0.25">
      <c r="A114" s="18"/>
      <c r="B114" s="18"/>
      <c r="C114" s="30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0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</row>
    <row r="115" spans="1:31" x14ac:dyDescent="0.25">
      <c r="A115" s="18"/>
      <c r="B115" s="18"/>
      <c r="C115" s="30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0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 spans="1:31" x14ac:dyDescent="0.25">
      <c r="A116" s="18"/>
      <c r="B116" s="18"/>
      <c r="C116" s="30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0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</row>
    <row r="117" spans="1:31" x14ac:dyDescent="0.25">
      <c r="A117" s="18"/>
      <c r="B117" s="18"/>
      <c r="C117" s="30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0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</row>
    <row r="118" spans="1:31" x14ac:dyDescent="0.25">
      <c r="A118" s="18"/>
      <c r="B118" s="18"/>
      <c r="C118" s="30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0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</row>
    <row r="119" spans="1:31" x14ac:dyDescent="0.25">
      <c r="A119" s="18"/>
      <c r="B119" s="18"/>
      <c r="C119" s="30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0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</row>
    <row r="120" spans="1:31" x14ac:dyDescent="0.25">
      <c r="A120" s="18"/>
      <c r="B120" s="18"/>
      <c r="C120" s="30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0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</row>
    <row r="121" spans="1:31" x14ac:dyDescent="0.25">
      <c r="A121" s="18"/>
      <c r="B121" s="18"/>
      <c r="C121" s="30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0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</row>
    <row r="122" spans="1:31" x14ac:dyDescent="0.25">
      <c r="A122" s="18"/>
      <c r="B122" s="18"/>
      <c r="C122" s="30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0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</row>
    <row r="123" spans="1:31" x14ac:dyDescent="0.25">
      <c r="A123" s="18"/>
      <c r="B123" s="18"/>
      <c r="C123" s="30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0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</row>
    <row r="124" spans="1:31" x14ac:dyDescent="0.25">
      <c r="A124" s="18"/>
      <c r="B124" s="18"/>
      <c r="C124" s="30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0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</row>
    <row r="125" spans="1:31" x14ac:dyDescent="0.25">
      <c r="A125" s="18"/>
      <c r="B125" s="18"/>
      <c r="C125" s="30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0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</row>
    <row r="126" spans="1:31" x14ac:dyDescent="0.25">
      <c r="A126" s="18"/>
      <c r="B126" s="18"/>
      <c r="C126" s="30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0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</row>
    <row r="127" spans="1:31" x14ac:dyDescent="0.25">
      <c r="A127" s="18"/>
      <c r="B127" s="18"/>
      <c r="C127" s="30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0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</row>
    <row r="128" spans="1:31" x14ac:dyDescent="0.25">
      <c r="A128" s="18"/>
      <c r="B128" s="18"/>
      <c r="C128" s="30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0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</row>
    <row r="129" spans="1:31" x14ac:dyDescent="0.25">
      <c r="A129" s="18"/>
      <c r="B129" s="18"/>
      <c r="C129" s="30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0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</row>
    <row r="130" spans="1:31" x14ac:dyDescent="0.25">
      <c r="A130" s="18"/>
      <c r="B130" s="18"/>
      <c r="C130" s="30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0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</row>
    <row r="131" spans="1:31" x14ac:dyDescent="0.25">
      <c r="A131" s="18"/>
      <c r="B131" s="18"/>
      <c r="C131" s="30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0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</row>
    <row r="132" spans="1:31" x14ac:dyDescent="0.25">
      <c r="A132" s="18"/>
      <c r="B132" s="18"/>
      <c r="C132" s="30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0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</row>
    <row r="133" spans="1:31" x14ac:dyDescent="0.25">
      <c r="A133" s="18"/>
      <c r="B133" s="18"/>
      <c r="C133" s="30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0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</row>
  </sheetData>
  <mergeCells count="1">
    <mergeCell ref="D2:H2"/>
  </mergeCells>
  <phoneticPr fontId="16" type="noConversion"/>
  <pageMargins left="0.7" right="0.7" top="0.75" bottom="0.75" header="0.3" footer="0.3"/>
  <pageSetup orientation="portrait" r:id="rId1"/>
  <ignoredErrors>
    <ignoredError sqref="AD5:AD6 AD7:AD6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749"/>
  <sheetViews>
    <sheetView workbookViewId="0">
      <pane xSplit="1" ySplit="4" topLeftCell="B731" activePane="bottomRight" state="frozenSplit"/>
      <selection pane="topRight" activeCell="L1" sqref="L1"/>
      <selection pane="bottomLeft" activeCell="A20" sqref="A20"/>
      <selection pane="bottomRight" activeCell="M743" sqref="M743"/>
    </sheetView>
  </sheetViews>
  <sheetFormatPr defaultRowHeight="15" x14ac:dyDescent="0.25"/>
  <cols>
    <col min="1" max="1" width="5.7109375" bestFit="1" customWidth="1"/>
    <col min="2" max="2" width="15.85546875" bestFit="1" customWidth="1"/>
    <col min="3" max="3" width="11.140625" bestFit="1" customWidth="1"/>
    <col min="4" max="14" width="10.7109375" bestFit="1" customWidth="1"/>
    <col min="15" max="15" width="10.85546875" bestFit="1" customWidth="1"/>
    <col min="16" max="16" width="11.28515625" bestFit="1" customWidth="1"/>
    <col min="17" max="17" width="14.28515625" bestFit="1" customWidth="1"/>
  </cols>
  <sheetData>
    <row r="1" spans="1:33" ht="21" x14ac:dyDescent="0.35">
      <c r="A1" s="154" t="s">
        <v>88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</row>
    <row r="2" spans="1:33" ht="15.75" thickBot="1" x14ac:dyDescent="0.3"/>
    <row r="3" spans="1:33" s="62" customFormat="1" ht="15" customHeight="1" thickBot="1" x14ac:dyDescent="0.3">
      <c r="A3" s="148" t="s">
        <v>89</v>
      </c>
      <c r="B3" s="148" t="s">
        <v>90</v>
      </c>
      <c r="C3" s="148" t="s">
        <v>91</v>
      </c>
      <c r="D3" s="161" t="s">
        <v>92</v>
      </c>
      <c r="E3" s="161"/>
      <c r="F3" s="146" t="s">
        <v>93</v>
      </c>
      <c r="G3" s="147"/>
      <c r="H3" s="146" t="s">
        <v>94</v>
      </c>
      <c r="I3" s="147"/>
      <c r="J3" s="146" t="s">
        <v>105</v>
      </c>
      <c r="K3" s="147"/>
      <c r="L3" s="148" t="s">
        <v>95</v>
      </c>
      <c r="M3" s="155" t="s">
        <v>96</v>
      </c>
      <c r="N3" s="156"/>
      <c r="O3" s="157" t="s">
        <v>97</v>
      </c>
      <c r="P3" s="159" t="s">
        <v>98</v>
      </c>
      <c r="Q3" s="157" t="s">
        <v>99</v>
      </c>
      <c r="R3" s="150" t="s">
        <v>100</v>
      </c>
      <c r="S3" s="151"/>
      <c r="T3" s="85"/>
      <c r="U3" s="85"/>
      <c r="V3" s="85"/>
      <c r="W3" s="85"/>
      <c r="X3" s="85"/>
      <c r="Y3" s="85"/>
      <c r="Z3" s="85"/>
      <c r="AA3" s="85"/>
      <c r="AB3" s="85"/>
      <c r="AD3" s="134" t="s">
        <v>120</v>
      </c>
      <c r="AE3" s="135" t="s">
        <v>121</v>
      </c>
      <c r="AF3" s="134" t="s">
        <v>122</v>
      </c>
      <c r="AG3" s="135" t="s">
        <v>123</v>
      </c>
    </row>
    <row r="4" spans="1:33" s="65" customFormat="1" ht="15.75" customHeight="1" thickBot="1" x14ac:dyDescent="0.3">
      <c r="A4" s="149"/>
      <c r="B4" s="149"/>
      <c r="C4" s="149"/>
      <c r="D4" s="63" t="s">
        <v>101</v>
      </c>
      <c r="E4" s="64" t="s">
        <v>102</v>
      </c>
      <c r="F4" s="64" t="s">
        <v>101</v>
      </c>
      <c r="G4" s="67" t="s">
        <v>103</v>
      </c>
      <c r="H4" s="64" t="s">
        <v>101</v>
      </c>
      <c r="I4" s="64" t="s">
        <v>103</v>
      </c>
      <c r="J4" s="68" t="s">
        <v>101</v>
      </c>
      <c r="K4" s="68" t="s">
        <v>103</v>
      </c>
      <c r="L4" s="149"/>
      <c r="M4" s="68" t="s">
        <v>101</v>
      </c>
      <c r="N4" s="68" t="s">
        <v>103</v>
      </c>
      <c r="O4" s="158"/>
      <c r="P4" s="160"/>
      <c r="Q4" s="158"/>
      <c r="R4" s="152"/>
      <c r="S4" s="153"/>
      <c r="T4" s="85"/>
      <c r="U4" s="85"/>
      <c r="V4" s="85"/>
      <c r="W4" s="85"/>
      <c r="X4" s="85"/>
      <c r="Y4" s="85"/>
      <c r="Z4" s="85"/>
      <c r="AA4" s="85"/>
      <c r="AB4" s="85"/>
      <c r="AD4" s="134"/>
      <c r="AE4" s="135"/>
      <c r="AF4" s="134"/>
      <c r="AG4" s="135"/>
    </row>
    <row r="5" spans="1:33" ht="4.5" customHeight="1" x14ac:dyDescent="0.25">
      <c r="A5" s="19"/>
      <c r="B5" s="19"/>
      <c r="C5" s="19"/>
      <c r="D5" s="19"/>
      <c r="E5" s="69"/>
      <c r="F5" s="6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33" ht="15" customHeight="1" x14ac:dyDescent="0.25">
      <c r="A6" s="70" t="e">
        <f>'Actual Dates'!#REF!</f>
        <v>#REF!</v>
      </c>
      <c r="B6" s="71" t="e">
        <f>'Date Calcs'!#REF!</f>
        <v>#REF!</v>
      </c>
      <c r="C6" s="72" t="e">
        <f>'Date Calcs'!#REF!</f>
        <v>#REF!</v>
      </c>
      <c r="D6" s="73" t="e">
        <f>WORKDAY(F6,-1,)</f>
        <v>#REF!</v>
      </c>
      <c r="E6" s="73">
        <v>43503</v>
      </c>
      <c r="F6" s="73" t="e">
        <f>'Date Calcs'!#REF!</f>
        <v>#REF!</v>
      </c>
      <c r="G6" s="73" t="e">
        <f>IF(VLOOKUP(A6,'Actual Dates'!A1:AF3,8,),'Actual Dates'!#REF!,"")</f>
        <v>#REF!</v>
      </c>
      <c r="H6" s="73" t="e">
        <f>WORKDAY(L6,3,)</f>
        <v>#REF!</v>
      </c>
      <c r="I6" s="73" t="e">
        <f>IF(VLOOKUP(A6,'Actual Dates'!A1:AF3,25,),'Actual Dates'!#REF!,"")</f>
        <v>#REF!</v>
      </c>
      <c r="J6" s="73" t="e">
        <f>WORKDAY(L6,4,)</f>
        <v>#REF!</v>
      </c>
      <c r="K6" s="73" t="e">
        <f>IF(VLOOKUP(A6,'Actual Dates'!A1:AF157,26,),'Actual Dates'!#REF!,"")</f>
        <v>#REF!</v>
      </c>
      <c r="L6" s="73" t="e">
        <f>IF(VLOOKUP(A6,'Actual Dates'!A1:AF157,21,),'Actual Dates'!#REF!,"")</f>
        <v>#REF!</v>
      </c>
      <c r="M6" s="73" t="e">
        <f>L6+14</f>
        <v>#REF!</v>
      </c>
      <c r="N6" s="73" t="e">
        <f>IF(VLOOKUP(A6,'Actual Dates'!A1:AF157,27,),'Actual Dates'!#REF!,"")</f>
        <v>#REF!</v>
      </c>
      <c r="O6" s="74" t="e">
        <f>N6-C6</f>
        <v>#REF!</v>
      </c>
      <c r="P6" s="75" t="e">
        <f>F6-G6</f>
        <v>#REF!</v>
      </c>
      <c r="Q6" s="75" t="e">
        <f>M6-N6</f>
        <v>#REF!</v>
      </c>
      <c r="R6" s="144" t="s">
        <v>104</v>
      </c>
      <c r="S6" s="145"/>
      <c r="T6" s="86"/>
      <c r="U6" s="86"/>
      <c r="V6" s="86"/>
      <c r="W6" s="86"/>
      <c r="X6" s="86"/>
      <c r="Y6" s="86"/>
      <c r="Z6" s="86"/>
      <c r="AA6" s="86"/>
      <c r="AB6" s="86"/>
    </row>
    <row r="7" spans="1:33" x14ac:dyDescent="0.25">
      <c r="A7" s="70" t="e">
        <f>'Actual Dates'!#REF!</f>
        <v>#REF!</v>
      </c>
      <c r="B7" s="71" t="e">
        <f>'Date Calcs'!#REF!</f>
        <v>#REF!</v>
      </c>
      <c r="C7" s="72" t="e">
        <f>'Date Calcs'!#REF!</f>
        <v>#REF!</v>
      </c>
      <c r="D7" s="73" t="e">
        <f t="shared" ref="D7:D47" si="0">WORKDAY(F7,-1,)</f>
        <v>#REF!</v>
      </c>
      <c r="E7" s="73">
        <v>43503</v>
      </c>
      <c r="F7" s="73" t="e">
        <f>'Date Calcs'!#REF!</f>
        <v>#REF!</v>
      </c>
      <c r="G7" s="73" t="e">
        <f>IF(VLOOKUP(A7,'Actual Dates'!A2:AF3,8,),'Actual Dates'!#REF!,"")</f>
        <v>#REF!</v>
      </c>
      <c r="H7" s="73" t="e">
        <f t="shared" ref="H7:H46" si="1">WORKDAY(L7,3,)</f>
        <v>#REF!</v>
      </c>
      <c r="I7" s="73" t="e">
        <f>IF(VLOOKUP(A7,'Actual Dates'!A2:AF3,25,),'Actual Dates'!#REF!,"")</f>
        <v>#REF!</v>
      </c>
      <c r="J7" s="73" t="e">
        <f t="shared" ref="J7:J46" si="2">WORKDAY(L7,4,)</f>
        <v>#REF!</v>
      </c>
      <c r="K7" s="73" t="e">
        <f>IF(VLOOKUP(A7,'Actual Dates'!A2:AF158,26,),'Actual Dates'!#REF!,"")</f>
        <v>#REF!</v>
      </c>
      <c r="L7" s="73" t="e">
        <f>IF(VLOOKUP(A7,'Actual Dates'!A2:AF158,21,),'Actual Dates'!#REF!,"")</f>
        <v>#REF!</v>
      </c>
      <c r="M7" s="73" t="e">
        <f t="shared" ref="M7:M21" si="3">L7+14</f>
        <v>#REF!</v>
      </c>
      <c r="N7" s="73" t="e">
        <f>IF(VLOOKUP(A7,'Actual Dates'!A2:AF158,27,),'Actual Dates'!#REF!,"")</f>
        <v>#REF!</v>
      </c>
      <c r="O7" s="74" t="e">
        <f t="shared" ref="O7:O46" si="4">N7-C7</f>
        <v>#REF!</v>
      </c>
      <c r="P7" s="75" t="e">
        <f t="shared" ref="P7:P46" si="5">F7-G7</f>
        <v>#REF!</v>
      </c>
      <c r="Q7" s="75" t="e">
        <f t="shared" ref="Q7:Q46" si="6">M7-N7</f>
        <v>#REF!</v>
      </c>
      <c r="R7" s="144" t="s">
        <v>104</v>
      </c>
      <c r="S7" s="145"/>
      <c r="T7" s="86"/>
      <c r="U7" s="86"/>
      <c r="V7" s="86"/>
      <c r="W7" s="86"/>
      <c r="X7" s="86"/>
      <c r="Y7" s="86"/>
      <c r="Z7" s="86"/>
      <c r="AA7" s="86"/>
      <c r="AB7" s="86"/>
    </row>
    <row r="8" spans="1:33" x14ac:dyDescent="0.25">
      <c r="A8" s="70" t="e">
        <f>'Actual Dates'!#REF!</f>
        <v>#REF!</v>
      </c>
      <c r="B8" s="71" t="e">
        <f>'Date Calcs'!#REF!</f>
        <v>#REF!</v>
      </c>
      <c r="C8" s="72" t="e">
        <f>'Date Calcs'!#REF!</f>
        <v>#REF!</v>
      </c>
      <c r="D8" s="73" t="e">
        <f t="shared" si="0"/>
        <v>#REF!</v>
      </c>
      <c r="E8" s="73" t="s">
        <v>67</v>
      </c>
      <c r="F8" s="73" t="e">
        <f>'Date Calcs'!#REF!</f>
        <v>#REF!</v>
      </c>
      <c r="G8" s="73" t="s">
        <v>67</v>
      </c>
      <c r="H8" s="73" t="e">
        <f t="shared" si="1"/>
        <v>#REF!</v>
      </c>
      <c r="I8" s="73" t="e">
        <f>IF(VLOOKUP(A8,'Actual Dates'!A3:AF3,25,),'Actual Dates'!#REF!,"")</f>
        <v>#REF!</v>
      </c>
      <c r="J8" s="73" t="e">
        <f t="shared" si="2"/>
        <v>#REF!</v>
      </c>
      <c r="K8" s="73" t="e">
        <f>IF(VLOOKUP(A8,'Actual Dates'!A3:AF159,26,),'Actual Dates'!#REF!,"")</f>
        <v>#REF!</v>
      </c>
      <c r="L8" s="73" t="e">
        <f>IF(VLOOKUP(A8,'Actual Dates'!A3:AF159,21,),'Actual Dates'!#REF!,"")</f>
        <v>#REF!</v>
      </c>
      <c r="M8" s="73" t="e">
        <f t="shared" si="3"/>
        <v>#REF!</v>
      </c>
      <c r="N8" s="73" t="e">
        <f>IF(VLOOKUP(A8,'Actual Dates'!A3:AF159,27,),'Actual Dates'!#REF!,"")</f>
        <v>#REF!</v>
      </c>
      <c r="O8" s="74" t="e">
        <f t="shared" si="4"/>
        <v>#REF!</v>
      </c>
      <c r="P8" s="75" t="e">
        <f t="shared" si="5"/>
        <v>#REF!</v>
      </c>
      <c r="Q8" s="75" t="e">
        <f t="shared" si="6"/>
        <v>#REF!</v>
      </c>
      <c r="R8" s="144"/>
      <c r="S8" s="145"/>
      <c r="T8" s="86"/>
      <c r="U8" s="86"/>
      <c r="V8" s="86"/>
      <c r="W8" s="86"/>
      <c r="X8" s="86"/>
      <c r="Y8" s="86"/>
      <c r="Z8" s="86"/>
      <c r="AA8" s="86"/>
      <c r="AB8" s="86"/>
    </row>
    <row r="9" spans="1:33" x14ac:dyDescent="0.25">
      <c r="A9" s="70" t="e">
        <f>'Actual Dates'!#REF!</f>
        <v>#REF!</v>
      </c>
      <c r="B9" s="71" t="e">
        <f>'Date Calcs'!#REF!</f>
        <v>#REF!</v>
      </c>
      <c r="C9" s="72" t="e">
        <f>'Date Calcs'!#REF!</f>
        <v>#REF!</v>
      </c>
      <c r="D9" s="73" t="e">
        <f t="shared" si="0"/>
        <v>#REF!</v>
      </c>
      <c r="E9" s="73" t="s">
        <v>67</v>
      </c>
      <c r="F9" s="73" t="e">
        <f>'Date Calcs'!#REF!</f>
        <v>#REF!</v>
      </c>
      <c r="G9" s="73" t="s">
        <v>67</v>
      </c>
      <c r="H9" s="73" t="e">
        <f t="shared" si="1"/>
        <v>#REF!</v>
      </c>
      <c r="I9" s="73" t="e">
        <f>IF(VLOOKUP(A9,'Actual Dates'!#REF!,25,),'Actual Dates'!#REF!,"")</f>
        <v>#REF!</v>
      </c>
      <c r="J9" s="73" t="e">
        <f t="shared" si="2"/>
        <v>#REF!</v>
      </c>
      <c r="K9" s="73" t="e">
        <f>IF(VLOOKUP(A9,'Actual Dates'!A4:AF160,26,),'Actual Dates'!#REF!,"")</f>
        <v>#REF!</v>
      </c>
      <c r="L9" s="73" t="e">
        <f>IF(VLOOKUP(A9,'Actual Dates'!A4:AF160,21,),'Actual Dates'!#REF!,"")</f>
        <v>#REF!</v>
      </c>
      <c r="M9" s="73" t="e">
        <f t="shared" si="3"/>
        <v>#REF!</v>
      </c>
      <c r="N9" s="73" t="e">
        <f>IF(VLOOKUP(A9,'Actual Dates'!A4:AF160,27,),'Actual Dates'!#REF!,"")</f>
        <v>#REF!</v>
      </c>
      <c r="O9" s="74" t="e">
        <f t="shared" si="4"/>
        <v>#REF!</v>
      </c>
      <c r="P9" s="75" t="e">
        <f t="shared" si="5"/>
        <v>#REF!</v>
      </c>
      <c r="Q9" s="75" t="e">
        <f t="shared" si="6"/>
        <v>#REF!</v>
      </c>
      <c r="R9" s="144"/>
      <c r="S9" s="145"/>
      <c r="T9" s="86"/>
      <c r="U9" s="86"/>
      <c r="V9" s="86"/>
      <c r="W9" s="86"/>
      <c r="X9" s="86"/>
      <c r="Y9" s="86"/>
      <c r="Z9" s="86"/>
      <c r="AA9" s="86"/>
      <c r="AB9" s="86"/>
    </row>
    <row r="10" spans="1:33" x14ac:dyDescent="0.25">
      <c r="A10" s="70" t="e">
        <f>'Actual Dates'!#REF!</f>
        <v>#REF!</v>
      </c>
      <c r="B10" s="71" t="e">
        <f>'Date Calcs'!#REF!</f>
        <v>#REF!</v>
      </c>
      <c r="C10" s="72" t="e">
        <f>'Date Calcs'!#REF!</f>
        <v>#REF!</v>
      </c>
      <c r="D10" s="73" t="e">
        <f t="shared" si="0"/>
        <v>#REF!</v>
      </c>
      <c r="E10" s="73" t="s">
        <v>67</v>
      </c>
      <c r="F10" s="73" t="e">
        <f>'Date Calcs'!#REF!</f>
        <v>#REF!</v>
      </c>
      <c r="G10" s="73" t="s">
        <v>67</v>
      </c>
      <c r="H10" s="73" t="e">
        <f t="shared" si="1"/>
        <v>#VALUE!</v>
      </c>
      <c r="I10" s="73" t="e">
        <f>IF(VLOOKUP(A10,'Actual Dates'!#REF!,25,),'Actual Dates'!#REF!,"")</f>
        <v>#REF!</v>
      </c>
      <c r="J10" s="73" t="e">
        <f t="shared" si="2"/>
        <v>#VALUE!</v>
      </c>
      <c r="K10" s="73" t="s">
        <v>67</v>
      </c>
      <c r="L10" s="73" t="s">
        <v>67</v>
      </c>
      <c r="M10" s="73" t="e">
        <f t="shared" si="3"/>
        <v>#VALUE!</v>
      </c>
      <c r="N10" s="73" t="s">
        <v>67</v>
      </c>
      <c r="O10" s="74" t="s">
        <v>67</v>
      </c>
      <c r="P10" s="75" t="e">
        <f t="shared" si="5"/>
        <v>#REF!</v>
      </c>
      <c r="Q10" s="75" t="e">
        <f t="shared" si="6"/>
        <v>#VALUE!</v>
      </c>
      <c r="R10" s="144"/>
      <c r="S10" s="145"/>
      <c r="T10" s="86"/>
      <c r="U10" s="86"/>
      <c r="V10" s="86"/>
      <c r="W10" s="86"/>
      <c r="X10" s="86"/>
      <c r="Y10" s="86"/>
      <c r="Z10" s="86"/>
      <c r="AA10" s="86"/>
      <c r="AB10" s="86"/>
    </row>
    <row r="11" spans="1:33" x14ac:dyDescent="0.25">
      <c r="A11" s="70" t="e">
        <f>'Actual Dates'!#REF!</f>
        <v>#REF!</v>
      </c>
      <c r="B11" s="71" t="e">
        <f>'Date Calcs'!#REF!</f>
        <v>#REF!</v>
      </c>
      <c r="C11" s="72" t="e">
        <f>'Date Calcs'!#REF!</f>
        <v>#REF!</v>
      </c>
      <c r="D11" s="73" t="e">
        <f t="shared" si="0"/>
        <v>#REF!</v>
      </c>
      <c r="E11" s="73">
        <v>43538</v>
      </c>
      <c r="F11" s="73" t="e">
        <f>'Date Calcs'!#REF!</f>
        <v>#REF!</v>
      </c>
      <c r="G11" s="73" t="e">
        <f>IF(VLOOKUP(A11,'Actual Dates'!#REF!,8,),'Actual Dates'!#REF!,"")</f>
        <v>#REF!</v>
      </c>
      <c r="H11" s="73" t="e">
        <f t="shared" si="1"/>
        <v>#REF!</v>
      </c>
      <c r="I11" s="73" t="e">
        <f>IF(VLOOKUP(A11,'Actual Dates'!#REF!,25,),'Actual Dates'!#REF!,"")</f>
        <v>#REF!</v>
      </c>
      <c r="J11" s="73" t="e">
        <f t="shared" si="2"/>
        <v>#REF!</v>
      </c>
      <c r="K11" s="73" t="e">
        <f>IF(VLOOKUP(A11,'Actual Dates'!A4:AF162,26,),'Actual Dates'!#REF!,"")</f>
        <v>#REF!</v>
      </c>
      <c r="L11" s="73" t="e">
        <f>IF(VLOOKUP(A11,'Actual Dates'!A4:AF162,21,),'Actual Dates'!#REF!,"")</f>
        <v>#REF!</v>
      </c>
      <c r="M11" s="73" t="e">
        <f t="shared" si="3"/>
        <v>#REF!</v>
      </c>
      <c r="N11" s="73" t="e">
        <f>IF(VLOOKUP(A11,'Actual Dates'!A4:AF162,27,),'Actual Dates'!#REF!,"")</f>
        <v>#REF!</v>
      </c>
      <c r="O11" s="74" t="e">
        <f t="shared" si="4"/>
        <v>#REF!</v>
      </c>
      <c r="P11" s="75" t="e">
        <f t="shared" si="5"/>
        <v>#REF!</v>
      </c>
      <c r="Q11" s="75" t="e">
        <f t="shared" si="6"/>
        <v>#REF!</v>
      </c>
      <c r="R11" s="144"/>
      <c r="S11" s="145"/>
      <c r="T11" s="86"/>
      <c r="U11" s="86"/>
      <c r="V11" s="86"/>
      <c r="W11" s="86"/>
      <c r="X11" s="86"/>
      <c r="Y11" s="86"/>
      <c r="Z11" s="86"/>
      <c r="AA11" s="86"/>
      <c r="AB11" s="86"/>
    </row>
    <row r="12" spans="1:33" x14ac:dyDescent="0.25">
      <c r="A12" s="70" t="e">
        <f>'Actual Dates'!#REF!</f>
        <v>#REF!</v>
      </c>
      <c r="B12" s="71" t="e">
        <f>'Date Calcs'!#REF!</f>
        <v>#REF!</v>
      </c>
      <c r="C12" s="72" t="e">
        <f>'Date Calcs'!#REF!</f>
        <v>#REF!</v>
      </c>
      <c r="D12" s="73" t="e">
        <f t="shared" si="0"/>
        <v>#REF!</v>
      </c>
      <c r="E12" s="73">
        <v>43538</v>
      </c>
      <c r="F12" s="73" t="e">
        <f>'Date Calcs'!#REF!</f>
        <v>#REF!</v>
      </c>
      <c r="G12" s="73" t="e">
        <f>IF(VLOOKUP(A12,'Actual Dates'!#REF!,8,),'Actual Dates'!#REF!,"")</f>
        <v>#REF!</v>
      </c>
      <c r="H12" s="73" t="e">
        <f t="shared" si="1"/>
        <v>#REF!</v>
      </c>
      <c r="I12" s="73" t="e">
        <f>IF(VLOOKUP(A12,'Actual Dates'!#REF!,25,),'Actual Dates'!#REF!,"")</f>
        <v>#REF!</v>
      </c>
      <c r="J12" s="73" t="e">
        <f t="shared" si="2"/>
        <v>#REF!</v>
      </c>
      <c r="K12" s="73" t="e">
        <f>IF(VLOOKUP(A12,'Actual Dates'!A4:AF163,26,),'Actual Dates'!#REF!,"")</f>
        <v>#REF!</v>
      </c>
      <c r="L12" s="73" t="e">
        <f>IF(VLOOKUP(A12,'Actual Dates'!A4:AF163,21,),'Actual Dates'!#REF!,"")</f>
        <v>#REF!</v>
      </c>
      <c r="M12" s="73" t="e">
        <f t="shared" si="3"/>
        <v>#REF!</v>
      </c>
      <c r="N12" s="73" t="e">
        <f>IF(VLOOKUP(A12,'Actual Dates'!A4:AF163,27,),'Actual Dates'!#REF!,"")</f>
        <v>#REF!</v>
      </c>
      <c r="O12" s="74" t="e">
        <f t="shared" si="4"/>
        <v>#REF!</v>
      </c>
      <c r="P12" s="75" t="e">
        <f t="shared" si="5"/>
        <v>#REF!</v>
      </c>
      <c r="Q12" s="75" t="e">
        <f t="shared" si="6"/>
        <v>#REF!</v>
      </c>
      <c r="R12" s="144"/>
      <c r="S12" s="145"/>
      <c r="T12" s="86"/>
      <c r="U12" s="86"/>
      <c r="V12" s="86"/>
      <c r="W12" s="86"/>
      <c r="X12" s="86"/>
      <c r="Y12" s="86"/>
      <c r="Z12" s="86"/>
      <c r="AA12" s="86"/>
      <c r="AB12" s="86"/>
    </row>
    <row r="13" spans="1:33" x14ac:dyDescent="0.25">
      <c r="A13" s="70" t="e">
        <f>'Actual Dates'!#REF!</f>
        <v>#REF!</v>
      </c>
      <c r="B13" s="71" t="e">
        <f>'Date Calcs'!#REF!</f>
        <v>#REF!</v>
      </c>
      <c r="C13" s="72" t="e">
        <f>'Date Calcs'!#REF!</f>
        <v>#REF!</v>
      </c>
      <c r="D13" s="73" t="e">
        <f t="shared" si="0"/>
        <v>#REF!</v>
      </c>
      <c r="E13" s="73">
        <v>43556</v>
      </c>
      <c r="F13" s="73" t="e">
        <f>'Date Calcs'!#REF!</f>
        <v>#REF!</v>
      </c>
      <c r="G13" s="73" t="e">
        <f>IF(VLOOKUP(A13,'Actual Dates'!#REF!,8,),'Actual Dates'!#REF!,"")</f>
        <v>#REF!</v>
      </c>
      <c r="H13" s="73" t="e">
        <f t="shared" si="1"/>
        <v>#REF!</v>
      </c>
      <c r="I13" s="73" t="e">
        <f>IF(VLOOKUP(A13,'Actual Dates'!#REF!,25,),'Actual Dates'!#REF!,"")</f>
        <v>#REF!</v>
      </c>
      <c r="J13" s="73" t="e">
        <f t="shared" si="2"/>
        <v>#REF!</v>
      </c>
      <c r="K13" s="73" t="e">
        <f>IF(VLOOKUP(A13,'Actual Dates'!A4:AF164,26,),'Actual Dates'!#REF!,"")</f>
        <v>#REF!</v>
      </c>
      <c r="L13" s="73" t="e">
        <f>IF(VLOOKUP(A13,'Actual Dates'!A4:AF164,21,),'Actual Dates'!#REF!,"")</f>
        <v>#REF!</v>
      </c>
      <c r="M13" s="73" t="e">
        <f t="shared" si="3"/>
        <v>#REF!</v>
      </c>
      <c r="N13" s="73" t="e">
        <f>IF(VLOOKUP(A13,'Actual Dates'!A4:AF164,27,),'Actual Dates'!#REF!,"")</f>
        <v>#REF!</v>
      </c>
      <c r="O13" s="74" t="e">
        <f t="shared" si="4"/>
        <v>#REF!</v>
      </c>
      <c r="P13" s="75" t="e">
        <f t="shared" si="5"/>
        <v>#REF!</v>
      </c>
      <c r="Q13" s="75" t="e">
        <f t="shared" si="6"/>
        <v>#REF!</v>
      </c>
      <c r="R13" s="144" t="s">
        <v>110</v>
      </c>
      <c r="S13" s="145"/>
      <c r="T13" s="86"/>
      <c r="U13" s="86"/>
      <c r="V13" s="86"/>
      <c r="W13" s="86"/>
      <c r="X13" s="86"/>
      <c r="Y13" s="86"/>
      <c r="Z13" s="86"/>
      <c r="AA13" s="86"/>
      <c r="AB13" s="86"/>
    </row>
    <row r="14" spans="1:33" x14ac:dyDescent="0.25">
      <c r="A14" s="70" t="e">
        <f>'Actual Dates'!#REF!</f>
        <v>#REF!</v>
      </c>
      <c r="B14" s="71" t="e">
        <f>'Date Calcs'!#REF!</f>
        <v>#REF!</v>
      </c>
      <c r="C14" s="72" t="e">
        <f>'Date Calcs'!#REF!</f>
        <v>#REF!</v>
      </c>
      <c r="D14" s="73" t="e">
        <f t="shared" si="0"/>
        <v>#REF!</v>
      </c>
      <c r="E14" s="73">
        <v>43530</v>
      </c>
      <c r="F14" s="73" t="e">
        <f>'Date Calcs'!#REF!</f>
        <v>#REF!</v>
      </c>
      <c r="G14" s="73" t="e">
        <f>IF(VLOOKUP(A14,'Actual Dates'!#REF!,8,),'Actual Dates'!#REF!,"")</f>
        <v>#REF!</v>
      </c>
      <c r="H14" s="73" t="e">
        <f t="shared" si="1"/>
        <v>#REF!</v>
      </c>
      <c r="I14" s="73" t="e">
        <f>IF(VLOOKUP(A14,'Actual Dates'!#REF!,25,),'Actual Dates'!#REF!,"")</f>
        <v>#REF!</v>
      </c>
      <c r="J14" s="73" t="e">
        <f t="shared" si="2"/>
        <v>#REF!</v>
      </c>
      <c r="K14" s="73" t="e">
        <f>IF(VLOOKUP(A14,'Actual Dates'!A4:AF165,26,),'Actual Dates'!#REF!,"")</f>
        <v>#REF!</v>
      </c>
      <c r="L14" s="73" t="e">
        <f>IF(VLOOKUP(A14,'Actual Dates'!A4:AF165,21,),'Actual Dates'!#REF!,"")</f>
        <v>#REF!</v>
      </c>
      <c r="M14" s="73" t="e">
        <f t="shared" si="3"/>
        <v>#REF!</v>
      </c>
      <c r="N14" s="73" t="e">
        <f>IF(VLOOKUP(A14,'Actual Dates'!A4:AF165,27,),'Actual Dates'!#REF!,"")</f>
        <v>#REF!</v>
      </c>
      <c r="O14" s="74" t="e">
        <f t="shared" si="4"/>
        <v>#REF!</v>
      </c>
      <c r="P14" s="75" t="e">
        <f t="shared" si="5"/>
        <v>#REF!</v>
      </c>
      <c r="Q14" s="75" t="e">
        <f t="shared" si="6"/>
        <v>#REF!</v>
      </c>
      <c r="R14" s="144"/>
      <c r="S14" s="145"/>
      <c r="T14" s="86"/>
      <c r="U14" s="86"/>
      <c r="V14" s="86"/>
      <c r="W14" s="86"/>
      <c r="X14" s="86"/>
      <c r="Y14" s="86"/>
      <c r="Z14" s="86"/>
      <c r="AA14" s="86"/>
      <c r="AB14" s="86"/>
    </row>
    <row r="15" spans="1:33" x14ac:dyDescent="0.25">
      <c r="A15" s="70" t="e">
        <f>'Actual Dates'!#REF!</f>
        <v>#REF!</v>
      </c>
      <c r="B15" s="71" t="e">
        <f>'Date Calcs'!#REF!</f>
        <v>#REF!</v>
      </c>
      <c r="C15" s="72" t="e">
        <f>'Date Calcs'!#REF!</f>
        <v>#REF!</v>
      </c>
      <c r="D15" s="73" t="e">
        <f t="shared" si="0"/>
        <v>#REF!</v>
      </c>
      <c r="E15" s="73">
        <v>43556</v>
      </c>
      <c r="F15" s="73" t="e">
        <f>'Date Calcs'!#REF!</f>
        <v>#REF!</v>
      </c>
      <c r="G15" s="73" t="e">
        <f>IF(VLOOKUP(A15,'Actual Dates'!#REF!,8,),'Actual Dates'!#REF!,"")</f>
        <v>#REF!</v>
      </c>
      <c r="H15" s="73" t="e">
        <f t="shared" si="1"/>
        <v>#REF!</v>
      </c>
      <c r="I15" s="73" t="e">
        <f>IF(VLOOKUP(A15,'Actual Dates'!#REF!,25,),'Actual Dates'!#REF!,"")</f>
        <v>#REF!</v>
      </c>
      <c r="J15" s="73" t="e">
        <f t="shared" si="2"/>
        <v>#REF!</v>
      </c>
      <c r="K15" s="73" t="e">
        <f>IF(VLOOKUP(A15,'Actual Dates'!A4:AF166,26,),'Actual Dates'!#REF!,"")</f>
        <v>#REF!</v>
      </c>
      <c r="L15" s="73" t="e">
        <f>IF(VLOOKUP(A15,'Actual Dates'!A4:AF166,21,),'Actual Dates'!#REF!,"")</f>
        <v>#REF!</v>
      </c>
      <c r="M15" s="73" t="e">
        <f t="shared" si="3"/>
        <v>#REF!</v>
      </c>
      <c r="N15" s="73" t="e">
        <f>IF(VLOOKUP(A15,'Actual Dates'!A4:AF166,27,),'Actual Dates'!#REF!,"")</f>
        <v>#REF!</v>
      </c>
      <c r="O15" s="74" t="e">
        <f t="shared" si="4"/>
        <v>#REF!</v>
      </c>
      <c r="P15" s="75" t="e">
        <f t="shared" si="5"/>
        <v>#REF!</v>
      </c>
      <c r="Q15" s="75" t="e">
        <f t="shared" si="6"/>
        <v>#REF!</v>
      </c>
      <c r="R15" s="144" t="s">
        <v>106</v>
      </c>
      <c r="S15" s="145"/>
      <c r="T15" s="86"/>
      <c r="U15" s="86"/>
      <c r="V15" s="86"/>
      <c r="W15" s="86"/>
      <c r="X15" s="86"/>
      <c r="Y15" s="86"/>
      <c r="Z15" s="86"/>
      <c r="AA15" s="86"/>
      <c r="AB15" s="86"/>
    </row>
    <row r="16" spans="1:33" x14ac:dyDescent="0.25">
      <c r="A16" s="70" t="e">
        <f>'Actual Dates'!#REF!</f>
        <v>#REF!</v>
      </c>
      <c r="B16" s="71" t="e">
        <f>'Date Calcs'!#REF!</f>
        <v>#REF!</v>
      </c>
      <c r="C16" s="72" t="e">
        <f>'Date Calcs'!#REF!</f>
        <v>#REF!</v>
      </c>
      <c r="D16" s="73" t="e">
        <f t="shared" si="0"/>
        <v>#REF!</v>
      </c>
      <c r="E16" s="73">
        <v>43551</v>
      </c>
      <c r="F16" s="73" t="e">
        <f>'Date Calcs'!#REF!</f>
        <v>#REF!</v>
      </c>
      <c r="G16" s="73" t="e">
        <f>IF(VLOOKUP(A16,'Actual Dates'!#REF!,8,),'Actual Dates'!#REF!,"")</f>
        <v>#REF!</v>
      </c>
      <c r="H16" s="73" t="e">
        <f t="shared" si="1"/>
        <v>#REF!</v>
      </c>
      <c r="I16" s="73" t="e">
        <f>IF(VLOOKUP(A16,'Actual Dates'!#REF!,25,),'Actual Dates'!#REF!,"")</f>
        <v>#REF!</v>
      </c>
      <c r="J16" s="73" t="e">
        <f t="shared" si="2"/>
        <v>#REF!</v>
      </c>
      <c r="K16" s="73" t="e">
        <f>IF(VLOOKUP(A16,'Actual Dates'!A4:AF167,26,),'Actual Dates'!#REF!,"")</f>
        <v>#REF!</v>
      </c>
      <c r="L16" s="73" t="e">
        <f>IF(VLOOKUP(A16,'Actual Dates'!A4:AF167,21,),'Actual Dates'!#REF!,"")</f>
        <v>#REF!</v>
      </c>
      <c r="M16" s="73" t="e">
        <f t="shared" si="3"/>
        <v>#REF!</v>
      </c>
      <c r="N16" s="73" t="e">
        <f>IF(VLOOKUP(A16,'Actual Dates'!A4:AF167,27,),'Actual Dates'!#REF!,"")</f>
        <v>#REF!</v>
      </c>
      <c r="O16" s="74" t="e">
        <f t="shared" si="4"/>
        <v>#REF!</v>
      </c>
      <c r="P16" s="75" t="e">
        <f t="shared" si="5"/>
        <v>#REF!</v>
      </c>
      <c r="Q16" s="75" t="e">
        <f t="shared" si="6"/>
        <v>#REF!</v>
      </c>
      <c r="R16" s="144" t="s">
        <v>106</v>
      </c>
      <c r="S16" s="145"/>
      <c r="T16" s="86"/>
      <c r="U16" s="86"/>
      <c r="V16" s="86"/>
      <c r="W16" s="86"/>
      <c r="X16" s="86"/>
      <c r="Y16" s="86"/>
      <c r="Z16" s="86"/>
      <c r="AA16" s="86"/>
      <c r="AB16" s="86"/>
    </row>
    <row r="17" spans="1:28" x14ac:dyDescent="0.25">
      <c r="A17" s="70" t="e">
        <f>'Actual Dates'!#REF!</f>
        <v>#REF!</v>
      </c>
      <c r="B17" s="71" t="e">
        <f>'Date Calcs'!#REF!</f>
        <v>#REF!</v>
      </c>
      <c r="C17" s="72" t="e">
        <f>'Date Calcs'!#REF!</f>
        <v>#REF!</v>
      </c>
      <c r="D17" s="73" t="e">
        <f t="shared" si="0"/>
        <v>#REF!</v>
      </c>
      <c r="E17" s="73">
        <v>43546</v>
      </c>
      <c r="F17" s="73" t="e">
        <f>'Date Calcs'!#REF!</f>
        <v>#REF!</v>
      </c>
      <c r="G17" s="73" t="e">
        <f>IF(VLOOKUP(A17,'Actual Dates'!#REF!,8,),'Actual Dates'!#REF!,"")</f>
        <v>#REF!</v>
      </c>
      <c r="H17" s="73" t="e">
        <f t="shared" si="1"/>
        <v>#REF!</v>
      </c>
      <c r="I17" s="73" t="e">
        <f>IF(VLOOKUP(A17,'Actual Dates'!#REF!,25,),'Actual Dates'!#REF!,"")</f>
        <v>#REF!</v>
      </c>
      <c r="J17" s="73" t="e">
        <f t="shared" si="2"/>
        <v>#REF!</v>
      </c>
      <c r="K17" s="73" t="e">
        <f>IF(VLOOKUP(A17,'Actual Dates'!A4:AF168,26,),'Actual Dates'!#REF!,"")</f>
        <v>#REF!</v>
      </c>
      <c r="L17" s="73" t="e">
        <f>IF(VLOOKUP(A17,'Actual Dates'!A4:AF168,21,),'Actual Dates'!#REF!,"")</f>
        <v>#REF!</v>
      </c>
      <c r="M17" s="73" t="e">
        <f t="shared" si="3"/>
        <v>#REF!</v>
      </c>
      <c r="N17" s="73" t="e">
        <f>IF(VLOOKUP(A17,'Actual Dates'!A4:AF168,27,),'Actual Dates'!#REF!,"")</f>
        <v>#REF!</v>
      </c>
      <c r="O17" s="74" t="e">
        <f t="shared" si="4"/>
        <v>#REF!</v>
      </c>
      <c r="P17" s="75" t="e">
        <f t="shared" si="5"/>
        <v>#REF!</v>
      </c>
      <c r="Q17" s="75" t="e">
        <f t="shared" si="6"/>
        <v>#REF!</v>
      </c>
      <c r="R17" s="144"/>
      <c r="S17" s="145"/>
      <c r="T17" s="86"/>
      <c r="U17" s="86"/>
      <c r="V17" s="86"/>
      <c r="W17" s="86"/>
      <c r="X17" s="86"/>
      <c r="Y17" s="86"/>
      <c r="Z17" s="86"/>
      <c r="AA17" s="86"/>
      <c r="AB17" s="86"/>
    </row>
    <row r="18" spans="1:28" x14ac:dyDescent="0.25">
      <c r="A18" s="70" t="e">
        <f>'Actual Dates'!#REF!</f>
        <v>#REF!</v>
      </c>
      <c r="B18" s="71" t="e">
        <f>'Date Calcs'!#REF!</f>
        <v>#REF!</v>
      </c>
      <c r="C18" s="72" t="e">
        <f>'Date Calcs'!#REF!</f>
        <v>#REF!</v>
      </c>
      <c r="D18" s="73" t="e">
        <f t="shared" si="0"/>
        <v>#REF!</v>
      </c>
      <c r="E18" s="73">
        <v>43546</v>
      </c>
      <c r="F18" s="73" t="e">
        <f>'Date Calcs'!#REF!</f>
        <v>#REF!</v>
      </c>
      <c r="G18" s="73" t="e">
        <f>IF(VLOOKUP(A18,'Actual Dates'!#REF!,8,),'Actual Dates'!#REF!,"")</f>
        <v>#REF!</v>
      </c>
      <c r="H18" s="73" t="e">
        <f t="shared" si="1"/>
        <v>#REF!</v>
      </c>
      <c r="I18" s="73" t="e">
        <f>IF(VLOOKUP(A18,'Actual Dates'!#REF!,25,),'Actual Dates'!#REF!,"")</f>
        <v>#REF!</v>
      </c>
      <c r="J18" s="73" t="e">
        <f t="shared" si="2"/>
        <v>#REF!</v>
      </c>
      <c r="K18" s="73" t="e">
        <f>IF(VLOOKUP(A18,'Actual Dates'!A4:AF169,26,),'Actual Dates'!#REF!,"")</f>
        <v>#REF!</v>
      </c>
      <c r="L18" s="73" t="e">
        <f>IF(VLOOKUP(A18,'Actual Dates'!A4:AF169,21,),'Actual Dates'!#REF!,"")</f>
        <v>#REF!</v>
      </c>
      <c r="M18" s="73" t="e">
        <f t="shared" si="3"/>
        <v>#REF!</v>
      </c>
      <c r="N18" s="73" t="e">
        <f>IF(VLOOKUP(A18,'Actual Dates'!A4:AF169,27,),'Actual Dates'!#REF!,"")</f>
        <v>#REF!</v>
      </c>
      <c r="O18" s="74" t="e">
        <f t="shared" si="4"/>
        <v>#REF!</v>
      </c>
      <c r="P18" s="75" t="e">
        <f t="shared" si="5"/>
        <v>#REF!</v>
      </c>
      <c r="Q18" s="75" t="e">
        <f t="shared" si="6"/>
        <v>#REF!</v>
      </c>
      <c r="R18" s="144"/>
      <c r="S18" s="145"/>
      <c r="T18" s="86"/>
      <c r="U18" s="86"/>
      <c r="V18" s="86"/>
      <c r="W18" s="86"/>
      <c r="X18" s="86"/>
      <c r="Y18" s="86"/>
      <c r="Z18" s="86"/>
      <c r="AA18" s="86"/>
      <c r="AB18" s="86"/>
    </row>
    <row r="19" spans="1:28" x14ac:dyDescent="0.25">
      <c r="A19" s="70" t="e">
        <f>'Actual Dates'!#REF!</f>
        <v>#REF!</v>
      </c>
      <c r="B19" s="71" t="e">
        <f>'Date Calcs'!#REF!</f>
        <v>#REF!</v>
      </c>
      <c r="C19" s="72" t="e">
        <f>'Date Calcs'!#REF!</f>
        <v>#REF!</v>
      </c>
      <c r="D19" s="73" t="e">
        <f t="shared" si="0"/>
        <v>#REF!</v>
      </c>
      <c r="E19" s="73">
        <v>43545</v>
      </c>
      <c r="F19" s="73" t="e">
        <f>'Date Calcs'!#REF!</f>
        <v>#REF!</v>
      </c>
      <c r="G19" s="73" t="e">
        <f>IF(VLOOKUP(A19,'Actual Dates'!#REF!,8,),'Actual Dates'!#REF!,"")</f>
        <v>#REF!</v>
      </c>
      <c r="H19" s="73" t="e">
        <f t="shared" si="1"/>
        <v>#REF!</v>
      </c>
      <c r="I19" s="73" t="e">
        <f>IF(VLOOKUP(A19,'Actual Dates'!#REF!,25,),'Actual Dates'!#REF!,"")</f>
        <v>#REF!</v>
      </c>
      <c r="J19" s="73" t="e">
        <f t="shared" si="2"/>
        <v>#REF!</v>
      </c>
      <c r="K19" s="73" t="e">
        <f>IF(VLOOKUP(A19,'Actual Dates'!A4:AF170,26,),'Actual Dates'!#REF!,"")</f>
        <v>#REF!</v>
      </c>
      <c r="L19" s="73" t="e">
        <f>IF(VLOOKUP(A19,'Actual Dates'!A4:AF170,21,),'Actual Dates'!#REF!,"")</f>
        <v>#REF!</v>
      </c>
      <c r="M19" s="73" t="e">
        <f t="shared" si="3"/>
        <v>#REF!</v>
      </c>
      <c r="N19" s="73" t="e">
        <f>IF(VLOOKUP(A19,'Actual Dates'!A4:AF170,27,),'Actual Dates'!#REF!,"")</f>
        <v>#REF!</v>
      </c>
      <c r="O19" s="74" t="e">
        <f t="shared" si="4"/>
        <v>#REF!</v>
      </c>
      <c r="P19" s="75" t="e">
        <f t="shared" si="5"/>
        <v>#REF!</v>
      </c>
      <c r="Q19" s="75" t="e">
        <f t="shared" si="6"/>
        <v>#REF!</v>
      </c>
      <c r="R19" s="144"/>
      <c r="S19" s="145"/>
      <c r="T19" s="86"/>
      <c r="U19" s="86"/>
      <c r="V19" s="86"/>
      <c r="W19" s="86"/>
      <c r="X19" s="86"/>
      <c r="Y19" s="86"/>
      <c r="Z19" s="86"/>
      <c r="AA19" s="86"/>
      <c r="AB19" s="86"/>
    </row>
    <row r="20" spans="1:28" x14ac:dyDescent="0.25">
      <c r="A20" s="70" t="e">
        <f>'Actual Dates'!#REF!</f>
        <v>#REF!</v>
      </c>
      <c r="B20" s="71" t="e">
        <f>'Date Calcs'!#REF!</f>
        <v>#REF!</v>
      </c>
      <c r="C20" s="72" t="e">
        <f>'Date Calcs'!#REF!</f>
        <v>#REF!</v>
      </c>
      <c r="D20" s="73" t="e">
        <f t="shared" si="0"/>
        <v>#REF!</v>
      </c>
      <c r="E20" s="73">
        <v>43551</v>
      </c>
      <c r="F20" s="73" t="e">
        <f>'Date Calcs'!#REF!</f>
        <v>#REF!</v>
      </c>
      <c r="G20" s="73" t="e">
        <f>IF(VLOOKUP(A20,'Actual Dates'!#REF!,8,),'Actual Dates'!#REF!,"")</f>
        <v>#REF!</v>
      </c>
      <c r="H20" s="73" t="e">
        <f t="shared" si="1"/>
        <v>#REF!</v>
      </c>
      <c r="I20" s="73" t="e">
        <f>IF(VLOOKUP(A20,'Actual Dates'!#REF!,25,),'Actual Dates'!#REF!,"")</f>
        <v>#REF!</v>
      </c>
      <c r="J20" s="73" t="e">
        <f t="shared" si="2"/>
        <v>#REF!</v>
      </c>
      <c r="K20" s="73" t="e">
        <f>IF(VLOOKUP(A20,'Actual Dates'!A4:AF171,26,),'Actual Dates'!#REF!,"")</f>
        <v>#REF!</v>
      </c>
      <c r="L20" s="73" t="e">
        <f>IF(VLOOKUP(A20,'Actual Dates'!A4:AF171,21,),'Actual Dates'!#REF!,"")</f>
        <v>#REF!</v>
      </c>
      <c r="M20" s="73" t="e">
        <f t="shared" si="3"/>
        <v>#REF!</v>
      </c>
      <c r="N20" s="73" t="e">
        <f>IF(VLOOKUP(A20,'Actual Dates'!A4:AF171,27,),'Actual Dates'!#REF!,"")</f>
        <v>#REF!</v>
      </c>
      <c r="O20" s="74" t="e">
        <f t="shared" si="4"/>
        <v>#REF!</v>
      </c>
      <c r="P20" s="75" t="e">
        <f t="shared" si="5"/>
        <v>#REF!</v>
      </c>
      <c r="Q20" s="75" t="e">
        <f t="shared" si="6"/>
        <v>#REF!</v>
      </c>
      <c r="R20" s="144" t="s">
        <v>111</v>
      </c>
      <c r="S20" s="145"/>
      <c r="T20" s="86"/>
      <c r="U20" s="86"/>
      <c r="V20" s="86"/>
      <c r="W20" s="86"/>
      <c r="X20" s="86"/>
      <c r="Y20" s="86"/>
      <c r="Z20" s="86"/>
      <c r="AA20" s="86"/>
      <c r="AB20" s="86"/>
    </row>
    <row r="21" spans="1:28" x14ac:dyDescent="0.25">
      <c r="A21" s="70" t="e">
        <f>'Actual Dates'!#REF!</f>
        <v>#REF!</v>
      </c>
      <c r="B21" s="71" t="e">
        <f>'Date Calcs'!#REF!</f>
        <v>#REF!</v>
      </c>
      <c r="C21" s="72" t="e">
        <f>'Date Calcs'!#REF!</f>
        <v>#REF!</v>
      </c>
      <c r="D21" s="73" t="e">
        <f t="shared" si="0"/>
        <v>#REF!</v>
      </c>
      <c r="E21" s="73" t="s">
        <v>67</v>
      </c>
      <c r="F21" s="73" t="e">
        <f>'Date Calcs'!#REF!</f>
        <v>#REF!</v>
      </c>
      <c r="G21" s="73" t="s">
        <v>67</v>
      </c>
      <c r="H21" s="73" t="e">
        <f t="shared" si="1"/>
        <v>#VALUE!</v>
      </c>
      <c r="I21" s="73" t="e">
        <f>IF(VLOOKUP(A21,'Actual Dates'!#REF!,25,),'Actual Dates'!#REF!,"")</f>
        <v>#REF!</v>
      </c>
      <c r="J21" s="73" t="e">
        <f t="shared" si="2"/>
        <v>#VALUE!</v>
      </c>
      <c r="K21" s="73" t="e">
        <f>IF(VLOOKUP(A21,'Actual Dates'!A4:AF172,26,),'Actual Dates'!#REF!,"")</f>
        <v>#REF!</v>
      </c>
      <c r="L21" s="73" t="s">
        <v>67</v>
      </c>
      <c r="M21" s="73" t="e">
        <f t="shared" si="3"/>
        <v>#VALUE!</v>
      </c>
      <c r="N21" s="73" t="s">
        <v>67</v>
      </c>
      <c r="O21" s="74" t="e">
        <f t="shared" si="4"/>
        <v>#VALUE!</v>
      </c>
      <c r="P21" s="75" t="e">
        <f t="shared" si="5"/>
        <v>#REF!</v>
      </c>
      <c r="Q21" s="75" t="e">
        <f t="shared" si="6"/>
        <v>#VALUE!</v>
      </c>
      <c r="R21" s="142" t="s">
        <v>107</v>
      </c>
      <c r="S21" s="143"/>
      <c r="T21" s="87"/>
      <c r="U21" s="87"/>
      <c r="V21" s="87"/>
      <c r="W21" s="87"/>
      <c r="X21" s="87"/>
      <c r="Y21" s="87"/>
      <c r="Z21" s="87"/>
      <c r="AA21" s="87"/>
      <c r="AB21" s="87"/>
    </row>
    <row r="22" spans="1:28" x14ac:dyDescent="0.25">
      <c r="A22" s="70" t="e">
        <f>'Actual Dates'!#REF!</f>
        <v>#REF!</v>
      </c>
      <c r="B22" s="71" t="e">
        <f>'Date Calcs'!#REF!</f>
        <v>#REF!</v>
      </c>
      <c r="C22" s="72" t="e">
        <f>'Date Calcs'!#REF!</f>
        <v>#REF!</v>
      </c>
      <c r="D22" s="73" t="e">
        <f t="shared" si="0"/>
        <v>#REF!</v>
      </c>
      <c r="E22" s="73">
        <v>43599</v>
      </c>
      <c r="F22" s="73" t="e">
        <f>'Date Calcs'!#REF!</f>
        <v>#REF!</v>
      </c>
      <c r="G22" s="73" t="e">
        <f>IF(VLOOKUP(A22,'Actual Dates'!#REF!,8,),'Actual Dates'!#REF!,"")</f>
        <v>#REF!</v>
      </c>
      <c r="H22" s="73" t="e">
        <f t="shared" si="1"/>
        <v>#REF!</v>
      </c>
      <c r="I22" s="73" t="e">
        <f>IF(VLOOKUP(A22,'Actual Dates'!#REF!,25,),'Actual Dates'!#REF!,"")</f>
        <v>#REF!</v>
      </c>
      <c r="J22" s="73" t="e">
        <f t="shared" si="2"/>
        <v>#REF!</v>
      </c>
      <c r="K22" s="73" t="e">
        <f>IF(VLOOKUP(A22,'Actual Dates'!A4:AF173,26,),'Actual Dates'!#REF!,"")</f>
        <v>#REF!</v>
      </c>
      <c r="L22" s="73" t="e">
        <f>IF(VLOOKUP(A22,'Actual Dates'!A4:AF173,21,),'Actual Dates'!#REF!,"")</f>
        <v>#REF!</v>
      </c>
      <c r="M22" s="73" t="e">
        <f>'Date Calcs'!#REF!</f>
        <v>#REF!</v>
      </c>
      <c r="N22" s="73" t="e">
        <f>IF(VLOOKUP(A22,'Actual Dates'!A4:AF173,27,),'Actual Dates'!#REF!,"")</f>
        <v>#REF!</v>
      </c>
      <c r="O22" s="74" t="e">
        <f t="shared" si="4"/>
        <v>#REF!</v>
      </c>
      <c r="P22" s="75" t="e">
        <f t="shared" si="5"/>
        <v>#REF!</v>
      </c>
      <c r="Q22" s="75" t="e">
        <f t="shared" si="6"/>
        <v>#REF!</v>
      </c>
      <c r="R22" s="144"/>
      <c r="S22" s="145"/>
      <c r="T22" s="86"/>
      <c r="U22" s="86"/>
      <c r="V22" s="86"/>
      <c r="W22" s="86"/>
      <c r="X22" s="86"/>
      <c r="Y22" s="86"/>
      <c r="Z22" s="86"/>
      <c r="AA22" s="86"/>
      <c r="AB22" s="86"/>
    </row>
    <row r="23" spans="1:28" x14ac:dyDescent="0.25">
      <c r="A23" s="70" t="e">
        <f>'Actual Dates'!#REF!</f>
        <v>#REF!</v>
      </c>
      <c r="B23" s="71" t="e">
        <f>'Date Calcs'!#REF!</f>
        <v>#REF!</v>
      </c>
      <c r="C23" s="72" t="e">
        <f>'Date Calcs'!#REF!</f>
        <v>#REF!</v>
      </c>
      <c r="D23" s="73" t="e">
        <f t="shared" si="0"/>
        <v>#REF!</v>
      </c>
      <c r="E23" s="73">
        <v>43571</v>
      </c>
      <c r="F23" s="73" t="e">
        <f>'Date Calcs'!#REF!</f>
        <v>#REF!</v>
      </c>
      <c r="G23" s="73" t="e">
        <f>IF(VLOOKUP(A23,'Actual Dates'!#REF!,8,),'Actual Dates'!#REF!,"")</f>
        <v>#REF!</v>
      </c>
      <c r="H23" s="73" t="e">
        <f t="shared" si="1"/>
        <v>#REF!</v>
      </c>
      <c r="I23" s="73" t="e">
        <f>IF(VLOOKUP(A23,'Actual Dates'!#REF!,25,),'Actual Dates'!#REF!,"")</f>
        <v>#REF!</v>
      </c>
      <c r="J23" s="73" t="e">
        <f t="shared" si="2"/>
        <v>#REF!</v>
      </c>
      <c r="K23" s="73" t="e">
        <f>IF(VLOOKUP(A23,'Actual Dates'!A4:AF174,26,),'Actual Dates'!#REF!,"")</f>
        <v>#REF!</v>
      </c>
      <c r="L23" s="73" t="e">
        <f>IF(VLOOKUP(A23,'Actual Dates'!A4:AF174,21,),'Actual Dates'!#REF!,"")</f>
        <v>#REF!</v>
      </c>
      <c r="M23" s="73" t="e">
        <f>'Date Calcs'!#REF!</f>
        <v>#REF!</v>
      </c>
      <c r="N23" s="73" t="e">
        <f>IF(VLOOKUP(A23,'Actual Dates'!A4:AF174,27,),'Actual Dates'!#REF!,"")</f>
        <v>#REF!</v>
      </c>
      <c r="O23" s="74" t="e">
        <f t="shared" si="4"/>
        <v>#REF!</v>
      </c>
      <c r="P23" s="75" t="e">
        <f t="shared" si="5"/>
        <v>#REF!</v>
      </c>
      <c r="Q23" s="75" t="e">
        <f t="shared" si="6"/>
        <v>#REF!</v>
      </c>
      <c r="R23" s="144"/>
      <c r="S23" s="145"/>
      <c r="T23" s="86"/>
      <c r="U23" s="86"/>
      <c r="V23" s="86"/>
      <c r="W23" s="86"/>
      <c r="X23" s="86"/>
      <c r="Y23" s="86"/>
      <c r="Z23" s="86"/>
      <c r="AA23" s="86"/>
      <c r="AB23" s="86"/>
    </row>
    <row r="24" spans="1:28" x14ac:dyDescent="0.25">
      <c r="A24" s="70" t="e">
        <f>'Actual Dates'!#REF!</f>
        <v>#REF!</v>
      </c>
      <c r="B24" s="71" t="e">
        <f>'Date Calcs'!#REF!</f>
        <v>#REF!</v>
      </c>
      <c r="C24" s="72" t="e">
        <f>'Date Calcs'!#REF!</f>
        <v>#REF!</v>
      </c>
      <c r="D24" s="73" t="e">
        <f t="shared" si="0"/>
        <v>#REF!</v>
      </c>
      <c r="E24" s="73">
        <v>43571</v>
      </c>
      <c r="F24" s="73" t="e">
        <f>'Date Calcs'!#REF!</f>
        <v>#REF!</v>
      </c>
      <c r="G24" s="73" t="e">
        <f>IF(VLOOKUP(A24,'Actual Dates'!#REF!,8,),'Actual Dates'!#REF!,"")</f>
        <v>#REF!</v>
      </c>
      <c r="H24" s="73" t="e">
        <f t="shared" si="1"/>
        <v>#REF!</v>
      </c>
      <c r="I24" s="73" t="e">
        <f>IF(VLOOKUP(A24,'Actual Dates'!#REF!,25,),'Actual Dates'!#REF!,"")</f>
        <v>#REF!</v>
      </c>
      <c r="J24" s="73" t="e">
        <f t="shared" si="2"/>
        <v>#REF!</v>
      </c>
      <c r="K24" s="73" t="e">
        <f>IF(VLOOKUP(A24,'Actual Dates'!A4:AF175,26,),'Actual Dates'!#REF!,"")</f>
        <v>#REF!</v>
      </c>
      <c r="L24" s="73" t="e">
        <f>IF(VLOOKUP(A24,'Actual Dates'!A4:AF175,21,),'Actual Dates'!#REF!,"")</f>
        <v>#REF!</v>
      </c>
      <c r="M24" s="73" t="e">
        <f>'Date Calcs'!#REF!</f>
        <v>#REF!</v>
      </c>
      <c r="N24" s="73" t="e">
        <f>IF(VLOOKUP(A24,'Actual Dates'!A4:AF175,27,),'Actual Dates'!#REF!,"")</f>
        <v>#REF!</v>
      </c>
      <c r="O24" s="74" t="e">
        <f t="shared" si="4"/>
        <v>#REF!</v>
      </c>
      <c r="P24" s="75" t="e">
        <f t="shared" si="5"/>
        <v>#REF!</v>
      </c>
      <c r="Q24" s="75" t="e">
        <f t="shared" si="6"/>
        <v>#REF!</v>
      </c>
      <c r="R24" s="144"/>
      <c r="S24" s="145"/>
      <c r="T24" s="86"/>
      <c r="U24" s="86"/>
      <c r="V24" s="86"/>
      <c r="W24" s="86"/>
      <c r="X24" s="86"/>
      <c r="Y24" s="86"/>
      <c r="Z24" s="86"/>
      <c r="AA24" s="86"/>
      <c r="AB24" s="86"/>
    </row>
    <row r="25" spans="1:28" x14ac:dyDescent="0.25">
      <c r="A25" s="70" t="e">
        <f>'Actual Dates'!#REF!</f>
        <v>#REF!</v>
      </c>
      <c r="B25" s="71" t="e">
        <f>'Date Calcs'!#REF!</f>
        <v>#REF!</v>
      </c>
      <c r="C25" s="72" t="e">
        <f>'Date Calcs'!#REF!</f>
        <v>#REF!</v>
      </c>
      <c r="D25" s="73" t="e">
        <f t="shared" si="0"/>
        <v>#REF!</v>
      </c>
      <c r="E25" s="73">
        <v>43571</v>
      </c>
      <c r="F25" s="73" t="e">
        <f>'Date Calcs'!#REF!</f>
        <v>#REF!</v>
      </c>
      <c r="G25" s="73" t="e">
        <f>IF(VLOOKUP(A25,'Actual Dates'!#REF!,8,),'Actual Dates'!#REF!,"")</f>
        <v>#REF!</v>
      </c>
      <c r="H25" s="73" t="e">
        <f t="shared" si="1"/>
        <v>#REF!</v>
      </c>
      <c r="I25" s="73" t="e">
        <f>IF(VLOOKUP(A25,'Actual Dates'!#REF!,25,),'Actual Dates'!#REF!,"")</f>
        <v>#REF!</v>
      </c>
      <c r="J25" s="73" t="e">
        <f t="shared" si="2"/>
        <v>#REF!</v>
      </c>
      <c r="K25" s="73" t="e">
        <f>IF(VLOOKUP(A25,'Actual Dates'!A4:AF176,26,),'Actual Dates'!#REF!,"")</f>
        <v>#REF!</v>
      </c>
      <c r="L25" s="73" t="e">
        <f>IF(VLOOKUP(A25,'Actual Dates'!A4:AF176,21,),'Actual Dates'!#REF!,"")</f>
        <v>#REF!</v>
      </c>
      <c r="M25" s="73" t="e">
        <f>'Date Calcs'!#REF!</f>
        <v>#REF!</v>
      </c>
      <c r="N25" s="73" t="e">
        <f>IF(VLOOKUP(A25,'Actual Dates'!A4:AF176,27,),'Actual Dates'!#REF!,"")</f>
        <v>#REF!</v>
      </c>
      <c r="O25" s="74" t="e">
        <f t="shared" si="4"/>
        <v>#REF!</v>
      </c>
      <c r="P25" s="75" t="e">
        <f t="shared" si="5"/>
        <v>#REF!</v>
      </c>
      <c r="Q25" s="75" t="e">
        <f t="shared" si="6"/>
        <v>#REF!</v>
      </c>
      <c r="R25" s="144"/>
      <c r="S25" s="145"/>
      <c r="T25" s="86"/>
      <c r="U25" s="86"/>
      <c r="V25" s="86"/>
      <c r="W25" s="86"/>
      <c r="X25" s="86"/>
      <c r="Y25" s="86"/>
      <c r="Z25" s="86"/>
      <c r="AA25" s="86"/>
      <c r="AB25" s="86"/>
    </row>
    <row r="26" spans="1:28" x14ac:dyDescent="0.25">
      <c r="A26" s="70" t="e">
        <f>'Actual Dates'!#REF!</f>
        <v>#REF!</v>
      </c>
      <c r="B26" s="71" t="e">
        <f>'Date Calcs'!#REF!</f>
        <v>#REF!</v>
      </c>
      <c r="C26" s="72" t="e">
        <f>'Date Calcs'!#REF!</f>
        <v>#REF!</v>
      </c>
      <c r="D26" s="73" t="e">
        <f t="shared" si="0"/>
        <v>#REF!</v>
      </c>
      <c r="E26" s="73">
        <v>43571</v>
      </c>
      <c r="F26" s="73" t="e">
        <f>'Date Calcs'!#REF!</f>
        <v>#REF!</v>
      </c>
      <c r="G26" s="73" t="e">
        <f>IF(VLOOKUP(A26,'Actual Dates'!#REF!,8,),'Actual Dates'!#REF!,"")</f>
        <v>#REF!</v>
      </c>
      <c r="H26" s="73" t="e">
        <f t="shared" si="1"/>
        <v>#REF!</v>
      </c>
      <c r="I26" s="73" t="e">
        <f>IF(VLOOKUP(A26,'Actual Dates'!#REF!,25,),'Actual Dates'!#REF!,"")</f>
        <v>#REF!</v>
      </c>
      <c r="J26" s="73" t="e">
        <f t="shared" si="2"/>
        <v>#REF!</v>
      </c>
      <c r="K26" s="73" t="e">
        <f>IF(VLOOKUP(A26,'Actual Dates'!A4:AF177,26,),'Actual Dates'!#REF!,"")</f>
        <v>#REF!</v>
      </c>
      <c r="L26" s="73" t="e">
        <f>IF(VLOOKUP(A26,'Actual Dates'!A4:AF177,21,),'Actual Dates'!#REF!,"")</f>
        <v>#REF!</v>
      </c>
      <c r="M26" s="73" t="e">
        <f>'Date Calcs'!#REF!</f>
        <v>#REF!</v>
      </c>
      <c r="N26" s="73" t="e">
        <f>IF(VLOOKUP(A26,'Actual Dates'!A4:AF177,27,),'Actual Dates'!#REF!,"")</f>
        <v>#REF!</v>
      </c>
      <c r="O26" s="74" t="e">
        <f t="shared" si="4"/>
        <v>#REF!</v>
      </c>
      <c r="P26" s="75" t="e">
        <f t="shared" si="5"/>
        <v>#REF!</v>
      </c>
      <c r="Q26" s="75" t="e">
        <f t="shared" si="6"/>
        <v>#REF!</v>
      </c>
      <c r="R26" s="132"/>
      <c r="S26" s="133"/>
      <c r="T26" s="88"/>
      <c r="U26" s="88"/>
      <c r="V26" s="88"/>
      <c r="W26" s="88"/>
      <c r="X26" s="88"/>
      <c r="Y26" s="88"/>
      <c r="Z26" s="88"/>
      <c r="AA26" s="88"/>
      <c r="AB26" s="88"/>
    </row>
    <row r="27" spans="1:28" x14ac:dyDescent="0.25">
      <c r="A27" s="70" t="e">
        <f>'Actual Dates'!#REF!</f>
        <v>#REF!</v>
      </c>
      <c r="B27" s="71" t="e">
        <f>'Date Calcs'!#REF!</f>
        <v>#REF!</v>
      </c>
      <c r="C27" s="72" t="e">
        <f>'Date Calcs'!#REF!</f>
        <v>#REF!</v>
      </c>
      <c r="D27" s="73" t="e">
        <f t="shared" si="0"/>
        <v>#REF!</v>
      </c>
      <c r="E27" s="66" t="s">
        <v>67</v>
      </c>
      <c r="F27" s="73" t="e">
        <f>'Date Calcs'!#REF!</f>
        <v>#REF!</v>
      </c>
      <c r="G27" s="73" t="s">
        <v>67</v>
      </c>
      <c r="H27" s="73" t="e">
        <f t="shared" si="1"/>
        <v>#VALUE!</v>
      </c>
      <c r="I27" s="73" t="e">
        <f>IF(VLOOKUP(A27,'Actual Dates'!#REF!,25,),'Actual Dates'!#REF!,"")</f>
        <v>#REF!</v>
      </c>
      <c r="J27" s="73" t="e">
        <f t="shared" si="2"/>
        <v>#VALUE!</v>
      </c>
      <c r="K27" s="73" t="e">
        <f>IF(VLOOKUP(A27,'Actual Dates'!A4:AF178,26,),'Actual Dates'!#REF!,"")</f>
        <v>#REF!</v>
      </c>
      <c r="L27" s="73" t="s">
        <v>67</v>
      </c>
      <c r="M27" s="73" t="e">
        <f>'Date Calcs'!#REF!</f>
        <v>#REF!</v>
      </c>
      <c r="N27" s="73" t="e">
        <f>IF(VLOOKUP(A27,'Actual Dates'!A4:AF178,27,),'Actual Dates'!#REF!,"")</f>
        <v>#REF!</v>
      </c>
      <c r="O27" s="74" t="e">
        <f t="shared" si="4"/>
        <v>#REF!</v>
      </c>
      <c r="P27" s="75" t="e">
        <f t="shared" si="5"/>
        <v>#REF!</v>
      </c>
      <c r="Q27" s="75" t="e">
        <f t="shared" si="6"/>
        <v>#REF!</v>
      </c>
      <c r="R27" s="132"/>
      <c r="S27" s="133"/>
      <c r="T27" s="88"/>
      <c r="U27" s="88"/>
      <c r="V27" s="88"/>
      <c r="W27" s="88"/>
      <c r="X27" s="88"/>
      <c r="Y27" s="88"/>
      <c r="Z27" s="88"/>
      <c r="AA27" s="88"/>
      <c r="AB27" s="88"/>
    </row>
    <row r="28" spans="1:28" x14ac:dyDescent="0.25">
      <c r="A28" s="70" t="e">
        <f>'Actual Dates'!#REF!</f>
        <v>#REF!</v>
      </c>
      <c r="B28" s="71" t="e">
        <f>'Date Calcs'!#REF!</f>
        <v>#REF!</v>
      </c>
      <c r="C28" s="72" t="e">
        <f>'Date Calcs'!#REF!</f>
        <v>#REF!</v>
      </c>
      <c r="D28" s="73" t="e">
        <f t="shared" si="0"/>
        <v>#REF!</v>
      </c>
      <c r="E28" s="66" t="s">
        <v>67</v>
      </c>
      <c r="F28" s="73" t="e">
        <f>'Date Calcs'!#REF!</f>
        <v>#REF!</v>
      </c>
      <c r="G28" s="73" t="s">
        <v>67</v>
      </c>
      <c r="H28" s="73" t="e">
        <f t="shared" si="1"/>
        <v>#VALUE!</v>
      </c>
      <c r="I28" s="73" t="e">
        <f>IF(VLOOKUP(A28,'Actual Dates'!#REF!,25,),'Actual Dates'!#REF!,"")</f>
        <v>#REF!</v>
      </c>
      <c r="J28" s="73" t="e">
        <f t="shared" si="2"/>
        <v>#VALUE!</v>
      </c>
      <c r="K28" s="73" t="e">
        <f>IF(VLOOKUP(A28,'Actual Dates'!A4:AF179,26,),'Actual Dates'!#REF!,"")</f>
        <v>#REF!</v>
      </c>
      <c r="L28" s="73" t="s">
        <v>67</v>
      </c>
      <c r="M28" s="73" t="e">
        <f>'Date Calcs'!#REF!</f>
        <v>#REF!</v>
      </c>
      <c r="N28" s="73" t="e">
        <f>IF(VLOOKUP(A28,'Actual Dates'!A4:AF179,27,),'Actual Dates'!#REF!,"")</f>
        <v>#REF!</v>
      </c>
      <c r="O28" s="74" t="e">
        <f t="shared" si="4"/>
        <v>#REF!</v>
      </c>
      <c r="P28" s="75" t="e">
        <f t="shared" si="5"/>
        <v>#REF!</v>
      </c>
      <c r="Q28" s="75" t="e">
        <f t="shared" si="6"/>
        <v>#REF!</v>
      </c>
      <c r="R28" s="132"/>
      <c r="S28" s="133"/>
      <c r="T28" s="88"/>
      <c r="U28" s="88"/>
      <c r="V28" s="88"/>
      <c r="W28" s="88"/>
      <c r="X28" s="88"/>
      <c r="Y28" s="88"/>
      <c r="Z28" s="88"/>
      <c r="AA28" s="88"/>
      <c r="AB28" s="88"/>
    </row>
    <row r="29" spans="1:28" x14ac:dyDescent="0.25">
      <c r="A29" s="70" t="e">
        <f>'Actual Dates'!#REF!</f>
        <v>#REF!</v>
      </c>
      <c r="B29" s="71" t="e">
        <f>'Date Calcs'!#REF!</f>
        <v>#REF!</v>
      </c>
      <c r="C29" s="72" t="e">
        <f>'Date Calcs'!#REF!</f>
        <v>#REF!</v>
      </c>
      <c r="D29" s="73" t="e">
        <f t="shared" si="0"/>
        <v>#REF!</v>
      </c>
      <c r="E29" s="66" t="s">
        <v>67</v>
      </c>
      <c r="F29" s="73" t="e">
        <f>'Date Calcs'!#REF!</f>
        <v>#REF!</v>
      </c>
      <c r="G29" s="73" t="s">
        <v>67</v>
      </c>
      <c r="H29" s="73" t="e">
        <f t="shared" si="1"/>
        <v>#VALUE!</v>
      </c>
      <c r="I29" s="73" t="e">
        <f>IF(VLOOKUP(A29,'Actual Dates'!#REF!,25,),'Actual Dates'!#REF!,"")</f>
        <v>#REF!</v>
      </c>
      <c r="J29" s="73" t="e">
        <f t="shared" si="2"/>
        <v>#VALUE!</v>
      </c>
      <c r="K29" s="73" t="e">
        <f>IF(VLOOKUP(A29,'Actual Dates'!A4:AF180,26,),'Actual Dates'!#REF!,"")</f>
        <v>#REF!</v>
      </c>
      <c r="L29" s="73" t="s">
        <v>67</v>
      </c>
      <c r="M29" s="73" t="e">
        <f>'Date Calcs'!#REF!</f>
        <v>#REF!</v>
      </c>
      <c r="N29" s="73" t="e">
        <f>IF(VLOOKUP(A29,'Actual Dates'!A4:AF180,27,),'Actual Dates'!#REF!,"")</f>
        <v>#REF!</v>
      </c>
      <c r="O29" s="74" t="e">
        <f t="shared" si="4"/>
        <v>#REF!</v>
      </c>
      <c r="P29" s="75" t="e">
        <f t="shared" si="5"/>
        <v>#REF!</v>
      </c>
      <c r="Q29" s="75" t="e">
        <f t="shared" si="6"/>
        <v>#REF!</v>
      </c>
      <c r="R29" s="132"/>
      <c r="S29" s="133"/>
      <c r="T29" s="88"/>
      <c r="U29" s="88"/>
      <c r="V29" s="88"/>
      <c r="W29" s="88"/>
      <c r="X29" s="88"/>
      <c r="Y29" s="88"/>
      <c r="Z29" s="88"/>
      <c r="AA29" s="88"/>
      <c r="AB29" s="88"/>
    </row>
    <row r="30" spans="1:28" x14ac:dyDescent="0.25">
      <c r="A30" s="70" t="e">
        <f>'Actual Dates'!#REF!</f>
        <v>#REF!</v>
      </c>
      <c r="B30" s="71" t="e">
        <f>'Date Calcs'!#REF!</f>
        <v>#REF!</v>
      </c>
      <c r="C30" s="72" t="e">
        <f>'Date Calcs'!#REF!</f>
        <v>#REF!</v>
      </c>
      <c r="D30" s="73" t="e">
        <f t="shared" si="0"/>
        <v>#REF!</v>
      </c>
      <c r="E30" s="66" t="s">
        <v>67</v>
      </c>
      <c r="F30" s="73" t="e">
        <f>'Date Calcs'!#REF!</f>
        <v>#REF!</v>
      </c>
      <c r="G30" s="73" t="s">
        <v>67</v>
      </c>
      <c r="H30" s="73" t="e">
        <f t="shared" si="1"/>
        <v>#VALUE!</v>
      </c>
      <c r="I30" s="73" t="e">
        <f>IF(VLOOKUP(A30,'Actual Dates'!#REF!,25,),'Actual Dates'!#REF!,"")</f>
        <v>#REF!</v>
      </c>
      <c r="J30" s="73" t="e">
        <f t="shared" si="2"/>
        <v>#VALUE!</v>
      </c>
      <c r="K30" s="73" t="e">
        <f>IF(VLOOKUP(A30,'Actual Dates'!A4:AF181,26,),'Actual Dates'!#REF!,"")</f>
        <v>#REF!</v>
      </c>
      <c r="L30" s="73" t="s">
        <v>67</v>
      </c>
      <c r="M30" s="73" t="e">
        <f>'Date Calcs'!#REF!</f>
        <v>#REF!</v>
      </c>
      <c r="N30" s="73" t="e">
        <f>IF(VLOOKUP(A30,'Actual Dates'!A4:AF181,27,),'Actual Dates'!#REF!,"")</f>
        <v>#REF!</v>
      </c>
      <c r="O30" s="74" t="e">
        <f t="shared" si="4"/>
        <v>#REF!</v>
      </c>
      <c r="P30" s="75" t="e">
        <f t="shared" si="5"/>
        <v>#REF!</v>
      </c>
      <c r="Q30" s="75" t="e">
        <f t="shared" si="6"/>
        <v>#REF!</v>
      </c>
      <c r="R30" s="132"/>
      <c r="S30" s="133"/>
      <c r="T30" s="88"/>
      <c r="U30" s="88"/>
      <c r="V30" s="88"/>
      <c r="W30" s="88"/>
      <c r="X30" s="88"/>
      <c r="Y30" s="88"/>
      <c r="Z30" s="88"/>
      <c r="AA30" s="88"/>
      <c r="AB30" s="88"/>
    </row>
    <row r="31" spans="1:28" x14ac:dyDescent="0.25">
      <c r="A31" s="70" t="e">
        <f>'Actual Dates'!#REF!</f>
        <v>#REF!</v>
      </c>
      <c r="B31" s="71" t="e">
        <f>'Date Calcs'!#REF!</f>
        <v>#REF!</v>
      </c>
      <c r="C31" s="72" t="e">
        <f>'Date Calcs'!#REF!</f>
        <v>#REF!</v>
      </c>
      <c r="D31" s="73" t="e">
        <f t="shared" si="0"/>
        <v>#REF!</v>
      </c>
      <c r="E31" s="66" t="s">
        <v>67</v>
      </c>
      <c r="F31" s="73" t="e">
        <f>'Date Calcs'!#REF!</f>
        <v>#REF!</v>
      </c>
      <c r="G31" s="73" t="s">
        <v>67</v>
      </c>
      <c r="H31" s="73" t="e">
        <f t="shared" si="1"/>
        <v>#VALUE!</v>
      </c>
      <c r="I31" s="73" t="e">
        <f>IF(VLOOKUP(A31,'Actual Dates'!#REF!,25,),'Actual Dates'!#REF!,"")</f>
        <v>#REF!</v>
      </c>
      <c r="J31" s="73" t="e">
        <f t="shared" si="2"/>
        <v>#VALUE!</v>
      </c>
      <c r="K31" s="73" t="e">
        <f>IF(VLOOKUP(A31,'Actual Dates'!A4:AF182,26,),'Actual Dates'!#REF!,"")</f>
        <v>#REF!</v>
      </c>
      <c r="L31" s="73" t="s">
        <v>67</v>
      </c>
      <c r="M31" s="73" t="e">
        <f>'Date Calcs'!#REF!</f>
        <v>#REF!</v>
      </c>
      <c r="N31" s="73" t="e">
        <f>IF(VLOOKUP(A31,'Actual Dates'!A4:AF182,27,),'Actual Dates'!#REF!,"")</f>
        <v>#REF!</v>
      </c>
      <c r="O31" s="74" t="e">
        <f t="shared" si="4"/>
        <v>#REF!</v>
      </c>
      <c r="P31" s="75" t="e">
        <f t="shared" si="5"/>
        <v>#REF!</v>
      </c>
      <c r="Q31" s="75" t="e">
        <f t="shared" si="6"/>
        <v>#REF!</v>
      </c>
      <c r="R31" s="132"/>
      <c r="S31" s="133"/>
      <c r="T31" s="88"/>
      <c r="U31" s="88"/>
      <c r="V31" s="88"/>
      <c r="W31" s="88"/>
      <c r="X31" s="88"/>
      <c r="Y31" s="88"/>
      <c r="Z31" s="88"/>
      <c r="AA31" s="88"/>
      <c r="AB31" s="88"/>
    </row>
    <row r="32" spans="1:28" x14ac:dyDescent="0.25">
      <c r="A32" s="70" t="e">
        <f>'Actual Dates'!#REF!</f>
        <v>#REF!</v>
      </c>
      <c r="B32" s="71" t="e">
        <f>'Date Calcs'!#REF!</f>
        <v>#REF!</v>
      </c>
      <c r="C32" s="72" t="e">
        <f>'Date Calcs'!#REF!</f>
        <v>#REF!</v>
      </c>
      <c r="D32" s="73" t="e">
        <f t="shared" si="0"/>
        <v>#REF!</v>
      </c>
      <c r="E32" s="66" t="s">
        <v>67</v>
      </c>
      <c r="F32" s="73" t="e">
        <f>'Date Calcs'!#REF!</f>
        <v>#REF!</v>
      </c>
      <c r="G32" s="73" t="s">
        <v>67</v>
      </c>
      <c r="H32" s="73" t="e">
        <f t="shared" si="1"/>
        <v>#VALUE!</v>
      </c>
      <c r="I32" s="73" t="e">
        <f>IF(VLOOKUP(A32,'Actual Dates'!#REF!,25,),'Actual Dates'!#REF!,"")</f>
        <v>#REF!</v>
      </c>
      <c r="J32" s="73" t="e">
        <f t="shared" si="2"/>
        <v>#VALUE!</v>
      </c>
      <c r="K32" s="73" t="e">
        <f>IF(VLOOKUP(A32,'Actual Dates'!A4:AF183,26,),'Actual Dates'!#REF!,"")</f>
        <v>#REF!</v>
      </c>
      <c r="L32" s="73" t="s">
        <v>67</v>
      </c>
      <c r="M32" s="73" t="e">
        <f>'Date Calcs'!#REF!</f>
        <v>#REF!</v>
      </c>
      <c r="N32" s="73" t="e">
        <f>IF(VLOOKUP(A32,'Actual Dates'!A4:AF183,27,),'Actual Dates'!#REF!,"")</f>
        <v>#REF!</v>
      </c>
      <c r="O32" s="74" t="e">
        <f t="shared" si="4"/>
        <v>#REF!</v>
      </c>
      <c r="P32" s="75" t="e">
        <f t="shared" si="5"/>
        <v>#REF!</v>
      </c>
      <c r="Q32" s="75" t="e">
        <f t="shared" si="6"/>
        <v>#REF!</v>
      </c>
      <c r="R32" s="132"/>
      <c r="S32" s="133"/>
      <c r="T32" s="88"/>
      <c r="U32" s="88"/>
      <c r="V32" s="88"/>
      <c r="W32" s="88"/>
      <c r="X32" s="88"/>
      <c r="Y32" s="88"/>
      <c r="Z32" s="88"/>
      <c r="AA32" s="88"/>
      <c r="AB32" s="88"/>
    </row>
    <row r="33" spans="1:28" x14ac:dyDescent="0.25">
      <c r="A33" s="70" t="e">
        <f>'Actual Dates'!#REF!</f>
        <v>#REF!</v>
      </c>
      <c r="B33" s="71" t="e">
        <f>'Date Calcs'!#REF!</f>
        <v>#REF!</v>
      </c>
      <c r="C33" s="72" t="e">
        <f>'Date Calcs'!#REF!</f>
        <v>#REF!</v>
      </c>
      <c r="D33" s="73" t="e">
        <f t="shared" si="0"/>
        <v>#REF!</v>
      </c>
      <c r="E33" s="66" t="s">
        <v>67</v>
      </c>
      <c r="F33" s="73" t="e">
        <f>'Date Calcs'!#REF!</f>
        <v>#REF!</v>
      </c>
      <c r="G33" s="73" t="s">
        <v>67</v>
      </c>
      <c r="H33" s="73" t="e">
        <f t="shared" si="1"/>
        <v>#VALUE!</v>
      </c>
      <c r="I33" s="73" t="e">
        <f>IF(VLOOKUP(A33,'Actual Dates'!A4:AF156,25,),'Actual Dates'!#REF!,"")</f>
        <v>#REF!</v>
      </c>
      <c r="J33" s="73" t="e">
        <f t="shared" si="2"/>
        <v>#VALUE!</v>
      </c>
      <c r="K33" s="73" t="e">
        <f>IF(VLOOKUP(A33,'Actual Dates'!A4:AF184,26,),'Actual Dates'!#REF!,"")</f>
        <v>#REF!</v>
      </c>
      <c r="L33" s="73" t="s">
        <v>67</v>
      </c>
      <c r="M33" s="73" t="e">
        <f>'Date Calcs'!#REF!</f>
        <v>#REF!</v>
      </c>
      <c r="N33" s="73" t="e">
        <f>IF(VLOOKUP(A33,'Actual Dates'!A4:AF184,27,),'Actual Dates'!#REF!,"")</f>
        <v>#REF!</v>
      </c>
      <c r="O33" s="74" t="e">
        <f t="shared" si="4"/>
        <v>#REF!</v>
      </c>
      <c r="P33" s="75" t="e">
        <f t="shared" si="5"/>
        <v>#REF!</v>
      </c>
      <c r="Q33" s="75" t="e">
        <f t="shared" si="6"/>
        <v>#REF!</v>
      </c>
      <c r="R33" s="132"/>
      <c r="S33" s="133"/>
      <c r="T33" s="88"/>
      <c r="U33" s="88"/>
      <c r="V33" s="88"/>
      <c r="W33" s="88"/>
      <c r="X33" s="88"/>
      <c r="Y33" s="88"/>
      <c r="Z33" s="88"/>
      <c r="AA33" s="88"/>
      <c r="AB33" s="88"/>
    </row>
    <row r="34" spans="1:28" x14ac:dyDescent="0.25">
      <c r="A34" s="70" t="e">
        <f>'Actual Dates'!#REF!</f>
        <v>#REF!</v>
      </c>
      <c r="B34" s="71" t="e">
        <f>'Date Calcs'!#REF!</f>
        <v>#REF!</v>
      </c>
      <c r="C34" s="72" t="e">
        <f>'Date Calcs'!#REF!</f>
        <v>#REF!</v>
      </c>
      <c r="D34" s="73" t="e">
        <f t="shared" si="0"/>
        <v>#REF!</v>
      </c>
      <c r="E34" s="66">
        <v>43590</v>
      </c>
      <c r="F34" s="73" t="e">
        <f>'Date Calcs'!#REF!</f>
        <v>#REF!</v>
      </c>
      <c r="G34" s="73" t="e">
        <f>IF(VLOOKUP(A34,'Actual Dates'!A4:AF162,8,),'Actual Dates'!#REF!,"")</f>
        <v>#REF!</v>
      </c>
      <c r="H34" s="73" t="e">
        <f>WORKDAY(L34,7,)</f>
        <v>#REF!</v>
      </c>
      <c r="I34" s="73" t="e">
        <f>IF(VLOOKUP(A34,'Actual Dates'!A4:AF157,25,),'Actual Dates'!#REF!,"")</f>
        <v>#REF!</v>
      </c>
      <c r="J34" s="73" t="e">
        <f>WORKDAY(L34,7,)</f>
        <v>#REF!</v>
      </c>
      <c r="K34" s="73" t="e">
        <f>IF(VLOOKUP(A34,'Actual Dates'!A4:AF185,26,),'Actual Dates'!#REF!,"")</f>
        <v>#REF!</v>
      </c>
      <c r="L34" s="73" t="e">
        <f>IF(VLOOKUP(A34,'Actual Dates'!A4:AF185,21,),'Actual Dates'!#REF!,"")</f>
        <v>#REF!</v>
      </c>
      <c r="M34" s="73" t="e">
        <f>'Date Calcs'!#REF!</f>
        <v>#REF!</v>
      </c>
      <c r="N34" s="73" t="e">
        <f>IF(VLOOKUP(A34,'Actual Dates'!A4:AF185,27,),'Actual Dates'!#REF!,"")</f>
        <v>#REF!</v>
      </c>
      <c r="O34" s="74" t="e">
        <f t="shared" si="4"/>
        <v>#REF!</v>
      </c>
      <c r="P34" s="75" t="e">
        <f t="shared" si="5"/>
        <v>#REF!</v>
      </c>
      <c r="Q34" s="75" t="e">
        <f t="shared" si="6"/>
        <v>#REF!</v>
      </c>
      <c r="R34" s="132" t="s">
        <v>114</v>
      </c>
      <c r="S34" s="133"/>
      <c r="T34" s="88"/>
      <c r="U34" s="88"/>
      <c r="V34" s="88"/>
      <c r="W34" s="88"/>
      <c r="X34" s="88"/>
      <c r="Y34" s="88"/>
      <c r="Z34" s="88"/>
      <c r="AA34" s="88"/>
      <c r="AB34" s="88"/>
    </row>
    <row r="35" spans="1:28" x14ac:dyDescent="0.25">
      <c r="A35" s="70" t="e">
        <f>'Actual Dates'!#REF!</f>
        <v>#REF!</v>
      </c>
      <c r="B35" s="71" t="e">
        <f>'Date Calcs'!#REF!</f>
        <v>#REF!</v>
      </c>
      <c r="C35" s="72" t="e">
        <f>'Date Calcs'!#REF!</f>
        <v>#REF!</v>
      </c>
      <c r="D35" s="73" t="e">
        <f t="shared" si="0"/>
        <v>#REF!</v>
      </c>
      <c r="E35" s="66">
        <v>43590</v>
      </c>
      <c r="F35" s="73" t="e">
        <f>'Date Calcs'!#REF!</f>
        <v>#REF!</v>
      </c>
      <c r="G35" s="73" t="e">
        <f>IF(VLOOKUP(A35,'Actual Dates'!A4:AF163,8,),'Actual Dates'!#REF!,"")</f>
        <v>#REF!</v>
      </c>
      <c r="H35" s="73" t="e">
        <f>WORKDAY(L35,7,)</f>
        <v>#REF!</v>
      </c>
      <c r="I35" s="73" t="e">
        <f>IF(VLOOKUP(A35,'Actual Dates'!A4:AF158,25,),'Actual Dates'!#REF!,"")</f>
        <v>#REF!</v>
      </c>
      <c r="J35" s="73" t="e">
        <f>WORKDAY(L35,7,)</f>
        <v>#REF!</v>
      </c>
      <c r="K35" s="73" t="e">
        <f>IF(VLOOKUP(A35,'Actual Dates'!A4:AF186,26,),'Actual Dates'!#REF!,"")</f>
        <v>#REF!</v>
      </c>
      <c r="L35" s="73" t="e">
        <f>IF(VLOOKUP(A35,'Actual Dates'!A4:AF186,21,),'Actual Dates'!#REF!,"")</f>
        <v>#REF!</v>
      </c>
      <c r="M35" s="73" t="e">
        <f>'Date Calcs'!#REF!</f>
        <v>#REF!</v>
      </c>
      <c r="N35" s="73" t="e">
        <f>IF(VLOOKUP(A35,'Actual Dates'!A4:AF186,27,),'Actual Dates'!#REF!,"")</f>
        <v>#REF!</v>
      </c>
      <c r="O35" s="74" t="e">
        <f t="shared" si="4"/>
        <v>#REF!</v>
      </c>
      <c r="P35" s="75" t="e">
        <f t="shared" si="5"/>
        <v>#REF!</v>
      </c>
      <c r="Q35" s="75" t="e">
        <f t="shared" si="6"/>
        <v>#REF!</v>
      </c>
      <c r="R35" s="132" t="s">
        <v>114</v>
      </c>
      <c r="S35" s="133"/>
      <c r="T35" s="88"/>
      <c r="U35" s="88"/>
      <c r="V35" s="88"/>
      <c r="W35" s="88"/>
      <c r="X35" s="88"/>
      <c r="Y35" s="88"/>
      <c r="Z35" s="88"/>
      <c r="AA35" s="88"/>
      <c r="AB35" s="88"/>
    </row>
    <row r="36" spans="1:28" x14ac:dyDescent="0.25">
      <c r="A36" s="70" t="e">
        <f>'Actual Dates'!#REF!</f>
        <v>#REF!</v>
      </c>
      <c r="B36" s="71" t="e">
        <f>'Date Calcs'!#REF!</f>
        <v>#REF!</v>
      </c>
      <c r="C36" s="72" t="e">
        <f>'Date Calcs'!#REF!</f>
        <v>#REF!</v>
      </c>
      <c r="D36" s="73" t="e">
        <f t="shared" si="0"/>
        <v>#REF!</v>
      </c>
      <c r="E36" s="66">
        <v>43607</v>
      </c>
      <c r="F36" s="73" t="e">
        <f>'Date Calcs'!#REF!</f>
        <v>#REF!</v>
      </c>
      <c r="G36" s="73" t="e">
        <f>IF(VLOOKUP(A36,'Actual Dates'!A4:AF164,8,),'Actual Dates'!#REF!,"")</f>
        <v>#REF!</v>
      </c>
      <c r="H36" s="73" t="e">
        <f>WORKDAY(L36,4,)</f>
        <v>#REF!</v>
      </c>
      <c r="I36" s="73" t="e">
        <f>IF(VLOOKUP(A36,'Actual Dates'!A4:AF159,25,),'Actual Dates'!#REF!,"")</f>
        <v>#REF!</v>
      </c>
      <c r="J36" s="73" t="e">
        <f t="shared" si="2"/>
        <v>#REF!</v>
      </c>
      <c r="K36" s="73" t="e">
        <f>IF(VLOOKUP(A36,'Actual Dates'!A4:AF187,26,),'Actual Dates'!#REF!,"")</f>
        <v>#REF!</v>
      </c>
      <c r="L36" s="73" t="e">
        <f>IF(VLOOKUP(A36,'Actual Dates'!A4:AF187,21,),'Actual Dates'!#REF!,"")</f>
        <v>#REF!</v>
      </c>
      <c r="M36" s="73" t="e">
        <f>'Date Calcs'!#REF!</f>
        <v>#REF!</v>
      </c>
      <c r="N36" s="73" t="e">
        <f>IF(VLOOKUP(A36,'Actual Dates'!A4:AF187,27,),'Actual Dates'!#REF!,"")</f>
        <v>#REF!</v>
      </c>
      <c r="O36" s="74" t="e">
        <f t="shared" si="4"/>
        <v>#REF!</v>
      </c>
      <c r="P36" s="75" t="e">
        <f t="shared" si="5"/>
        <v>#REF!</v>
      </c>
      <c r="Q36" s="75" t="e">
        <f t="shared" si="6"/>
        <v>#REF!</v>
      </c>
      <c r="R36" s="132"/>
      <c r="S36" s="133"/>
      <c r="T36" s="88"/>
      <c r="U36" s="88"/>
      <c r="V36" s="88"/>
      <c r="W36" s="88"/>
      <c r="X36" s="88"/>
      <c r="Y36" s="88"/>
      <c r="Z36" s="88"/>
      <c r="AA36" s="88"/>
      <c r="AB36" s="88"/>
    </row>
    <row r="37" spans="1:28" x14ac:dyDescent="0.25">
      <c r="A37" s="70" t="e">
        <f>'Actual Dates'!#REF!</f>
        <v>#REF!</v>
      </c>
      <c r="B37" s="71" t="e">
        <f>'Date Calcs'!#REF!</f>
        <v>#REF!</v>
      </c>
      <c r="C37" s="72" t="e">
        <f>'Date Calcs'!#REF!</f>
        <v>#REF!</v>
      </c>
      <c r="D37" s="73" t="e">
        <f t="shared" si="0"/>
        <v>#REF!</v>
      </c>
      <c r="E37" s="66">
        <v>43655</v>
      </c>
      <c r="F37" s="73" t="e">
        <f>'Date Calcs'!#REF!</f>
        <v>#REF!</v>
      </c>
      <c r="G37" s="73" t="e">
        <f>IF(VLOOKUP(A37,'Actual Dates'!A4:AF165,8,),'Actual Dates'!#REF!,"")</f>
        <v>#REF!</v>
      </c>
      <c r="H37" s="73" t="e">
        <f t="shared" si="1"/>
        <v>#REF!</v>
      </c>
      <c r="I37" s="73" t="e">
        <f>IF(VLOOKUP(A37,'Actual Dates'!A4:AF160,25,),'Actual Dates'!#REF!,"")</f>
        <v>#REF!</v>
      </c>
      <c r="J37" s="73" t="e">
        <f t="shared" si="2"/>
        <v>#REF!</v>
      </c>
      <c r="K37" s="73" t="e">
        <f>IF(VLOOKUP(A37,'Actual Dates'!A4:AF188,26,),'Actual Dates'!#REF!,"")</f>
        <v>#REF!</v>
      </c>
      <c r="L37" s="73" t="e">
        <f>IF(VLOOKUP(A37,'Actual Dates'!A4:AF188,21,),'Actual Dates'!#REF!,"")</f>
        <v>#REF!</v>
      </c>
      <c r="M37" s="73" t="e">
        <f>'Date Calcs'!#REF!</f>
        <v>#REF!</v>
      </c>
      <c r="N37" s="73" t="e">
        <f>IF(VLOOKUP(A37,'Actual Dates'!A4:AF188,27,),'Actual Dates'!#REF!,"")</f>
        <v>#REF!</v>
      </c>
      <c r="O37" s="74" t="e">
        <f t="shared" si="4"/>
        <v>#REF!</v>
      </c>
      <c r="P37" s="75" t="e">
        <f t="shared" si="5"/>
        <v>#REF!</v>
      </c>
      <c r="Q37" s="75" t="e">
        <f t="shared" si="6"/>
        <v>#REF!</v>
      </c>
      <c r="R37" s="132" t="s">
        <v>112</v>
      </c>
      <c r="S37" s="133"/>
      <c r="T37" s="88"/>
      <c r="U37" s="88"/>
      <c r="V37" s="88"/>
      <c r="W37" s="88"/>
      <c r="X37" s="88"/>
      <c r="Y37" s="88"/>
      <c r="Z37" s="88"/>
      <c r="AA37" s="88"/>
      <c r="AB37" s="88"/>
    </row>
    <row r="38" spans="1:28" x14ac:dyDescent="0.25">
      <c r="A38" s="70" t="e">
        <f>'Actual Dates'!#REF!</f>
        <v>#REF!</v>
      </c>
      <c r="B38" s="71" t="e">
        <f>'Date Calcs'!#REF!</f>
        <v>#REF!</v>
      </c>
      <c r="C38" s="72" t="e">
        <f>'Date Calcs'!#REF!</f>
        <v>#REF!</v>
      </c>
      <c r="D38" s="73" t="e">
        <f t="shared" si="0"/>
        <v>#REF!</v>
      </c>
      <c r="E38" s="66">
        <v>43621</v>
      </c>
      <c r="F38" s="73" t="e">
        <f>'Date Calcs'!#REF!</f>
        <v>#REF!</v>
      </c>
      <c r="G38" s="73" t="e">
        <f>IF(VLOOKUP(A38,'Actual Dates'!A4:AF166,8,),'Actual Dates'!#REF!,"")</f>
        <v>#REF!</v>
      </c>
      <c r="H38" s="73" t="e">
        <f t="shared" si="1"/>
        <v>#REF!</v>
      </c>
      <c r="I38" s="73" t="e">
        <f>IF(VLOOKUP(A38,'Actual Dates'!A4:AF161,25,),'Actual Dates'!#REF!,"")</f>
        <v>#REF!</v>
      </c>
      <c r="J38" s="73" t="e">
        <f t="shared" si="2"/>
        <v>#REF!</v>
      </c>
      <c r="K38" s="73" t="e">
        <f>IF(VLOOKUP(A38,'Actual Dates'!A4:AF189,26,),'Actual Dates'!#REF!,"")</f>
        <v>#REF!</v>
      </c>
      <c r="L38" s="73" t="e">
        <f>IF(VLOOKUP(A38,'Actual Dates'!A4:AF189,21,),'Actual Dates'!#REF!,"")</f>
        <v>#REF!</v>
      </c>
      <c r="M38" s="73" t="e">
        <f>'Date Calcs'!#REF!</f>
        <v>#REF!</v>
      </c>
      <c r="N38" s="73" t="e">
        <f>IF(VLOOKUP(A38,'Actual Dates'!A4:AF189,27,),'Actual Dates'!#REF!,"")</f>
        <v>#REF!</v>
      </c>
      <c r="O38" s="74" t="e">
        <f t="shared" si="4"/>
        <v>#REF!</v>
      </c>
      <c r="P38" s="75" t="e">
        <f t="shared" si="5"/>
        <v>#REF!</v>
      </c>
      <c r="Q38" s="75" t="e">
        <f t="shared" si="6"/>
        <v>#REF!</v>
      </c>
      <c r="R38" s="132"/>
      <c r="S38" s="133"/>
      <c r="T38" s="88"/>
      <c r="U38" s="88"/>
      <c r="V38" s="88"/>
      <c r="W38" s="88"/>
      <c r="X38" s="88"/>
      <c r="Y38" s="88"/>
      <c r="Z38" s="88"/>
      <c r="AA38" s="88"/>
      <c r="AB38" s="88"/>
    </row>
    <row r="39" spans="1:28" x14ac:dyDescent="0.25">
      <c r="A39" s="70" t="e">
        <f>'Actual Dates'!#REF!</f>
        <v>#REF!</v>
      </c>
      <c r="B39" s="71" t="e">
        <f>'Date Calcs'!#REF!</f>
        <v>#REF!</v>
      </c>
      <c r="C39" s="72" t="e">
        <f>'Date Calcs'!#REF!</f>
        <v>#REF!</v>
      </c>
      <c r="D39" s="73" t="e">
        <f t="shared" si="0"/>
        <v>#REF!</v>
      </c>
      <c r="E39" s="66">
        <v>43621</v>
      </c>
      <c r="F39" s="73" t="e">
        <f>'Date Calcs'!#REF!</f>
        <v>#REF!</v>
      </c>
      <c r="G39" s="73" t="e">
        <f>IF(VLOOKUP(A39,'Actual Dates'!A4:AF167,8,),'Actual Dates'!#REF!,"")</f>
        <v>#REF!</v>
      </c>
      <c r="H39" s="73" t="e">
        <f t="shared" si="1"/>
        <v>#REF!</v>
      </c>
      <c r="I39" s="73" t="e">
        <f>IF(VLOOKUP(A39,'Actual Dates'!A4:AF162,25,),'Actual Dates'!#REF!,"")</f>
        <v>#REF!</v>
      </c>
      <c r="J39" s="73" t="e">
        <f t="shared" si="2"/>
        <v>#REF!</v>
      </c>
      <c r="K39" s="73" t="e">
        <f>IF(VLOOKUP(A39,'Actual Dates'!A4:AF190,26,),'Actual Dates'!#REF!,"")</f>
        <v>#REF!</v>
      </c>
      <c r="L39" s="73" t="e">
        <f>IF(VLOOKUP(A39,'Actual Dates'!A4:AF190,21,),'Actual Dates'!#REF!,"")</f>
        <v>#REF!</v>
      </c>
      <c r="M39" s="73" t="e">
        <f>'Date Calcs'!#REF!</f>
        <v>#REF!</v>
      </c>
      <c r="N39" s="73" t="e">
        <f>IF(VLOOKUP(A39,'Actual Dates'!A4:AF190,27,),'Actual Dates'!#REF!,"")</f>
        <v>#REF!</v>
      </c>
      <c r="O39" s="74" t="e">
        <f t="shared" si="4"/>
        <v>#REF!</v>
      </c>
      <c r="P39" s="75" t="e">
        <f t="shared" si="5"/>
        <v>#REF!</v>
      </c>
      <c r="Q39" s="75" t="e">
        <f t="shared" si="6"/>
        <v>#REF!</v>
      </c>
      <c r="R39" s="132"/>
      <c r="S39" s="133"/>
      <c r="T39" s="88"/>
      <c r="U39" s="88"/>
      <c r="V39" s="88"/>
      <c r="W39" s="88"/>
      <c r="X39" s="88"/>
      <c r="Y39" s="88"/>
      <c r="Z39" s="88"/>
      <c r="AA39" s="88"/>
      <c r="AB39" s="88"/>
    </row>
    <row r="40" spans="1:28" x14ac:dyDescent="0.25">
      <c r="A40" s="70" t="e">
        <f>'Actual Dates'!#REF!</f>
        <v>#REF!</v>
      </c>
      <c r="B40" s="71" t="e">
        <f>'Date Calcs'!#REF!</f>
        <v>#REF!</v>
      </c>
      <c r="C40" s="72" t="e">
        <f>'Date Calcs'!#REF!</f>
        <v>#REF!</v>
      </c>
      <c r="D40" s="73" t="e">
        <f t="shared" si="0"/>
        <v>#REF!</v>
      </c>
      <c r="E40" s="66">
        <v>43627</v>
      </c>
      <c r="F40" s="73" t="e">
        <f>'Date Calcs'!#REF!</f>
        <v>#REF!</v>
      </c>
      <c r="G40" s="73" t="e">
        <f>IF(VLOOKUP(A40,'Actual Dates'!A4:AF168,8,),'Actual Dates'!#REF!,"")</f>
        <v>#REF!</v>
      </c>
      <c r="H40" s="73" t="e">
        <f t="shared" si="1"/>
        <v>#REF!</v>
      </c>
      <c r="I40" s="73" t="e">
        <f>IF(VLOOKUP(A40,'Actual Dates'!A4:AF163,25,),'Actual Dates'!#REF!,"")</f>
        <v>#REF!</v>
      </c>
      <c r="J40" s="73" t="e">
        <f t="shared" si="2"/>
        <v>#REF!</v>
      </c>
      <c r="K40" s="73" t="e">
        <f>IF(VLOOKUP(A40,'Actual Dates'!A4:AF191,26,),'Actual Dates'!#REF!,"")</f>
        <v>#REF!</v>
      </c>
      <c r="L40" s="73" t="e">
        <f>IF(VLOOKUP(A40,'Actual Dates'!A4:AF191,21,),'Actual Dates'!#REF!,"")</f>
        <v>#REF!</v>
      </c>
      <c r="M40" s="73" t="e">
        <f>'Date Calcs'!#REF!</f>
        <v>#REF!</v>
      </c>
      <c r="N40" s="73" t="e">
        <f>IF(VLOOKUP(A40,'Actual Dates'!A4:AF191,27,),'Actual Dates'!#REF!,"")</f>
        <v>#REF!</v>
      </c>
      <c r="O40" s="74" t="e">
        <f t="shared" si="4"/>
        <v>#REF!</v>
      </c>
      <c r="P40" s="75" t="e">
        <f t="shared" si="5"/>
        <v>#REF!</v>
      </c>
      <c r="Q40" s="75" t="e">
        <f t="shared" si="6"/>
        <v>#REF!</v>
      </c>
      <c r="R40" s="132"/>
      <c r="S40" s="133"/>
      <c r="T40" s="88"/>
      <c r="U40" s="88"/>
      <c r="V40" s="88"/>
      <c r="W40" s="88"/>
      <c r="X40" s="88"/>
      <c r="Y40" s="88"/>
      <c r="Z40" s="88"/>
      <c r="AA40" s="88"/>
      <c r="AB40" s="88"/>
    </row>
    <row r="41" spans="1:28" x14ac:dyDescent="0.25">
      <c r="A41" s="70" t="e">
        <f>'Actual Dates'!#REF!</f>
        <v>#REF!</v>
      </c>
      <c r="B41" s="71" t="e">
        <f>'Date Calcs'!#REF!</f>
        <v>#REF!</v>
      </c>
      <c r="C41" s="72" t="e">
        <f>'Date Calcs'!#REF!</f>
        <v>#REF!</v>
      </c>
      <c r="D41" s="73" t="e">
        <f t="shared" si="0"/>
        <v>#REF!</v>
      </c>
      <c r="E41" s="66">
        <v>43627</v>
      </c>
      <c r="F41" s="73" t="e">
        <f>'Date Calcs'!#REF!</f>
        <v>#REF!</v>
      </c>
      <c r="G41" s="73" t="e">
        <f>IF(VLOOKUP(A41,'Actual Dates'!A4:AF169,8,),'Actual Dates'!#REF!,"")</f>
        <v>#REF!</v>
      </c>
      <c r="H41" s="73" t="e">
        <f t="shared" si="1"/>
        <v>#REF!</v>
      </c>
      <c r="I41" s="73" t="e">
        <f>IF(VLOOKUP(A41,'Actual Dates'!A4:AF164,25,),'Actual Dates'!#REF!,"")</f>
        <v>#REF!</v>
      </c>
      <c r="J41" s="73" t="e">
        <f t="shared" si="2"/>
        <v>#REF!</v>
      </c>
      <c r="K41" s="73" t="e">
        <f>IF(VLOOKUP(A41,'Actual Dates'!A4:AF192,26,),'Actual Dates'!#REF!,"")</f>
        <v>#REF!</v>
      </c>
      <c r="L41" s="73" t="e">
        <f>IF(VLOOKUP(A41,'Actual Dates'!A4:AF192,21,),'Actual Dates'!#REF!,"")</f>
        <v>#REF!</v>
      </c>
      <c r="M41" s="73" t="e">
        <f>'Date Calcs'!#REF!</f>
        <v>#REF!</v>
      </c>
      <c r="N41" s="73" t="e">
        <f>IF(VLOOKUP(A41,'Actual Dates'!A4:AF192,27,),'Actual Dates'!#REF!,"")</f>
        <v>#REF!</v>
      </c>
      <c r="O41" s="74" t="e">
        <f t="shared" si="4"/>
        <v>#REF!</v>
      </c>
      <c r="P41" s="75" t="e">
        <f t="shared" si="5"/>
        <v>#REF!</v>
      </c>
      <c r="Q41" s="75" t="e">
        <f t="shared" si="6"/>
        <v>#REF!</v>
      </c>
      <c r="R41" s="132"/>
      <c r="S41" s="133"/>
      <c r="T41" s="88"/>
      <c r="U41" s="88"/>
      <c r="V41" s="88"/>
      <c r="W41" s="88"/>
      <c r="X41" s="88"/>
      <c r="Y41" s="88"/>
      <c r="Z41" s="88"/>
      <c r="AA41" s="88"/>
      <c r="AB41" s="88"/>
    </row>
    <row r="42" spans="1:28" x14ac:dyDescent="0.25">
      <c r="A42" s="70" t="e">
        <f>'Actual Dates'!#REF!</f>
        <v>#REF!</v>
      </c>
      <c r="B42" s="71" t="e">
        <f>'Date Calcs'!#REF!</f>
        <v>#REF!</v>
      </c>
      <c r="C42" s="72" t="e">
        <f>'Date Calcs'!#REF!</f>
        <v>#REF!</v>
      </c>
      <c r="D42" s="73" t="e">
        <f t="shared" si="0"/>
        <v>#REF!</v>
      </c>
      <c r="E42" s="66">
        <v>43627</v>
      </c>
      <c r="F42" s="73" t="e">
        <f>'Date Calcs'!#REF!</f>
        <v>#REF!</v>
      </c>
      <c r="G42" s="73" t="e">
        <f>IF(VLOOKUP(A42,'Actual Dates'!A4:AF170,8,),'Actual Dates'!#REF!,"")</f>
        <v>#REF!</v>
      </c>
      <c r="H42" s="73" t="e">
        <f t="shared" si="1"/>
        <v>#REF!</v>
      </c>
      <c r="I42" s="73" t="e">
        <f>IF(VLOOKUP(A42,'Actual Dates'!A4:AF165,25,),'Actual Dates'!#REF!,"")</f>
        <v>#REF!</v>
      </c>
      <c r="J42" s="73" t="e">
        <f t="shared" si="2"/>
        <v>#REF!</v>
      </c>
      <c r="K42" s="73" t="e">
        <f>IF(VLOOKUP(A42,'Actual Dates'!A4:AF193,26,),'Actual Dates'!#REF!,"")</f>
        <v>#REF!</v>
      </c>
      <c r="L42" s="73" t="e">
        <f>IF(VLOOKUP(A42,'Actual Dates'!A4:AF193,21,),'Actual Dates'!#REF!,"")</f>
        <v>#REF!</v>
      </c>
      <c r="M42" s="73" t="e">
        <f>'Date Calcs'!#REF!</f>
        <v>#REF!</v>
      </c>
      <c r="N42" s="73" t="e">
        <f>IF(VLOOKUP(A42,'Actual Dates'!A4:AF193,27,),'Actual Dates'!#REF!,"")</f>
        <v>#REF!</v>
      </c>
      <c r="O42" s="74" t="e">
        <f t="shared" si="4"/>
        <v>#REF!</v>
      </c>
      <c r="P42" s="75" t="e">
        <f t="shared" si="5"/>
        <v>#REF!</v>
      </c>
      <c r="Q42" s="75" t="e">
        <f t="shared" si="6"/>
        <v>#REF!</v>
      </c>
      <c r="R42" s="132"/>
      <c r="S42" s="133"/>
      <c r="T42" s="88"/>
      <c r="U42" s="88"/>
      <c r="V42" s="88"/>
      <c r="W42" s="88"/>
      <c r="X42" s="88"/>
      <c r="Y42" s="88"/>
      <c r="Z42" s="88"/>
      <c r="AA42" s="88"/>
      <c r="AB42" s="88"/>
    </row>
    <row r="43" spans="1:28" x14ac:dyDescent="0.25">
      <c r="A43" s="70" t="e">
        <f>'Actual Dates'!#REF!</f>
        <v>#REF!</v>
      </c>
      <c r="B43" s="71" t="e">
        <f>'Date Calcs'!#REF!</f>
        <v>#REF!</v>
      </c>
      <c r="C43" s="72" t="e">
        <f>'Date Calcs'!#REF!</f>
        <v>#REF!</v>
      </c>
      <c r="D43" s="73" t="e">
        <f t="shared" si="0"/>
        <v>#REF!</v>
      </c>
      <c r="E43" s="66">
        <v>43635</v>
      </c>
      <c r="F43" s="73" t="e">
        <f>'Date Calcs'!#REF!</f>
        <v>#REF!</v>
      </c>
      <c r="G43" s="73" t="e">
        <f>IF(VLOOKUP(A43,'Actual Dates'!A4:AF171,8,),'Actual Dates'!#REF!,"")</f>
        <v>#REF!</v>
      </c>
      <c r="H43" s="73" t="e">
        <f t="shared" si="1"/>
        <v>#REF!</v>
      </c>
      <c r="I43" s="73" t="e">
        <f>IF(VLOOKUP(A43,'Actual Dates'!A4:AF166,25,),'Actual Dates'!#REF!,"")</f>
        <v>#REF!</v>
      </c>
      <c r="J43" s="73" t="e">
        <f t="shared" si="2"/>
        <v>#REF!</v>
      </c>
      <c r="K43" s="73" t="e">
        <f>IF(VLOOKUP(A43,'Actual Dates'!A4:AF194,26,),'Actual Dates'!#REF!,"")</f>
        <v>#REF!</v>
      </c>
      <c r="L43" s="73" t="e">
        <f>IF(VLOOKUP(A43,'Actual Dates'!A4:AF194,21,),'Actual Dates'!#REF!,"")</f>
        <v>#REF!</v>
      </c>
      <c r="M43" s="73" t="e">
        <f>'Date Calcs'!#REF!</f>
        <v>#REF!</v>
      </c>
      <c r="N43" s="73" t="e">
        <f>IF(VLOOKUP(A43,'Actual Dates'!A4:AF194,27,),'Actual Dates'!#REF!,"")</f>
        <v>#REF!</v>
      </c>
      <c r="O43" s="74" t="e">
        <f t="shared" si="4"/>
        <v>#REF!</v>
      </c>
      <c r="P43" s="75" t="e">
        <f t="shared" si="5"/>
        <v>#REF!</v>
      </c>
      <c r="Q43" s="75" t="e">
        <f t="shared" si="6"/>
        <v>#REF!</v>
      </c>
      <c r="R43" s="132"/>
      <c r="S43" s="133"/>
      <c r="T43" s="88"/>
      <c r="U43" s="88"/>
      <c r="V43" s="88"/>
      <c r="W43" s="88"/>
      <c r="X43" s="88"/>
      <c r="Y43" s="88"/>
      <c r="Z43" s="88"/>
      <c r="AA43" s="88"/>
      <c r="AB43" s="88"/>
    </row>
    <row r="44" spans="1:28" x14ac:dyDescent="0.25">
      <c r="A44" s="70" t="e">
        <f>'Actual Dates'!#REF!</f>
        <v>#REF!</v>
      </c>
      <c r="B44" s="71" t="e">
        <f>'Date Calcs'!#REF!</f>
        <v>#REF!</v>
      </c>
      <c r="C44" s="72" t="e">
        <f>'Date Calcs'!#REF!</f>
        <v>#REF!</v>
      </c>
      <c r="D44" s="73" t="e">
        <f t="shared" si="0"/>
        <v>#REF!</v>
      </c>
      <c r="E44" s="66">
        <v>43635</v>
      </c>
      <c r="F44" s="73" t="e">
        <f>'Date Calcs'!#REF!</f>
        <v>#REF!</v>
      </c>
      <c r="G44" s="73" t="e">
        <f>IF(VLOOKUP(A44,'Actual Dates'!A4:AF172,8,),'Actual Dates'!#REF!,"")</f>
        <v>#REF!</v>
      </c>
      <c r="H44" s="73" t="e">
        <f t="shared" si="1"/>
        <v>#REF!</v>
      </c>
      <c r="I44" s="73" t="e">
        <f>IF(VLOOKUP(A44,'Actual Dates'!A4:AF167,25,),'Actual Dates'!#REF!,"")</f>
        <v>#REF!</v>
      </c>
      <c r="J44" s="73" t="e">
        <f t="shared" si="2"/>
        <v>#REF!</v>
      </c>
      <c r="K44" s="73" t="e">
        <f>IF(VLOOKUP(A44,'Actual Dates'!A4:AF195,26,),'Actual Dates'!#REF!,"")</f>
        <v>#REF!</v>
      </c>
      <c r="L44" s="73" t="e">
        <f>IF(VLOOKUP(A44,'Actual Dates'!A4:AF195,21,),'Actual Dates'!#REF!,"")</f>
        <v>#REF!</v>
      </c>
      <c r="M44" s="73" t="e">
        <f>'Date Calcs'!#REF!</f>
        <v>#REF!</v>
      </c>
      <c r="N44" s="73" t="e">
        <f>IF(VLOOKUP(A44,'Actual Dates'!A4:AF195,27,),'Actual Dates'!#REF!,"")</f>
        <v>#REF!</v>
      </c>
      <c r="O44" s="74" t="e">
        <f t="shared" si="4"/>
        <v>#REF!</v>
      </c>
      <c r="P44" s="75" t="e">
        <f t="shared" si="5"/>
        <v>#REF!</v>
      </c>
      <c r="Q44" s="75" t="e">
        <f t="shared" si="6"/>
        <v>#REF!</v>
      </c>
      <c r="R44" s="132"/>
      <c r="S44" s="133"/>
      <c r="T44" s="88"/>
      <c r="U44" s="88"/>
      <c r="V44" s="88"/>
      <c r="W44" s="88"/>
      <c r="X44" s="88"/>
      <c r="Y44" s="88"/>
      <c r="Z44" s="88"/>
      <c r="AA44" s="88"/>
      <c r="AB44" s="88"/>
    </row>
    <row r="45" spans="1:28" x14ac:dyDescent="0.25">
      <c r="A45" s="70" t="e">
        <f>'Actual Dates'!#REF!</f>
        <v>#REF!</v>
      </c>
      <c r="B45" s="71" t="e">
        <f>'Date Calcs'!#REF!</f>
        <v>#REF!</v>
      </c>
      <c r="C45" s="72" t="e">
        <f>'Date Calcs'!#REF!</f>
        <v>#REF!</v>
      </c>
      <c r="D45" s="73" t="e">
        <f t="shared" si="0"/>
        <v>#REF!</v>
      </c>
      <c r="E45" s="66">
        <v>43641</v>
      </c>
      <c r="F45" s="73" t="e">
        <f>'Date Calcs'!#REF!</f>
        <v>#REF!</v>
      </c>
      <c r="G45" s="73" t="e">
        <f>IF(VLOOKUP(A45,'Actual Dates'!A4:AF173,8,),'Actual Dates'!#REF!,"")</f>
        <v>#REF!</v>
      </c>
      <c r="H45" s="73" t="e">
        <f t="shared" si="1"/>
        <v>#REF!</v>
      </c>
      <c r="I45" s="73" t="e">
        <f>IF(VLOOKUP(A45,'Actual Dates'!A4:AF168,25,),'Actual Dates'!#REF!,"")</f>
        <v>#REF!</v>
      </c>
      <c r="J45" s="73" t="e">
        <f t="shared" si="2"/>
        <v>#REF!</v>
      </c>
      <c r="K45" s="73" t="e">
        <f>IF(VLOOKUP(A45,'Actual Dates'!A4:AF196,26,),'Actual Dates'!#REF!,"")</f>
        <v>#REF!</v>
      </c>
      <c r="L45" s="73" t="e">
        <f>IF(VLOOKUP(A45,'Actual Dates'!A4:AF196,21,),'Actual Dates'!#REF!,"")</f>
        <v>#REF!</v>
      </c>
      <c r="M45" s="73" t="e">
        <f>'Date Calcs'!#REF!</f>
        <v>#REF!</v>
      </c>
      <c r="N45" s="73" t="e">
        <f>IF(VLOOKUP(A45,'Actual Dates'!A4:AF196,27,),'Actual Dates'!#REF!,"")</f>
        <v>#REF!</v>
      </c>
      <c r="O45" s="74" t="e">
        <f t="shared" si="4"/>
        <v>#REF!</v>
      </c>
      <c r="P45" s="75" t="e">
        <f t="shared" si="5"/>
        <v>#REF!</v>
      </c>
      <c r="Q45" s="75" t="e">
        <f t="shared" si="6"/>
        <v>#REF!</v>
      </c>
      <c r="R45" s="132"/>
      <c r="S45" s="133"/>
      <c r="T45" s="88"/>
      <c r="U45" s="88"/>
      <c r="V45" s="88"/>
      <c r="W45" s="88"/>
      <c r="X45" s="88"/>
      <c r="Y45" s="88"/>
      <c r="Z45" s="88"/>
      <c r="AA45" s="88"/>
      <c r="AB45" s="88"/>
    </row>
    <row r="46" spans="1:28" x14ac:dyDescent="0.25">
      <c r="A46" s="70" t="e">
        <f>'Actual Dates'!#REF!</f>
        <v>#REF!</v>
      </c>
      <c r="B46" s="71" t="e">
        <f>'Date Calcs'!#REF!</f>
        <v>#REF!</v>
      </c>
      <c r="C46" s="72" t="e">
        <f>'Date Calcs'!#REF!</f>
        <v>#REF!</v>
      </c>
      <c r="D46" s="73" t="e">
        <f t="shared" si="0"/>
        <v>#REF!</v>
      </c>
      <c r="E46" s="66">
        <v>43641</v>
      </c>
      <c r="F46" s="73" t="e">
        <f>'Date Calcs'!#REF!</f>
        <v>#REF!</v>
      </c>
      <c r="G46" s="73" t="e">
        <f>IF(VLOOKUP(A46,'Actual Dates'!A4:AF174,8,),'Actual Dates'!#REF!,"")</f>
        <v>#REF!</v>
      </c>
      <c r="H46" s="73" t="e">
        <f t="shared" si="1"/>
        <v>#REF!</v>
      </c>
      <c r="I46" s="73" t="e">
        <f>IF(VLOOKUP(A46,'Actual Dates'!A4:AF169,25,),'Actual Dates'!#REF!,"")</f>
        <v>#REF!</v>
      </c>
      <c r="J46" s="73" t="e">
        <f t="shared" si="2"/>
        <v>#REF!</v>
      </c>
      <c r="K46" s="73" t="e">
        <f>IF(VLOOKUP(A46,'Actual Dates'!A4:AF197,26,),'Actual Dates'!#REF!,"")</f>
        <v>#REF!</v>
      </c>
      <c r="L46" s="73" t="e">
        <f>IF(VLOOKUP(A46,'Actual Dates'!A4:AF197,21,),'Actual Dates'!#REF!,"")</f>
        <v>#REF!</v>
      </c>
      <c r="M46" s="73" t="e">
        <f>'Date Calcs'!#REF!</f>
        <v>#REF!</v>
      </c>
      <c r="N46" s="73" t="e">
        <f>IF(VLOOKUP(A46,'Actual Dates'!A4:AF197,27,),'Actual Dates'!#REF!,"")</f>
        <v>#REF!</v>
      </c>
      <c r="O46" s="74" t="e">
        <f t="shared" si="4"/>
        <v>#REF!</v>
      </c>
      <c r="P46" s="75" t="e">
        <f t="shared" si="5"/>
        <v>#REF!</v>
      </c>
      <c r="Q46" s="75" t="e">
        <f t="shared" si="6"/>
        <v>#REF!</v>
      </c>
      <c r="R46" s="132"/>
      <c r="S46" s="133"/>
      <c r="T46" s="88"/>
      <c r="U46" s="88"/>
      <c r="V46" s="88"/>
      <c r="W46" s="88"/>
      <c r="X46" s="88"/>
      <c r="Y46" s="88"/>
      <c r="Z46" s="88"/>
      <c r="AA46" s="88"/>
      <c r="AB46" s="88"/>
    </row>
    <row r="47" spans="1:28" x14ac:dyDescent="0.25">
      <c r="A47" s="70" t="e">
        <f>'Actual Dates'!#REF!</f>
        <v>#REF!</v>
      </c>
      <c r="B47" s="71" t="e">
        <f>'Date Calcs'!#REF!</f>
        <v>#REF!</v>
      </c>
      <c r="C47" s="72" t="e">
        <f>'Date Calcs'!#REF!</f>
        <v>#REF!</v>
      </c>
      <c r="D47" s="73" t="e">
        <f t="shared" si="0"/>
        <v>#REF!</v>
      </c>
      <c r="E47" s="66">
        <v>43655</v>
      </c>
      <c r="F47" s="73" t="e">
        <f>'Date Calcs'!#REF!</f>
        <v>#REF!</v>
      </c>
      <c r="G47" s="73" t="e">
        <f>IF(VLOOKUP(A47,'Actual Dates'!A4:AF175,8,),'Actual Dates'!#REF!,"")</f>
        <v>#REF!</v>
      </c>
      <c r="H47" s="73" t="e">
        <f t="shared" ref="H47" si="7">WORKDAY(L47,3,)</f>
        <v>#REF!</v>
      </c>
      <c r="I47" s="73" t="e">
        <f>IF(VLOOKUP(A47,'Actual Dates'!A4:AF170,25,),'Actual Dates'!#REF!,"")</f>
        <v>#REF!</v>
      </c>
      <c r="J47" s="73" t="e">
        <f t="shared" ref="J47" si="8">WORKDAY(L47,4,)</f>
        <v>#REF!</v>
      </c>
      <c r="K47" s="73" t="e">
        <f>IF(VLOOKUP(A47,'Actual Dates'!A4:AF198,26,),'Actual Dates'!#REF!,"")</f>
        <v>#REF!</v>
      </c>
      <c r="L47" s="73" t="e">
        <f>IF(VLOOKUP(A47,'Actual Dates'!A4:AF198,21,),'Actual Dates'!#REF!,"")</f>
        <v>#REF!</v>
      </c>
      <c r="M47" s="73" t="e">
        <f>'Date Calcs'!#REF!</f>
        <v>#REF!</v>
      </c>
      <c r="N47" s="73" t="e">
        <f>IF(VLOOKUP(A47,'Actual Dates'!A4:AF198,27,),'Actual Dates'!#REF!,"")</f>
        <v>#REF!</v>
      </c>
      <c r="O47" s="74" t="e">
        <f t="shared" ref="O47" si="9">N47-C47</f>
        <v>#REF!</v>
      </c>
      <c r="P47" s="75" t="e">
        <f t="shared" ref="P47" si="10">F47-G47</f>
        <v>#REF!</v>
      </c>
      <c r="Q47" s="75" t="e">
        <f t="shared" ref="Q47" si="11">M47-N47</f>
        <v>#REF!</v>
      </c>
      <c r="R47" s="132"/>
      <c r="S47" s="133"/>
      <c r="T47" s="88"/>
      <c r="U47" s="88"/>
      <c r="V47" s="88"/>
      <c r="W47" s="88"/>
      <c r="X47" s="88"/>
      <c r="Y47" s="88"/>
      <c r="Z47" s="88"/>
      <c r="AA47" s="88"/>
      <c r="AB47" s="88"/>
    </row>
    <row r="48" spans="1:28" x14ac:dyDescent="0.25">
      <c r="A48" s="70" t="e">
        <f>'Actual Dates'!#REF!</f>
        <v>#REF!</v>
      </c>
      <c r="B48" s="71" t="e">
        <f>'Date Calcs'!#REF!</f>
        <v>#REF!</v>
      </c>
      <c r="C48" s="72" t="e">
        <f>'Date Calcs'!#REF!</f>
        <v>#REF!</v>
      </c>
      <c r="D48" s="73" t="e">
        <f t="shared" ref="D48:D52" si="12">WORKDAY(F48,-1,)</f>
        <v>#REF!</v>
      </c>
      <c r="E48" s="66">
        <v>43662</v>
      </c>
      <c r="F48" s="73" t="e">
        <f>'Date Calcs'!#REF!</f>
        <v>#REF!</v>
      </c>
      <c r="G48" s="73" t="e">
        <f>IF(VLOOKUP(A48,'Actual Dates'!A4:AF176,8,),'Actual Dates'!#REF!,"")</f>
        <v>#REF!</v>
      </c>
      <c r="H48" s="73" t="e">
        <f t="shared" ref="H48:H52" si="13">WORKDAY(L48,3,)</f>
        <v>#REF!</v>
      </c>
      <c r="I48" s="73" t="e">
        <f>IF(VLOOKUP(A48,'Actual Dates'!A4:AF171,25,),'Actual Dates'!#REF!,"")</f>
        <v>#REF!</v>
      </c>
      <c r="J48" s="73" t="e">
        <f t="shared" ref="J48:J52" si="14">WORKDAY(L48,4,)</f>
        <v>#REF!</v>
      </c>
      <c r="K48" s="73" t="e">
        <f>IF(VLOOKUP(A48,'Actual Dates'!A4:AF199,26,),'Actual Dates'!#REF!,"")</f>
        <v>#REF!</v>
      </c>
      <c r="L48" s="73" t="e">
        <f>IF(VLOOKUP(A48,'Actual Dates'!A4:AF199,21,),'Actual Dates'!#REF!,"")</f>
        <v>#REF!</v>
      </c>
      <c r="M48" s="73" t="e">
        <f>'Date Calcs'!#REF!</f>
        <v>#REF!</v>
      </c>
      <c r="N48" s="73" t="e">
        <f>IF(VLOOKUP(A48,'Actual Dates'!A4:AF199,27,),'Actual Dates'!#REF!,"")</f>
        <v>#REF!</v>
      </c>
      <c r="O48" s="74" t="e">
        <f t="shared" ref="O48:O52" si="15">N48-C48</f>
        <v>#REF!</v>
      </c>
      <c r="P48" s="75" t="e">
        <f t="shared" ref="P48:P52" si="16">F48-G48</f>
        <v>#REF!</v>
      </c>
      <c r="Q48" s="75" t="e">
        <f t="shared" ref="Q48:Q52" si="17">M48-N48</f>
        <v>#REF!</v>
      </c>
      <c r="R48" s="132"/>
      <c r="S48" s="133"/>
      <c r="T48" s="88"/>
      <c r="U48" s="88"/>
      <c r="V48" s="88"/>
      <c r="W48" s="88"/>
      <c r="X48" s="88"/>
      <c r="Y48" s="88"/>
      <c r="Z48" s="88"/>
      <c r="AA48" s="88"/>
      <c r="AB48" s="88"/>
    </row>
    <row r="49" spans="1:28" x14ac:dyDescent="0.25">
      <c r="A49" s="70" t="e">
        <f>'Actual Dates'!#REF!</f>
        <v>#REF!</v>
      </c>
      <c r="B49" s="71" t="e">
        <f>'Date Calcs'!#REF!</f>
        <v>#REF!</v>
      </c>
      <c r="C49" s="72" t="e">
        <f>'Date Calcs'!#REF!</f>
        <v>#REF!</v>
      </c>
      <c r="D49" s="73" t="e">
        <f t="shared" si="12"/>
        <v>#REF!</v>
      </c>
      <c r="E49" s="66">
        <v>43662</v>
      </c>
      <c r="F49" s="73" t="e">
        <f>'Date Calcs'!#REF!</f>
        <v>#REF!</v>
      </c>
      <c r="G49" s="73" t="e">
        <f>IF(VLOOKUP(A49,'Actual Dates'!A4:AF177,8,),'Actual Dates'!#REF!,"")</f>
        <v>#REF!</v>
      </c>
      <c r="H49" s="73" t="e">
        <f t="shared" si="13"/>
        <v>#REF!</v>
      </c>
      <c r="I49" s="73" t="e">
        <f>IF(VLOOKUP(A49,'Actual Dates'!A4:AF172,25,),'Actual Dates'!#REF!,"")</f>
        <v>#REF!</v>
      </c>
      <c r="J49" s="73" t="e">
        <f t="shared" si="14"/>
        <v>#REF!</v>
      </c>
      <c r="K49" s="73" t="e">
        <f>IF(VLOOKUP(A49,'Actual Dates'!A4:AF200,26,),'Actual Dates'!#REF!,"")</f>
        <v>#REF!</v>
      </c>
      <c r="L49" s="73" t="e">
        <f>IF(VLOOKUP(A49,'Actual Dates'!A4:AF200,21,),'Actual Dates'!#REF!,"")</f>
        <v>#REF!</v>
      </c>
      <c r="M49" s="73" t="e">
        <f>'Date Calcs'!#REF!</f>
        <v>#REF!</v>
      </c>
      <c r="N49" s="73" t="e">
        <f>IF(VLOOKUP(A49,'Actual Dates'!A4:AF200,27,),'Actual Dates'!#REF!,"")</f>
        <v>#REF!</v>
      </c>
      <c r="O49" s="74" t="e">
        <f t="shared" si="15"/>
        <v>#REF!</v>
      </c>
      <c r="P49" s="75" t="e">
        <f t="shared" si="16"/>
        <v>#REF!</v>
      </c>
      <c r="Q49" s="75" t="e">
        <f t="shared" si="17"/>
        <v>#REF!</v>
      </c>
      <c r="R49" s="132"/>
      <c r="S49" s="133"/>
      <c r="T49" s="88"/>
      <c r="U49" s="88"/>
      <c r="V49" s="88"/>
      <c r="W49" s="88"/>
      <c r="X49" s="88"/>
      <c r="Y49" s="88"/>
      <c r="Z49" s="88"/>
      <c r="AA49" s="88"/>
      <c r="AB49" s="88"/>
    </row>
    <row r="50" spans="1:28" x14ac:dyDescent="0.25">
      <c r="A50" s="70" t="e">
        <f>'Actual Dates'!#REF!</f>
        <v>#REF!</v>
      </c>
      <c r="B50" s="71" t="e">
        <f>'Date Calcs'!#REF!</f>
        <v>#REF!</v>
      </c>
      <c r="C50" s="72" t="e">
        <f>'Date Calcs'!#REF!</f>
        <v>#REF!</v>
      </c>
      <c r="D50" s="73" t="e">
        <f t="shared" si="12"/>
        <v>#REF!</v>
      </c>
      <c r="E50" s="66">
        <v>43662</v>
      </c>
      <c r="F50" s="73" t="e">
        <f>'Date Calcs'!#REF!</f>
        <v>#REF!</v>
      </c>
      <c r="G50" s="73" t="e">
        <f>IF(VLOOKUP(A50,'Actual Dates'!A4:AF178,8,),'Actual Dates'!#REF!,"")</f>
        <v>#REF!</v>
      </c>
      <c r="H50" s="73" t="e">
        <f t="shared" si="13"/>
        <v>#REF!</v>
      </c>
      <c r="I50" s="73" t="e">
        <f>IF(VLOOKUP(A50,'Actual Dates'!A4:AF173,25,),'Actual Dates'!#REF!,"")</f>
        <v>#REF!</v>
      </c>
      <c r="J50" s="73" t="e">
        <f t="shared" si="14"/>
        <v>#REF!</v>
      </c>
      <c r="K50" s="73" t="e">
        <f>IF(VLOOKUP(A50,'Actual Dates'!A4:AF201,26,),'Actual Dates'!#REF!,"")</f>
        <v>#REF!</v>
      </c>
      <c r="L50" s="73" t="e">
        <f>IF(VLOOKUP(A50,'Actual Dates'!A4:AF201,21,),'Actual Dates'!#REF!,"")</f>
        <v>#REF!</v>
      </c>
      <c r="M50" s="73" t="e">
        <f>'Date Calcs'!#REF!</f>
        <v>#REF!</v>
      </c>
      <c r="N50" s="73" t="e">
        <f>IF(VLOOKUP(A50,'Actual Dates'!A4:AF201,27,),'Actual Dates'!#REF!,"")</f>
        <v>#REF!</v>
      </c>
      <c r="O50" s="74" t="e">
        <f t="shared" si="15"/>
        <v>#REF!</v>
      </c>
      <c r="P50" s="75" t="e">
        <f t="shared" si="16"/>
        <v>#REF!</v>
      </c>
      <c r="Q50" s="75" t="e">
        <f t="shared" si="17"/>
        <v>#REF!</v>
      </c>
      <c r="R50" s="132"/>
      <c r="S50" s="133"/>
      <c r="T50" s="88"/>
      <c r="U50" s="88"/>
      <c r="V50" s="88"/>
      <c r="W50" s="88"/>
      <c r="X50" s="88"/>
      <c r="Y50" s="88"/>
      <c r="Z50" s="88"/>
      <c r="AA50" s="88"/>
      <c r="AB50" s="88"/>
    </row>
    <row r="51" spans="1:28" x14ac:dyDescent="0.25">
      <c r="A51" s="70" t="e">
        <f>'Actual Dates'!#REF!</f>
        <v>#REF!</v>
      </c>
      <c r="B51" s="71" t="e">
        <f>'Date Calcs'!#REF!</f>
        <v>#REF!</v>
      </c>
      <c r="C51" s="72" t="e">
        <f>'Date Calcs'!#REF!</f>
        <v>#REF!</v>
      </c>
      <c r="D51" s="73" t="e">
        <f t="shared" si="12"/>
        <v>#REF!</v>
      </c>
      <c r="E51" s="66">
        <v>43662</v>
      </c>
      <c r="F51" s="73" t="e">
        <f>'Date Calcs'!#REF!</f>
        <v>#REF!</v>
      </c>
      <c r="G51" s="73" t="e">
        <f>IF(VLOOKUP(A51,'Actual Dates'!A4:AF179,8,),'Actual Dates'!#REF!,"")</f>
        <v>#REF!</v>
      </c>
      <c r="H51" s="73" t="e">
        <f t="shared" si="13"/>
        <v>#REF!</v>
      </c>
      <c r="I51" s="73" t="e">
        <f>IF(VLOOKUP(A51,'Actual Dates'!A4:AF174,25,),'Actual Dates'!#REF!,"")</f>
        <v>#REF!</v>
      </c>
      <c r="J51" s="73" t="e">
        <f t="shared" si="14"/>
        <v>#REF!</v>
      </c>
      <c r="K51" s="73" t="e">
        <f>IF(VLOOKUP(A51,'Actual Dates'!A4:AF202,26,),'Actual Dates'!#REF!,"")</f>
        <v>#REF!</v>
      </c>
      <c r="L51" s="73" t="e">
        <f>IF(VLOOKUP(A51,'Actual Dates'!A4:AF202,21,),'Actual Dates'!#REF!,"")</f>
        <v>#REF!</v>
      </c>
      <c r="M51" s="73" t="e">
        <f>'Date Calcs'!#REF!</f>
        <v>#REF!</v>
      </c>
      <c r="N51" s="73" t="e">
        <f>IF(VLOOKUP(A51,'Actual Dates'!A4:AF202,27,),'Actual Dates'!#REF!,"")</f>
        <v>#REF!</v>
      </c>
      <c r="O51" s="74" t="e">
        <f t="shared" si="15"/>
        <v>#REF!</v>
      </c>
      <c r="P51" s="75" t="e">
        <f t="shared" si="16"/>
        <v>#REF!</v>
      </c>
      <c r="Q51" s="75" t="e">
        <f t="shared" si="17"/>
        <v>#REF!</v>
      </c>
      <c r="R51" s="132"/>
      <c r="S51" s="133"/>
      <c r="T51" s="88"/>
      <c r="U51" s="88"/>
      <c r="V51" s="88"/>
      <c r="W51" s="88"/>
      <c r="X51" s="88"/>
      <c r="Y51" s="88"/>
      <c r="Z51" s="88"/>
      <c r="AA51" s="88"/>
      <c r="AB51" s="88"/>
    </row>
    <row r="52" spans="1:28" x14ac:dyDescent="0.25">
      <c r="A52" s="70" t="e">
        <f>'Actual Dates'!#REF!</f>
        <v>#REF!</v>
      </c>
      <c r="B52" s="71" t="e">
        <f>'Date Calcs'!#REF!</f>
        <v>#REF!</v>
      </c>
      <c r="C52" s="72" t="e">
        <f>'Date Calcs'!#REF!</f>
        <v>#REF!</v>
      </c>
      <c r="D52" s="73" t="e">
        <f t="shared" si="12"/>
        <v>#REF!</v>
      </c>
      <c r="E52" s="66">
        <v>43670</v>
      </c>
      <c r="F52" s="73" t="e">
        <f>'Date Calcs'!#REF!</f>
        <v>#REF!</v>
      </c>
      <c r="G52" s="73" t="e">
        <f>IF(VLOOKUP(A52,'Actual Dates'!A4:AF180,8,),'Actual Dates'!#REF!,"")</f>
        <v>#REF!</v>
      </c>
      <c r="H52" s="73" t="e">
        <f t="shared" si="13"/>
        <v>#REF!</v>
      </c>
      <c r="I52" s="73" t="e">
        <f>IF(VLOOKUP(A52,'Actual Dates'!A4:AF175,25,),'Actual Dates'!#REF!,"")</f>
        <v>#REF!</v>
      </c>
      <c r="J52" s="73" t="e">
        <f t="shared" si="14"/>
        <v>#REF!</v>
      </c>
      <c r="K52" s="73" t="e">
        <f>IF(VLOOKUP(A52,'Actual Dates'!A4:AF203,26,),'Actual Dates'!#REF!,"")</f>
        <v>#REF!</v>
      </c>
      <c r="L52" s="73" t="e">
        <f>IF(VLOOKUP(A52,'Actual Dates'!A4:AF203,21,),'Actual Dates'!#REF!,"")</f>
        <v>#REF!</v>
      </c>
      <c r="M52" s="73" t="e">
        <f>'Date Calcs'!#REF!</f>
        <v>#REF!</v>
      </c>
      <c r="N52" s="73" t="e">
        <f>IF(VLOOKUP(A52,'Actual Dates'!A4:AF203,27,),'Actual Dates'!#REF!,"")</f>
        <v>#REF!</v>
      </c>
      <c r="O52" s="74" t="e">
        <f t="shared" si="15"/>
        <v>#REF!</v>
      </c>
      <c r="P52" s="75" t="e">
        <f t="shared" si="16"/>
        <v>#REF!</v>
      </c>
      <c r="Q52" s="75" t="e">
        <f t="shared" si="17"/>
        <v>#REF!</v>
      </c>
      <c r="R52" s="132"/>
      <c r="S52" s="133"/>
      <c r="T52" s="88"/>
      <c r="U52" s="88"/>
      <c r="V52" s="88"/>
      <c r="W52" s="88"/>
      <c r="X52" s="88"/>
      <c r="Y52" s="88"/>
      <c r="Z52" s="88"/>
      <c r="AA52" s="88"/>
      <c r="AB52" s="88"/>
    </row>
    <row r="53" spans="1:28" x14ac:dyDescent="0.25">
      <c r="A53" s="70" t="e">
        <f>'Actual Dates'!#REF!</f>
        <v>#REF!</v>
      </c>
      <c r="B53" s="71" t="e">
        <f>'Date Calcs'!#REF!</f>
        <v>#REF!</v>
      </c>
      <c r="C53" s="72" t="e">
        <f>'Date Calcs'!#REF!</f>
        <v>#REF!</v>
      </c>
      <c r="D53" s="73" t="e">
        <f t="shared" ref="D53:D62" si="18">WORKDAY(F53,-1,)</f>
        <v>#REF!</v>
      </c>
      <c r="E53" s="66" t="s">
        <v>67</v>
      </c>
      <c r="F53" s="73" t="e">
        <f>'Date Calcs'!#REF!</f>
        <v>#REF!</v>
      </c>
      <c r="G53" s="73" t="s">
        <v>67</v>
      </c>
      <c r="H53" s="73" t="e">
        <f t="shared" ref="H53:H62" si="19">WORKDAY(L53,3,)</f>
        <v>#REF!</v>
      </c>
      <c r="I53" s="73" t="e">
        <f>IF(VLOOKUP(A53,'Actual Dates'!A4:AF176,25,),'Actual Dates'!#REF!,"")</f>
        <v>#REF!</v>
      </c>
      <c r="J53" s="73" t="e">
        <f t="shared" ref="J53:J62" si="20">WORKDAY(L53,4,)</f>
        <v>#REF!</v>
      </c>
      <c r="K53" s="73" t="e">
        <f>IF(VLOOKUP(A53,'Actual Dates'!A4:AF204,26,),'Actual Dates'!#REF!,"")</f>
        <v>#REF!</v>
      </c>
      <c r="L53" s="73" t="e">
        <f>IF(VLOOKUP(A53,'Actual Dates'!A4:AF204,21,),'Actual Dates'!#REF!,"")</f>
        <v>#REF!</v>
      </c>
      <c r="M53" s="73" t="e">
        <f>'Date Calcs'!#REF!</f>
        <v>#REF!</v>
      </c>
      <c r="N53" s="73" t="e">
        <f>IF(VLOOKUP(A53,'Actual Dates'!A4:AF204,27,),'Actual Dates'!#REF!,"")</f>
        <v>#REF!</v>
      </c>
      <c r="O53" s="74" t="e">
        <f t="shared" ref="O53:O62" si="21">N53-C53</f>
        <v>#REF!</v>
      </c>
      <c r="P53" s="75" t="e">
        <f t="shared" ref="P53:P62" si="22">F53-G53</f>
        <v>#REF!</v>
      </c>
      <c r="Q53" s="75" t="e">
        <f t="shared" ref="Q53:Q62" si="23">M53-N53</f>
        <v>#REF!</v>
      </c>
      <c r="R53" s="132"/>
      <c r="S53" s="133"/>
      <c r="T53" s="88"/>
      <c r="U53" s="88"/>
      <c r="V53" s="88"/>
      <c r="W53" s="88"/>
      <c r="X53" s="88"/>
      <c r="Y53" s="88"/>
      <c r="Z53" s="88"/>
      <c r="AA53" s="88"/>
      <c r="AB53" s="88"/>
    </row>
    <row r="54" spans="1:28" x14ac:dyDescent="0.25">
      <c r="A54" s="70" t="e">
        <f>'Actual Dates'!#REF!</f>
        <v>#REF!</v>
      </c>
      <c r="B54" s="71" t="e">
        <f>'Date Calcs'!#REF!</f>
        <v>#REF!</v>
      </c>
      <c r="C54" s="72" t="e">
        <f>'Date Calcs'!#REF!</f>
        <v>#REF!</v>
      </c>
      <c r="D54" s="73" t="e">
        <f t="shared" si="18"/>
        <v>#REF!</v>
      </c>
      <c r="E54" s="66">
        <v>43685</v>
      </c>
      <c r="F54" s="73" t="e">
        <f>'Date Calcs'!#REF!</f>
        <v>#REF!</v>
      </c>
      <c r="G54" s="73" t="e">
        <f>IF(VLOOKUP(A54,'Actual Dates'!A4:AF182,8,),'Actual Dates'!#REF!,"")</f>
        <v>#REF!</v>
      </c>
      <c r="H54" s="73" t="e">
        <f t="shared" si="19"/>
        <v>#REF!</v>
      </c>
      <c r="I54" s="73" t="e">
        <f>IF(VLOOKUP(A54,'Actual Dates'!A4:AF177,25,),'Actual Dates'!#REF!,"")</f>
        <v>#REF!</v>
      </c>
      <c r="J54" s="73" t="e">
        <f t="shared" si="20"/>
        <v>#REF!</v>
      </c>
      <c r="K54" s="73" t="e">
        <f>IF(VLOOKUP(A54,'Actual Dates'!A4:AF205,26,),'Actual Dates'!#REF!,"")</f>
        <v>#REF!</v>
      </c>
      <c r="L54" s="73" t="e">
        <f>IF(VLOOKUP(A54,'Actual Dates'!A4:AF205,21,),'Actual Dates'!#REF!,"")</f>
        <v>#REF!</v>
      </c>
      <c r="M54" s="73" t="e">
        <f>'Date Calcs'!#REF!</f>
        <v>#REF!</v>
      </c>
      <c r="N54" s="73" t="e">
        <f>IF(VLOOKUP(A54,'Actual Dates'!A4:AF205,27,),'Actual Dates'!#REF!,"")</f>
        <v>#REF!</v>
      </c>
      <c r="O54" s="74" t="e">
        <f t="shared" si="21"/>
        <v>#REF!</v>
      </c>
      <c r="P54" s="75" t="e">
        <f t="shared" si="22"/>
        <v>#REF!</v>
      </c>
      <c r="Q54" s="75" t="e">
        <f t="shared" si="23"/>
        <v>#REF!</v>
      </c>
      <c r="R54" s="132"/>
      <c r="S54" s="133"/>
      <c r="T54" s="88"/>
      <c r="U54" s="88"/>
      <c r="V54" s="88"/>
      <c r="W54" s="88"/>
      <c r="X54" s="88"/>
      <c r="Y54" s="88"/>
      <c r="Z54" s="88"/>
      <c r="AA54" s="88"/>
      <c r="AB54" s="88"/>
    </row>
    <row r="55" spans="1:28" x14ac:dyDescent="0.25">
      <c r="A55" s="70" t="e">
        <f>'Actual Dates'!#REF!</f>
        <v>#REF!</v>
      </c>
      <c r="B55" s="71" t="e">
        <f>'Date Calcs'!#REF!</f>
        <v>#REF!</v>
      </c>
      <c r="C55" s="72" t="e">
        <f>'Date Calcs'!#REF!</f>
        <v>#REF!</v>
      </c>
      <c r="D55" s="73" t="e">
        <f t="shared" si="18"/>
        <v>#REF!</v>
      </c>
      <c r="E55" s="66">
        <v>43685</v>
      </c>
      <c r="F55" s="73" t="e">
        <f>'Date Calcs'!#REF!</f>
        <v>#REF!</v>
      </c>
      <c r="G55" s="73" t="e">
        <f>IF(VLOOKUP(A55,'Actual Dates'!A4:AF183,8,),'Actual Dates'!#REF!,"")</f>
        <v>#REF!</v>
      </c>
      <c r="H55" s="73" t="e">
        <f t="shared" si="19"/>
        <v>#REF!</v>
      </c>
      <c r="I55" s="73" t="e">
        <f>IF(VLOOKUP(A55,'Actual Dates'!A4:AF178,25,),'Actual Dates'!#REF!,"")</f>
        <v>#REF!</v>
      </c>
      <c r="J55" s="73" t="e">
        <f t="shared" si="20"/>
        <v>#REF!</v>
      </c>
      <c r="K55" s="73" t="e">
        <f>IF(VLOOKUP(A55,'Actual Dates'!A4:AF206,26,),'Actual Dates'!#REF!,"")</f>
        <v>#REF!</v>
      </c>
      <c r="L55" s="73" t="e">
        <f>IF(VLOOKUP(A55,'Actual Dates'!A4:AF206,21,),'Actual Dates'!#REF!,"")</f>
        <v>#REF!</v>
      </c>
      <c r="M55" s="73" t="e">
        <f>'Date Calcs'!#REF!</f>
        <v>#REF!</v>
      </c>
      <c r="N55" s="73" t="e">
        <f>IF(VLOOKUP(A55,'Actual Dates'!A4:AF206,27,),'Actual Dates'!#REF!,"")</f>
        <v>#REF!</v>
      </c>
      <c r="O55" s="74" t="e">
        <f t="shared" si="21"/>
        <v>#REF!</v>
      </c>
      <c r="P55" s="75" t="e">
        <f t="shared" si="22"/>
        <v>#REF!</v>
      </c>
      <c r="Q55" s="75" t="e">
        <f t="shared" si="23"/>
        <v>#REF!</v>
      </c>
      <c r="R55" s="132"/>
      <c r="S55" s="133"/>
      <c r="T55" s="88"/>
      <c r="U55" s="88"/>
      <c r="V55" s="88"/>
      <c r="W55" s="88"/>
      <c r="X55" s="88"/>
      <c r="Y55" s="88"/>
      <c r="Z55" s="88"/>
      <c r="AA55" s="88"/>
      <c r="AB55" s="88"/>
    </row>
    <row r="56" spans="1:28" x14ac:dyDescent="0.25">
      <c r="A56" s="70" t="e">
        <f>'Actual Dates'!#REF!</f>
        <v>#REF!</v>
      </c>
      <c r="B56" s="71" t="e">
        <f>'Date Calcs'!#REF!</f>
        <v>#REF!</v>
      </c>
      <c r="C56" s="72" t="e">
        <f>'Date Calcs'!#REF!</f>
        <v>#REF!</v>
      </c>
      <c r="D56" s="73" t="e">
        <f t="shared" si="18"/>
        <v>#REF!</v>
      </c>
      <c r="E56" s="66">
        <v>43685</v>
      </c>
      <c r="F56" s="73" t="e">
        <f>'Date Calcs'!#REF!</f>
        <v>#REF!</v>
      </c>
      <c r="G56" s="73" t="e">
        <f>IF(VLOOKUP(A56,'Actual Dates'!A4:AF184,8,),'Actual Dates'!#REF!,"")</f>
        <v>#REF!</v>
      </c>
      <c r="H56" s="73" t="e">
        <f t="shared" si="19"/>
        <v>#REF!</v>
      </c>
      <c r="I56" s="73" t="e">
        <f>IF(VLOOKUP(A56,'Actual Dates'!A4:AF179,25,),'Actual Dates'!#REF!,"")</f>
        <v>#REF!</v>
      </c>
      <c r="J56" s="73" t="e">
        <f t="shared" si="20"/>
        <v>#REF!</v>
      </c>
      <c r="K56" s="73" t="e">
        <f>IF(VLOOKUP(A56,'Actual Dates'!A4:AF207,26,),'Actual Dates'!#REF!,"")</f>
        <v>#REF!</v>
      </c>
      <c r="L56" s="73" t="e">
        <f>IF(VLOOKUP(A56,'Actual Dates'!A4:AF207,21,),'Actual Dates'!#REF!,"")</f>
        <v>#REF!</v>
      </c>
      <c r="M56" s="73" t="e">
        <f>'Date Calcs'!#REF!</f>
        <v>#REF!</v>
      </c>
      <c r="N56" s="73" t="e">
        <f>IF(VLOOKUP(A56,'Actual Dates'!A4:AF207,27,),'Actual Dates'!#REF!,"")</f>
        <v>#REF!</v>
      </c>
      <c r="O56" s="74" t="e">
        <f t="shared" si="21"/>
        <v>#REF!</v>
      </c>
      <c r="P56" s="75" t="e">
        <f t="shared" si="22"/>
        <v>#REF!</v>
      </c>
      <c r="Q56" s="75" t="e">
        <f t="shared" si="23"/>
        <v>#REF!</v>
      </c>
      <c r="R56" s="132"/>
      <c r="S56" s="133"/>
      <c r="T56" s="88"/>
      <c r="U56" s="88"/>
      <c r="V56" s="88"/>
      <c r="W56" s="88"/>
      <c r="X56" s="88"/>
      <c r="Y56" s="88"/>
      <c r="Z56" s="88"/>
      <c r="AA56" s="88"/>
      <c r="AB56" s="88"/>
    </row>
    <row r="57" spans="1:28" x14ac:dyDescent="0.25">
      <c r="A57" s="70" t="e">
        <f>'Actual Dates'!#REF!</f>
        <v>#REF!</v>
      </c>
      <c r="B57" s="71" t="e">
        <f>'Date Calcs'!#REF!</f>
        <v>#REF!</v>
      </c>
      <c r="C57" s="72" t="e">
        <f>'Date Calcs'!#REF!</f>
        <v>#REF!</v>
      </c>
      <c r="D57" s="73" t="e">
        <f t="shared" si="18"/>
        <v>#REF!</v>
      </c>
      <c r="E57" s="66">
        <v>43685</v>
      </c>
      <c r="F57" s="73" t="e">
        <f>'Date Calcs'!#REF!</f>
        <v>#REF!</v>
      </c>
      <c r="G57" s="73" t="e">
        <f>IF(VLOOKUP(A57,'Actual Dates'!A4:AF185,8,),'Actual Dates'!#REF!,"")</f>
        <v>#REF!</v>
      </c>
      <c r="H57" s="73" t="e">
        <f t="shared" si="19"/>
        <v>#REF!</v>
      </c>
      <c r="I57" s="73" t="e">
        <f>IF(VLOOKUP(A57,'Actual Dates'!A4:AF180,25,),'Actual Dates'!#REF!,"")</f>
        <v>#REF!</v>
      </c>
      <c r="J57" s="73" t="e">
        <f t="shared" si="20"/>
        <v>#REF!</v>
      </c>
      <c r="K57" s="73" t="e">
        <f>IF(VLOOKUP(A57,'Actual Dates'!A4:AF208,26,),'Actual Dates'!#REF!,"")</f>
        <v>#REF!</v>
      </c>
      <c r="L57" s="73" t="e">
        <f>IF(VLOOKUP(A57,'Actual Dates'!A4:AF208,21,),'Actual Dates'!#REF!,"")</f>
        <v>#REF!</v>
      </c>
      <c r="M57" s="73" t="e">
        <f>'Date Calcs'!#REF!</f>
        <v>#REF!</v>
      </c>
      <c r="N57" s="73" t="e">
        <f>IF(VLOOKUP(A57,'Actual Dates'!A4:AF208,27,),'Actual Dates'!#REF!,"")</f>
        <v>#REF!</v>
      </c>
      <c r="O57" s="74" t="e">
        <f t="shared" si="21"/>
        <v>#REF!</v>
      </c>
      <c r="P57" s="75" t="e">
        <f t="shared" si="22"/>
        <v>#REF!</v>
      </c>
      <c r="Q57" s="75" t="e">
        <f t="shared" si="23"/>
        <v>#REF!</v>
      </c>
      <c r="R57" s="132"/>
      <c r="S57" s="133"/>
      <c r="T57" s="88"/>
      <c r="U57" s="88"/>
      <c r="V57" s="88"/>
      <c r="W57" s="88"/>
      <c r="X57" s="88"/>
      <c r="Y57" s="88"/>
      <c r="Z57" s="88"/>
      <c r="AA57" s="88"/>
      <c r="AB57" s="88"/>
    </row>
    <row r="58" spans="1:28" x14ac:dyDescent="0.25">
      <c r="A58" s="70" t="e">
        <f>'Actual Dates'!#REF!</f>
        <v>#REF!</v>
      </c>
      <c r="B58" s="71" t="e">
        <f>'Date Calcs'!#REF!</f>
        <v>#REF!</v>
      </c>
      <c r="C58" s="72" t="e">
        <f>'Date Calcs'!#REF!</f>
        <v>#REF!</v>
      </c>
      <c r="D58" s="73" t="e">
        <f t="shared" si="18"/>
        <v>#REF!</v>
      </c>
      <c r="E58" s="66">
        <v>43685</v>
      </c>
      <c r="F58" s="73" t="e">
        <f>'Date Calcs'!#REF!</f>
        <v>#REF!</v>
      </c>
      <c r="G58" s="73" t="e">
        <f>IF(VLOOKUP(A58,'Actual Dates'!A4:AF186,8,),'Actual Dates'!#REF!,"")</f>
        <v>#REF!</v>
      </c>
      <c r="H58" s="73" t="e">
        <f t="shared" si="19"/>
        <v>#REF!</v>
      </c>
      <c r="I58" s="73" t="e">
        <f>IF(VLOOKUP(A58,'Actual Dates'!A4:AF181,25,),'Actual Dates'!#REF!,"")</f>
        <v>#REF!</v>
      </c>
      <c r="J58" s="73" t="e">
        <f t="shared" si="20"/>
        <v>#REF!</v>
      </c>
      <c r="K58" s="73" t="e">
        <f>IF(VLOOKUP(A58,'Actual Dates'!A4:AF209,26,),'Actual Dates'!#REF!,"")</f>
        <v>#REF!</v>
      </c>
      <c r="L58" s="73" t="e">
        <f>IF(VLOOKUP(A58,'Actual Dates'!A4:AF209,21,),'Actual Dates'!#REF!,"")</f>
        <v>#REF!</v>
      </c>
      <c r="M58" s="73" t="e">
        <f>'Date Calcs'!#REF!</f>
        <v>#REF!</v>
      </c>
      <c r="N58" s="73" t="e">
        <f>IF(VLOOKUP(A58,'Actual Dates'!A4:AF209,27,),'Actual Dates'!#REF!,"")</f>
        <v>#REF!</v>
      </c>
      <c r="O58" s="74" t="e">
        <f t="shared" si="21"/>
        <v>#REF!</v>
      </c>
      <c r="P58" s="75" t="e">
        <f t="shared" si="22"/>
        <v>#REF!</v>
      </c>
      <c r="Q58" s="75" t="e">
        <f t="shared" si="23"/>
        <v>#REF!</v>
      </c>
      <c r="R58" s="132"/>
      <c r="S58" s="133"/>
      <c r="T58" s="88"/>
      <c r="U58" s="88"/>
      <c r="V58" s="88"/>
      <c r="W58" s="88"/>
      <c r="X58" s="88"/>
      <c r="Y58" s="88"/>
      <c r="Z58" s="88"/>
      <c r="AA58" s="88"/>
      <c r="AB58" s="88"/>
    </row>
    <row r="59" spans="1:28" x14ac:dyDescent="0.25">
      <c r="A59" s="70" t="e">
        <f>'Actual Dates'!#REF!</f>
        <v>#REF!</v>
      </c>
      <c r="B59" s="71" t="e">
        <f>'Date Calcs'!#REF!</f>
        <v>#REF!</v>
      </c>
      <c r="C59" s="72" t="e">
        <f>'Date Calcs'!#REF!</f>
        <v>#REF!</v>
      </c>
      <c r="D59" s="73" t="e">
        <f t="shared" si="18"/>
        <v>#REF!</v>
      </c>
      <c r="E59" s="66">
        <v>43685</v>
      </c>
      <c r="F59" s="73" t="e">
        <f>'Date Calcs'!#REF!</f>
        <v>#REF!</v>
      </c>
      <c r="G59" s="73" t="e">
        <f>IF(VLOOKUP(A59,'Actual Dates'!A4:AF187,8,),'Actual Dates'!#REF!,"")</f>
        <v>#REF!</v>
      </c>
      <c r="H59" s="73" t="e">
        <f t="shared" si="19"/>
        <v>#REF!</v>
      </c>
      <c r="I59" s="73" t="e">
        <f>IF(VLOOKUP(A59,'Actual Dates'!A4:AF182,25,),'Actual Dates'!#REF!,"")</f>
        <v>#REF!</v>
      </c>
      <c r="J59" s="73" t="e">
        <f t="shared" si="20"/>
        <v>#REF!</v>
      </c>
      <c r="K59" s="73" t="e">
        <f>IF(VLOOKUP(A59,'Actual Dates'!A4:AF210,26,),'Actual Dates'!#REF!,"")</f>
        <v>#REF!</v>
      </c>
      <c r="L59" s="73" t="e">
        <f>IF(VLOOKUP(A59,'Actual Dates'!A4:AF210,21,),'Actual Dates'!#REF!,"")</f>
        <v>#REF!</v>
      </c>
      <c r="M59" s="73" t="e">
        <f>'Date Calcs'!#REF!</f>
        <v>#REF!</v>
      </c>
      <c r="N59" s="73" t="e">
        <f>IF(VLOOKUP(A59,'Actual Dates'!A4:AF210,27,),'Actual Dates'!#REF!,"")</f>
        <v>#REF!</v>
      </c>
      <c r="O59" s="74" t="e">
        <f t="shared" si="21"/>
        <v>#REF!</v>
      </c>
      <c r="P59" s="75" t="e">
        <f t="shared" si="22"/>
        <v>#REF!</v>
      </c>
      <c r="Q59" s="75" t="e">
        <f t="shared" si="23"/>
        <v>#REF!</v>
      </c>
      <c r="R59" s="132"/>
      <c r="S59" s="133"/>
      <c r="T59" s="88"/>
      <c r="U59" s="88"/>
      <c r="V59" s="88"/>
      <c r="W59" s="88"/>
      <c r="X59" s="88"/>
      <c r="Y59" s="88"/>
      <c r="Z59" s="88"/>
      <c r="AA59" s="88"/>
      <c r="AB59" s="88"/>
    </row>
    <row r="60" spans="1:28" x14ac:dyDescent="0.25">
      <c r="A60" s="70" t="e">
        <f>'Actual Dates'!#REF!</f>
        <v>#REF!</v>
      </c>
      <c r="B60" s="71" t="e">
        <f>'Date Calcs'!#REF!</f>
        <v>#REF!</v>
      </c>
      <c r="C60" s="72" t="e">
        <f>'Date Calcs'!#REF!</f>
        <v>#REF!</v>
      </c>
      <c r="D60" s="73" t="e">
        <f t="shared" si="18"/>
        <v>#REF!</v>
      </c>
      <c r="E60" s="66">
        <v>43685</v>
      </c>
      <c r="F60" s="73" t="e">
        <f>'Date Calcs'!#REF!</f>
        <v>#REF!</v>
      </c>
      <c r="G60" s="73" t="e">
        <f>IF(VLOOKUP(A60,'Actual Dates'!A4:AF188,8,),'Actual Dates'!#REF!,"")</f>
        <v>#REF!</v>
      </c>
      <c r="H60" s="73" t="e">
        <f t="shared" si="19"/>
        <v>#REF!</v>
      </c>
      <c r="I60" s="73" t="e">
        <f>IF(VLOOKUP(A60,'Actual Dates'!A4:AF183,25,),'Actual Dates'!#REF!,"")</f>
        <v>#REF!</v>
      </c>
      <c r="J60" s="73" t="e">
        <f t="shared" si="20"/>
        <v>#REF!</v>
      </c>
      <c r="K60" s="73" t="e">
        <f>IF(VLOOKUP(A60,'Actual Dates'!A4:AF211,26,),'Actual Dates'!#REF!,"")</f>
        <v>#REF!</v>
      </c>
      <c r="L60" s="73" t="e">
        <f>IF(VLOOKUP(A60,'Actual Dates'!A4:AF211,21,),'Actual Dates'!#REF!,"")</f>
        <v>#REF!</v>
      </c>
      <c r="M60" s="73" t="e">
        <f>'Date Calcs'!#REF!</f>
        <v>#REF!</v>
      </c>
      <c r="N60" s="73" t="e">
        <f>IF(VLOOKUP(A60,'Actual Dates'!A4:AF211,27,),'Actual Dates'!#REF!,"")</f>
        <v>#REF!</v>
      </c>
      <c r="O60" s="74" t="e">
        <f t="shared" si="21"/>
        <v>#REF!</v>
      </c>
      <c r="P60" s="75" t="e">
        <f t="shared" si="22"/>
        <v>#REF!</v>
      </c>
      <c r="Q60" s="75" t="e">
        <f t="shared" si="23"/>
        <v>#REF!</v>
      </c>
      <c r="R60" s="132"/>
      <c r="S60" s="133"/>
      <c r="T60" s="88"/>
      <c r="U60" s="88"/>
      <c r="V60" s="88"/>
      <c r="W60" s="88"/>
      <c r="X60" s="88"/>
      <c r="Y60" s="88"/>
      <c r="Z60" s="88"/>
      <c r="AA60" s="88"/>
      <c r="AB60" s="88"/>
    </row>
    <row r="61" spans="1:28" x14ac:dyDescent="0.25">
      <c r="A61" s="70" t="e">
        <f>'Actual Dates'!#REF!</f>
        <v>#REF!</v>
      </c>
      <c r="B61" s="71" t="e">
        <f>'Date Calcs'!#REF!</f>
        <v>#REF!</v>
      </c>
      <c r="C61" s="72" t="e">
        <f>'Date Calcs'!#REF!</f>
        <v>#REF!</v>
      </c>
      <c r="D61" s="73" t="e">
        <f t="shared" si="18"/>
        <v>#REF!</v>
      </c>
      <c r="E61" s="66">
        <v>43685</v>
      </c>
      <c r="F61" s="73" t="e">
        <f>'Date Calcs'!#REF!</f>
        <v>#REF!</v>
      </c>
      <c r="G61" s="73" t="e">
        <f>IF(VLOOKUP(A61,'Actual Dates'!A4:AF189,8,),'Actual Dates'!#REF!,"")</f>
        <v>#REF!</v>
      </c>
      <c r="H61" s="73" t="e">
        <f t="shared" si="19"/>
        <v>#REF!</v>
      </c>
      <c r="I61" s="73" t="e">
        <f>IF(VLOOKUP(A61,'Actual Dates'!A4:AF184,25,),'Actual Dates'!#REF!,"")</f>
        <v>#REF!</v>
      </c>
      <c r="J61" s="73" t="e">
        <f t="shared" si="20"/>
        <v>#REF!</v>
      </c>
      <c r="K61" s="73" t="e">
        <f>IF(VLOOKUP(A61,'Actual Dates'!A4:AF212,26,),'Actual Dates'!#REF!,"")</f>
        <v>#REF!</v>
      </c>
      <c r="L61" s="73" t="e">
        <f>IF(VLOOKUP(A61,'Actual Dates'!A4:AF212,21,),'Actual Dates'!#REF!,"")</f>
        <v>#REF!</v>
      </c>
      <c r="M61" s="73" t="e">
        <f>'Date Calcs'!#REF!</f>
        <v>#REF!</v>
      </c>
      <c r="N61" s="73" t="e">
        <f>IF(VLOOKUP(A61,'Actual Dates'!A4:AF212,27,),'Actual Dates'!#REF!,"")</f>
        <v>#REF!</v>
      </c>
      <c r="O61" s="74" t="e">
        <f t="shared" si="21"/>
        <v>#REF!</v>
      </c>
      <c r="P61" s="75" t="e">
        <f t="shared" si="22"/>
        <v>#REF!</v>
      </c>
      <c r="Q61" s="75" t="e">
        <f t="shared" si="23"/>
        <v>#REF!</v>
      </c>
      <c r="R61" s="132"/>
      <c r="S61" s="133"/>
      <c r="T61" s="88"/>
      <c r="U61" s="88"/>
      <c r="V61" s="88"/>
      <c r="W61" s="88"/>
      <c r="X61" s="88"/>
      <c r="Y61" s="88"/>
      <c r="Z61" s="88"/>
      <c r="AA61" s="88"/>
      <c r="AB61" s="88"/>
    </row>
    <row r="62" spans="1:28" x14ac:dyDescent="0.25">
      <c r="A62" s="70" t="e">
        <f>'Actual Dates'!#REF!</f>
        <v>#REF!</v>
      </c>
      <c r="B62" s="71" t="e">
        <f>'Date Calcs'!#REF!</f>
        <v>#REF!</v>
      </c>
      <c r="C62" s="72" t="e">
        <f>'Date Calcs'!#REF!</f>
        <v>#REF!</v>
      </c>
      <c r="D62" s="73" t="e">
        <f t="shared" si="18"/>
        <v>#REF!</v>
      </c>
      <c r="E62" s="66">
        <v>43685</v>
      </c>
      <c r="F62" s="73" t="e">
        <f>'Date Calcs'!#REF!</f>
        <v>#REF!</v>
      </c>
      <c r="G62" s="73" t="e">
        <f>IF(VLOOKUP(A62,'Actual Dates'!A4:AF190,8,),'Actual Dates'!#REF!,"")</f>
        <v>#REF!</v>
      </c>
      <c r="H62" s="73" t="e">
        <f t="shared" si="19"/>
        <v>#REF!</v>
      </c>
      <c r="I62" s="73" t="e">
        <f>IF(VLOOKUP(A62,'Actual Dates'!A4:AF185,25,),'Actual Dates'!#REF!,"")</f>
        <v>#REF!</v>
      </c>
      <c r="J62" s="73" t="e">
        <f t="shared" si="20"/>
        <v>#REF!</v>
      </c>
      <c r="K62" s="73" t="e">
        <f>IF(VLOOKUP(A62,'Actual Dates'!A4:AF213,26,),'Actual Dates'!#REF!,"")</f>
        <v>#REF!</v>
      </c>
      <c r="L62" s="73" t="e">
        <f>IF(VLOOKUP(A62,'Actual Dates'!A4:AF213,21,),'Actual Dates'!#REF!,"")</f>
        <v>#REF!</v>
      </c>
      <c r="M62" s="73" t="e">
        <f>'Date Calcs'!#REF!</f>
        <v>#REF!</v>
      </c>
      <c r="N62" s="73" t="e">
        <f>IF(VLOOKUP(A62,'Actual Dates'!A4:AF213,27,),'Actual Dates'!#REF!,"")</f>
        <v>#REF!</v>
      </c>
      <c r="O62" s="74" t="e">
        <f t="shared" si="21"/>
        <v>#REF!</v>
      </c>
      <c r="P62" s="75" t="e">
        <f t="shared" si="22"/>
        <v>#REF!</v>
      </c>
      <c r="Q62" s="75" t="e">
        <f t="shared" si="23"/>
        <v>#REF!</v>
      </c>
      <c r="R62" s="132" t="s">
        <v>115</v>
      </c>
      <c r="S62" s="133"/>
      <c r="T62" s="88"/>
      <c r="U62" s="88"/>
      <c r="V62" s="88"/>
      <c r="W62" s="88"/>
      <c r="X62" s="88"/>
      <c r="Y62" s="88"/>
      <c r="Z62" s="88"/>
      <c r="AA62" s="88"/>
      <c r="AB62" s="88"/>
    </row>
    <row r="63" spans="1:28" x14ac:dyDescent="0.25">
      <c r="A63" s="70" t="e">
        <f>'Actual Dates'!#REF!</f>
        <v>#REF!</v>
      </c>
      <c r="B63" s="71" t="e">
        <f>'Date Calcs'!#REF!</f>
        <v>#REF!</v>
      </c>
      <c r="C63" s="72" t="e">
        <f>'Date Calcs'!#REF!</f>
        <v>#REF!</v>
      </c>
      <c r="D63" s="73" t="e">
        <f t="shared" ref="D63:D66" si="24">WORKDAY(F63,-1,)</f>
        <v>#REF!</v>
      </c>
      <c r="E63" s="66" t="s">
        <v>67</v>
      </c>
      <c r="F63" s="73" t="e">
        <f>'Date Calcs'!#REF!</f>
        <v>#REF!</v>
      </c>
      <c r="G63" s="73" t="s">
        <v>67</v>
      </c>
      <c r="H63" s="73" t="e">
        <f t="shared" ref="H63:H66" si="25">WORKDAY(L63,3,)</f>
        <v>#REF!</v>
      </c>
      <c r="I63" s="73" t="e">
        <f>IF(VLOOKUP(A63,'Actual Dates'!A4:AF186,25,),'Actual Dates'!#REF!,"")</f>
        <v>#REF!</v>
      </c>
      <c r="J63" s="73" t="e">
        <f t="shared" ref="J63:J66" si="26">WORKDAY(L63,4,)</f>
        <v>#REF!</v>
      </c>
      <c r="K63" s="73" t="e">
        <f>IF(VLOOKUP(A63,'Actual Dates'!A4:AF214,26,),'Actual Dates'!#REF!,"")</f>
        <v>#REF!</v>
      </c>
      <c r="L63" s="73" t="e">
        <f>IF(VLOOKUP(A63,'Actual Dates'!A4:AF214,21,),'Actual Dates'!#REF!,"")</f>
        <v>#REF!</v>
      </c>
      <c r="M63" s="73" t="e">
        <f>'Date Calcs'!#REF!</f>
        <v>#REF!</v>
      </c>
      <c r="N63" s="73" t="e">
        <f>IF(VLOOKUP(A63,'Actual Dates'!A4:AF214,27,),'Actual Dates'!#REF!,"")</f>
        <v>#REF!</v>
      </c>
      <c r="O63" s="74" t="e">
        <f t="shared" ref="O63:O66" si="27">N63-C63</f>
        <v>#REF!</v>
      </c>
      <c r="P63" s="75" t="e">
        <f t="shared" ref="P63:P66" si="28">F63-G63</f>
        <v>#REF!</v>
      </c>
      <c r="Q63" s="75" t="e">
        <f t="shared" ref="Q63:Q66" si="29">M63-N63</f>
        <v>#REF!</v>
      </c>
      <c r="R63" s="132"/>
      <c r="S63" s="133"/>
      <c r="T63" s="88"/>
      <c r="U63" s="88"/>
      <c r="V63" s="88"/>
      <c r="W63" s="88"/>
      <c r="X63" s="88"/>
      <c r="Y63" s="88"/>
      <c r="Z63" s="88"/>
      <c r="AA63" s="88"/>
      <c r="AB63" s="88"/>
    </row>
    <row r="64" spans="1:28" x14ac:dyDescent="0.25">
      <c r="A64" s="70" t="e">
        <f>'Actual Dates'!#REF!</f>
        <v>#REF!</v>
      </c>
      <c r="B64" s="71" t="e">
        <f>'Date Calcs'!#REF!</f>
        <v>#REF!</v>
      </c>
      <c r="C64" s="72" t="e">
        <f>'Date Calcs'!#REF!</f>
        <v>#REF!</v>
      </c>
      <c r="D64" s="73" t="e">
        <f t="shared" si="24"/>
        <v>#REF!</v>
      </c>
      <c r="E64" s="66">
        <v>43697</v>
      </c>
      <c r="F64" s="73" t="e">
        <f>'Date Calcs'!#REF!</f>
        <v>#REF!</v>
      </c>
      <c r="G64" s="73" t="e">
        <f>IF(VLOOKUP(A64,'Actual Dates'!A4:AF192,8,),'Actual Dates'!#REF!,"")</f>
        <v>#REF!</v>
      </c>
      <c r="H64" s="73" t="e">
        <f t="shared" si="25"/>
        <v>#REF!</v>
      </c>
      <c r="I64" s="73" t="e">
        <f>IF(VLOOKUP(A64,'Actual Dates'!A4:AF187,25,),'Actual Dates'!#REF!,"")</f>
        <v>#REF!</v>
      </c>
      <c r="J64" s="73" t="e">
        <f t="shared" si="26"/>
        <v>#REF!</v>
      </c>
      <c r="K64" s="73" t="e">
        <f>IF(VLOOKUP(A64,'Actual Dates'!A4:AF215,26,),'Actual Dates'!#REF!,"")</f>
        <v>#REF!</v>
      </c>
      <c r="L64" s="73" t="e">
        <f>IF(VLOOKUP(A64,'Actual Dates'!A4:AF215,21,),'Actual Dates'!#REF!,"")</f>
        <v>#REF!</v>
      </c>
      <c r="M64" s="73" t="e">
        <f>'Date Calcs'!#REF!</f>
        <v>#REF!</v>
      </c>
      <c r="N64" s="73" t="e">
        <f>IF(VLOOKUP(A64,'Actual Dates'!A4:AF215,27,),'Actual Dates'!#REF!,"")</f>
        <v>#REF!</v>
      </c>
      <c r="O64" s="74" t="e">
        <f t="shared" si="27"/>
        <v>#REF!</v>
      </c>
      <c r="P64" s="75" t="e">
        <f t="shared" si="28"/>
        <v>#REF!</v>
      </c>
      <c r="Q64" s="75" t="e">
        <f t="shared" si="29"/>
        <v>#REF!</v>
      </c>
      <c r="R64" s="132"/>
      <c r="S64" s="133"/>
      <c r="T64" s="88"/>
      <c r="U64" s="88"/>
      <c r="V64" s="88"/>
      <c r="W64" s="88"/>
      <c r="X64" s="88"/>
      <c r="Y64" s="88"/>
      <c r="Z64" s="88"/>
      <c r="AA64" s="88"/>
      <c r="AB64" s="88"/>
    </row>
    <row r="65" spans="1:28" x14ac:dyDescent="0.25">
      <c r="A65" s="70" t="e">
        <f>'Actual Dates'!#REF!</f>
        <v>#REF!</v>
      </c>
      <c r="B65" s="71" t="e">
        <f>'Date Calcs'!#REF!</f>
        <v>#REF!</v>
      </c>
      <c r="C65" s="72" t="e">
        <f>'Date Calcs'!#REF!</f>
        <v>#REF!</v>
      </c>
      <c r="D65" s="73" t="e">
        <f t="shared" si="24"/>
        <v>#REF!</v>
      </c>
      <c r="E65" s="66">
        <v>43697</v>
      </c>
      <c r="F65" s="73" t="e">
        <f>'Date Calcs'!#REF!</f>
        <v>#REF!</v>
      </c>
      <c r="G65" s="73" t="e">
        <f>IF(VLOOKUP(A65,'Actual Dates'!A4:AF193,8,),'Actual Dates'!#REF!,"")</f>
        <v>#REF!</v>
      </c>
      <c r="H65" s="73" t="e">
        <f t="shared" si="25"/>
        <v>#REF!</v>
      </c>
      <c r="I65" s="73" t="e">
        <f>IF(VLOOKUP(A65,'Actual Dates'!A4:AF188,25,),'Actual Dates'!#REF!,"")</f>
        <v>#REF!</v>
      </c>
      <c r="J65" s="73" t="e">
        <f t="shared" si="26"/>
        <v>#REF!</v>
      </c>
      <c r="K65" s="73" t="e">
        <f>IF(VLOOKUP(A65,'Actual Dates'!A4:AF216,26,),'Actual Dates'!#REF!,"")</f>
        <v>#REF!</v>
      </c>
      <c r="L65" s="73" t="e">
        <f>IF(VLOOKUP(A65,'Actual Dates'!A4:AF216,21,),'Actual Dates'!#REF!,"")</f>
        <v>#REF!</v>
      </c>
      <c r="M65" s="73" t="e">
        <f>'Date Calcs'!#REF!</f>
        <v>#REF!</v>
      </c>
      <c r="N65" s="73" t="e">
        <f>IF(VLOOKUP(A65,'Actual Dates'!A4:AF216,27,),'Actual Dates'!#REF!,"")</f>
        <v>#REF!</v>
      </c>
      <c r="O65" s="74" t="e">
        <f t="shared" si="27"/>
        <v>#REF!</v>
      </c>
      <c r="P65" s="75" t="e">
        <f t="shared" si="28"/>
        <v>#REF!</v>
      </c>
      <c r="Q65" s="75" t="e">
        <f t="shared" si="29"/>
        <v>#REF!</v>
      </c>
      <c r="R65" s="132"/>
      <c r="S65" s="133"/>
      <c r="T65" s="88"/>
      <c r="U65" s="88"/>
      <c r="V65" s="88"/>
      <c r="W65" s="88"/>
      <c r="X65" s="88"/>
      <c r="Y65" s="88"/>
      <c r="Z65" s="88"/>
      <c r="AA65" s="88"/>
      <c r="AB65" s="88"/>
    </row>
    <row r="66" spans="1:28" x14ac:dyDescent="0.25">
      <c r="A66" s="70" t="e">
        <f>'Actual Dates'!#REF!</f>
        <v>#REF!</v>
      </c>
      <c r="B66" s="71" t="e">
        <f>'Date Calcs'!#REF!</f>
        <v>#REF!</v>
      </c>
      <c r="C66" s="72" t="e">
        <f>'Date Calcs'!#REF!</f>
        <v>#REF!</v>
      </c>
      <c r="D66" s="73" t="e">
        <f t="shared" si="24"/>
        <v>#REF!</v>
      </c>
      <c r="E66" s="66">
        <v>43700</v>
      </c>
      <c r="F66" s="73" t="e">
        <f>'Date Calcs'!#REF!</f>
        <v>#REF!</v>
      </c>
      <c r="G66" s="73" t="e">
        <f>IF(VLOOKUP(A66,'Actual Dates'!A4:AF194,8,),'Actual Dates'!#REF!,"")</f>
        <v>#REF!</v>
      </c>
      <c r="H66" s="73" t="e">
        <f t="shared" si="25"/>
        <v>#REF!</v>
      </c>
      <c r="I66" s="73" t="e">
        <f>IF(VLOOKUP(A66,'Actual Dates'!A4:AF189,25,),'Actual Dates'!#REF!,"")</f>
        <v>#REF!</v>
      </c>
      <c r="J66" s="73" t="e">
        <f t="shared" si="26"/>
        <v>#REF!</v>
      </c>
      <c r="K66" s="73" t="e">
        <f>IF(VLOOKUP(A66,'Actual Dates'!A4:AF217,26,),'Actual Dates'!#REF!,"")</f>
        <v>#REF!</v>
      </c>
      <c r="L66" s="73" t="e">
        <f>IF(VLOOKUP(A66,'Actual Dates'!A4:AF217,21,),'Actual Dates'!#REF!,"")</f>
        <v>#REF!</v>
      </c>
      <c r="M66" s="73" t="e">
        <f>'Date Calcs'!#REF!</f>
        <v>#REF!</v>
      </c>
      <c r="N66" s="73" t="e">
        <f>IF(VLOOKUP(A66,'Actual Dates'!A4:AF217,27,),'Actual Dates'!#REF!,"")</f>
        <v>#REF!</v>
      </c>
      <c r="O66" s="74" t="e">
        <f t="shared" si="27"/>
        <v>#REF!</v>
      </c>
      <c r="P66" s="75" t="e">
        <f t="shared" si="28"/>
        <v>#REF!</v>
      </c>
      <c r="Q66" s="75" t="e">
        <f t="shared" si="29"/>
        <v>#REF!</v>
      </c>
      <c r="R66" s="132" t="s">
        <v>111</v>
      </c>
      <c r="S66" s="133"/>
      <c r="T66" s="88"/>
      <c r="U66" s="88"/>
      <c r="V66" s="88"/>
      <c r="W66" s="88"/>
      <c r="X66" s="88"/>
      <c r="Y66" s="88"/>
      <c r="Z66" s="88"/>
      <c r="AA66" s="88"/>
      <c r="AB66" s="88"/>
    </row>
    <row r="67" spans="1:28" x14ac:dyDescent="0.25">
      <c r="A67" s="70" t="e">
        <f>'Actual Dates'!#REF!</f>
        <v>#REF!</v>
      </c>
      <c r="B67" s="71" t="e">
        <f>'Date Calcs'!#REF!</f>
        <v>#REF!</v>
      </c>
      <c r="C67" s="72" t="e">
        <f>'Date Calcs'!#REF!</f>
        <v>#REF!</v>
      </c>
      <c r="D67" s="73" t="e">
        <f t="shared" ref="D67:D72" si="30">WORKDAY(F67,-1,)</f>
        <v>#REF!</v>
      </c>
      <c r="E67" s="66">
        <v>43700</v>
      </c>
      <c r="F67" s="73" t="e">
        <f>'Date Calcs'!#REF!</f>
        <v>#REF!</v>
      </c>
      <c r="G67" s="73" t="e">
        <f>IF(VLOOKUP(A67,'Actual Dates'!A4:AF195,8,),'Actual Dates'!#REF!,"")</f>
        <v>#REF!</v>
      </c>
      <c r="H67" s="73" t="e">
        <f t="shared" ref="H67:H72" si="31">WORKDAY(L67,3,)</f>
        <v>#REF!</v>
      </c>
      <c r="I67" s="73" t="e">
        <f>IF(VLOOKUP(A67,'Actual Dates'!A4:AF190,25,),'Actual Dates'!#REF!,"")</f>
        <v>#REF!</v>
      </c>
      <c r="J67" s="73" t="e">
        <f t="shared" ref="J67:J72" si="32">WORKDAY(L67,4,)</f>
        <v>#REF!</v>
      </c>
      <c r="K67" s="73" t="e">
        <f>IF(VLOOKUP(A67,'Actual Dates'!A4:AF218,26,),'Actual Dates'!#REF!,"")</f>
        <v>#REF!</v>
      </c>
      <c r="L67" s="73" t="e">
        <f>IF(VLOOKUP(A67,'Actual Dates'!A4:AF218,21,),'Actual Dates'!#REF!,"")</f>
        <v>#REF!</v>
      </c>
      <c r="M67" s="73" t="e">
        <f>'Date Calcs'!#REF!</f>
        <v>#REF!</v>
      </c>
      <c r="N67" s="73" t="e">
        <f>IF(VLOOKUP(A67,'Actual Dates'!A4:AF218,27,),'Actual Dates'!#REF!,"")</f>
        <v>#REF!</v>
      </c>
      <c r="O67" s="74" t="e">
        <f t="shared" ref="O67:O72" si="33">N67-C67</f>
        <v>#REF!</v>
      </c>
      <c r="P67" s="75" t="e">
        <f t="shared" ref="P67:P70" si="34">F67-G67</f>
        <v>#REF!</v>
      </c>
      <c r="Q67" s="75" t="e">
        <f t="shared" ref="Q67:Q70" si="35">M67-N67</f>
        <v>#REF!</v>
      </c>
      <c r="R67" s="132"/>
      <c r="S67" s="133"/>
      <c r="T67" s="88"/>
      <c r="U67" s="88"/>
      <c r="V67" s="88"/>
      <c r="W67" s="88"/>
      <c r="X67" s="88"/>
      <c r="Y67" s="88"/>
      <c r="Z67" s="88"/>
      <c r="AA67" s="88"/>
      <c r="AB67" s="88"/>
    </row>
    <row r="68" spans="1:28" x14ac:dyDescent="0.25">
      <c r="A68" s="70" t="e">
        <f>'Actual Dates'!#REF!</f>
        <v>#REF!</v>
      </c>
      <c r="B68" s="71" t="e">
        <f>'Date Calcs'!#REF!</f>
        <v>#REF!</v>
      </c>
      <c r="C68" s="72" t="e">
        <f>'Date Calcs'!#REF!</f>
        <v>#REF!</v>
      </c>
      <c r="D68" s="73" t="e">
        <f t="shared" si="30"/>
        <v>#REF!</v>
      </c>
      <c r="E68" s="66">
        <v>43703</v>
      </c>
      <c r="F68" s="73" t="e">
        <f>'Date Calcs'!#REF!</f>
        <v>#REF!</v>
      </c>
      <c r="G68" s="73" t="e">
        <f>IF(VLOOKUP(A68,'Actual Dates'!A4:AF196,8,),'Actual Dates'!#REF!,"")</f>
        <v>#REF!</v>
      </c>
      <c r="H68" s="73" t="e">
        <f t="shared" si="31"/>
        <v>#REF!</v>
      </c>
      <c r="I68" s="73" t="e">
        <f>IF(VLOOKUP(A68,'Actual Dates'!A4:AF191,25,),'Actual Dates'!#REF!,"")</f>
        <v>#REF!</v>
      </c>
      <c r="J68" s="73" t="e">
        <f t="shared" si="32"/>
        <v>#REF!</v>
      </c>
      <c r="K68" s="73" t="e">
        <f>IF(VLOOKUP(A68,'Actual Dates'!A4:AF219,26,),'Actual Dates'!#REF!,"")</f>
        <v>#REF!</v>
      </c>
      <c r="L68" s="73" t="e">
        <f>IF(VLOOKUP(A68,'Actual Dates'!A4:AF219,21,),'Actual Dates'!#REF!,"")</f>
        <v>#REF!</v>
      </c>
      <c r="M68" s="73" t="e">
        <f>'Date Calcs'!#REF!</f>
        <v>#REF!</v>
      </c>
      <c r="N68" s="73" t="e">
        <f>IF(VLOOKUP(A68,'Actual Dates'!A4:AF219,27,),'Actual Dates'!#REF!,"")</f>
        <v>#REF!</v>
      </c>
      <c r="O68" s="74" t="e">
        <f t="shared" si="33"/>
        <v>#REF!</v>
      </c>
      <c r="P68" s="75" t="e">
        <f t="shared" si="34"/>
        <v>#REF!</v>
      </c>
      <c r="Q68" s="75" t="e">
        <f t="shared" si="35"/>
        <v>#REF!</v>
      </c>
      <c r="R68" s="132"/>
      <c r="S68" s="133"/>
      <c r="T68" s="88"/>
      <c r="U68" s="88"/>
      <c r="V68" s="88"/>
      <c r="W68" s="88"/>
      <c r="X68" s="88"/>
      <c r="Y68" s="88"/>
      <c r="Z68" s="88"/>
      <c r="AA68" s="88"/>
      <c r="AB68" s="88"/>
    </row>
    <row r="69" spans="1:28" x14ac:dyDescent="0.25">
      <c r="A69" s="70" t="e">
        <f>'Actual Dates'!#REF!</f>
        <v>#REF!</v>
      </c>
      <c r="B69" s="71" t="e">
        <f>'Date Calcs'!#REF!</f>
        <v>#REF!</v>
      </c>
      <c r="C69" s="72" t="e">
        <f>'Date Calcs'!#REF!</f>
        <v>#REF!</v>
      </c>
      <c r="D69" s="73" t="e">
        <f t="shared" si="30"/>
        <v>#REF!</v>
      </c>
      <c r="E69" s="66">
        <v>43700</v>
      </c>
      <c r="F69" s="73" t="e">
        <f>'Date Calcs'!#REF!</f>
        <v>#REF!</v>
      </c>
      <c r="G69" s="73" t="e">
        <f>IF(VLOOKUP(A69,'Actual Dates'!A4:AF197,8,),'Actual Dates'!#REF!,"")</f>
        <v>#REF!</v>
      </c>
      <c r="H69" s="73" t="e">
        <f t="shared" si="31"/>
        <v>#REF!</v>
      </c>
      <c r="I69" s="73" t="e">
        <f>IF(VLOOKUP(A69,'Actual Dates'!A4:AF192,25,),'Actual Dates'!#REF!,"")</f>
        <v>#REF!</v>
      </c>
      <c r="J69" s="73" t="e">
        <f t="shared" si="32"/>
        <v>#REF!</v>
      </c>
      <c r="K69" s="73" t="e">
        <f>IF(VLOOKUP(A69,'Actual Dates'!A4:AF220,26,),'Actual Dates'!#REF!,"")</f>
        <v>#REF!</v>
      </c>
      <c r="L69" s="73" t="e">
        <f>IF(VLOOKUP(A69,'Actual Dates'!A4:AF220,21,),'Actual Dates'!#REF!,"")</f>
        <v>#REF!</v>
      </c>
      <c r="M69" s="73" t="e">
        <f>'Date Calcs'!#REF!</f>
        <v>#REF!</v>
      </c>
      <c r="N69" s="73" t="e">
        <f>IF(VLOOKUP(A69,'Actual Dates'!A4:AF220,27,),'Actual Dates'!#REF!,"")</f>
        <v>#REF!</v>
      </c>
      <c r="O69" s="74" t="e">
        <f t="shared" si="33"/>
        <v>#REF!</v>
      </c>
      <c r="P69" s="75" t="e">
        <f t="shared" si="34"/>
        <v>#REF!</v>
      </c>
      <c r="Q69" s="75" t="e">
        <f t="shared" si="35"/>
        <v>#REF!</v>
      </c>
      <c r="R69" s="132"/>
      <c r="S69" s="133"/>
      <c r="T69" s="88"/>
      <c r="U69" s="88"/>
      <c r="V69" s="88"/>
      <c r="W69" s="88"/>
      <c r="X69" s="88"/>
      <c r="Y69" s="88"/>
      <c r="Z69" s="88"/>
      <c r="AA69" s="88"/>
      <c r="AB69" s="88"/>
    </row>
    <row r="70" spans="1:28" x14ac:dyDescent="0.25">
      <c r="A70" s="70" t="e">
        <f>'Actual Dates'!#REF!</f>
        <v>#REF!</v>
      </c>
      <c r="B70" s="71" t="e">
        <f>'Date Calcs'!#REF!</f>
        <v>#REF!</v>
      </c>
      <c r="C70" s="72" t="e">
        <f>'Date Calcs'!#REF!</f>
        <v>#REF!</v>
      </c>
      <c r="D70" s="73" t="e">
        <f t="shared" si="30"/>
        <v>#REF!</v>
      </c>
      <c r="E70" s="66">
        <v>43706</v>
      </c>
      <c r="F70" s="73" t="e">
        <f>'Date Calcs'!#REF!</f>
        <v>#REF!</v>
      </c>
      <c r="G70" s="73" t="e">
        <f>IF(VLOOKUP(A70,'Actual Dates'!A4:AF198,8,),'Actual Dates'!#REF!,"")</f>
        <v>#REF!</v>
      </c>
      <c r="H70" s="73" t="e">
        <f t="shared" si="31"/>
        <v>#REF!</v>
      </c>
      <c r="I70" s="73" t="e">
        <f>IF(VLOOKUP(A70,'Actual Dates'!A4:AF193,25,),'Actual Dates'!#REF!,"")</f>
        <v>#REF!</v>
      </c>
      <c r="J70" s="73" t="e">
        <f t="shared" si="32"/>
        <v>#REF!</v>
      </c>
      <c r="K70" s="73" t="e">
        <f>IF(VLOOKUP(A70,'Actual Dates'!A4:AF221,26,),'Actual Dates'!#REF!,"")</f>
        <v>#REF!</v>
      </c>
      <c r="L70" s="73" t="e">
        <f>IF(VLOOKUP(A70,'Actual Dates'!A4:AF221,21,),'Actual Dates'!#REF!,"")</f>
        <v>#REF!</v>
      </c>
      <c r="M70" s="73" t="e">
        <f>'Date Calcs'!#REF!</f>
        <v>#REF!</v>
      </c>
      <c r="N70" s="73" t="e">
        <f>IF(VLOOKUP(A70,'Actual Dates'!A4:AF221,27,),'Actual Dates'!#REF!,"")</f>
        <v>#REF!</v>
      </c>
      <c r="O70" s="74" t="e">
        <f t="shared" si="33"/>
        <v>#REF!</v>
      </c>
      <c r="P70" s="75" t="e">
        <f t="shared" si="34"/>
        <v>#REF!</v>
      </c>
      <c r="Q70" s="75" t="e">
        <f t="shared" si="35"/>
        <v>#REF!</v>
      </c>
      <c r="R70" s="132"/>
      <c r="S70" s="133"/>
      <c r="T70" s="88"/>
      <c r="U70" s="88"/>
      <c r="V70" s="88"/>
      <c r="W70" s="88"/>
      <c r="X70" s="88"/>
      <c r="Y70" s="88"/>
      <c r="Z70" s="88"/>
      <c r="AA70" s="88"/>
      <c r="AB70" s="88"/>
    </row>
    <row r="71" spans="1:28" x14ac:dyDescent="0.25">
      <c r="A71" s="70" t="e">
        <f>'Actual Dates'!#REF!</f>
        <v>#REF!</v>
      </c>
      <c r="B71" s="71" t="e">
        <f>'Date Calcs'!#REF!</f>
        <v>#REF!</v>
      </c>
      <c r="C71" s="72" t="e">
        <f>'Date Calcs'!#REF!</f>
        <v>#REF!</v>
      </c>
      <c r="D71" s="73" t="e">
        <f t="shared" si="30"/>
        <v>#REF!</v>
      </c>
      <c r="E71" s="66">
        <v>43719</v>
      </c>
      <c r="F71" s="73" t="e">
        <f>'Date Calcs'!#REF!</f>
        <v>#REF!</v>
      </c>
      <c r="G71" s="73" t="e">
        <f>IF(VLOOKUP(A71,'Actual Dates'!A4:AF199,8,),'Actual Dates'!#REF!,"")</f>
        <v>#REF!</v>
      </c>
      <c r="H71" s="73" t="e">
        <f t="shared" si="31"/>
        <v>#REF!</v>
      </c>
      <c r="I71" s="73" t="e">
        <f>IF(VLOOKUP(A71,'Actual Dates'!A4:AF194,25,),'Actual Dates'!#REF!,"")</f>
        <v>#REF!</v>
      </c>
      <c r="J71" s="73" t="e">
        <f t="shared" si="32"/>
        <v>#REF!</v>
      </c>
      <c r="K71" s="73" t="e">
        <f>IF(VLOOKUP(A71,'Actual Dates'!A4:AF222,26,),'Actual Dates'!#REF!,"")</f>
        <v>#REF!</v>
      </c>
      <c r="L71" s="73" t="e">
        <f>IF(VLOOKUP(A71,'Actual Dates'!A4:AF222,21,),'Actual Dates'!#REF!,"")</f>
        <v>#REF!</v>
      </c>
      <c r="M71" s="73" t="e">
        <f>'Date Calcs'!#REF!</f>
        <v>#REF!</v>
      </c>
      <c r="N71" s="73" t="e">
        <f>IF(VLOOKUP(A71,'Actual Dates'!A4:AF222,27,),'Actual Dates'!#REF!,"")</f>
        <v>#REF!</v>
      </c>
      <c r="O71" s="74" t="e">
        <f t="shared" si="33"/>
        <v>#REF!</v>
      </c>
      <c r="P71" s="75" t="e">
        <f t="shared" ref="P71:P72" si="36">F71-G71</f>
        <v>#REF!</v>
      </c>
      <c r="Q71" s="75" t="e">
        <f t="shared" ref="Q71:Q72" si="37">M71-N71</f>
        <v>#REF!</v>
      </c>
      <c r="R71" s="132"/>
      <c r="S71" s="133"/>
      <c r="T71" s="88"/>
      <c r="U71" s="88"/>
      <c r="V71" s="88"/>
      <c r="W71" s="88"/>
      <c r="X71" s="88"/>
      <c r="Y71" s="88"/>
      <c r="Z71" s="88"/>
      <c r="AA71" s="88"/>
      <c r="AB71" s="88"/>
    </row>
    <row r="72" spans="1:28" x14ac:dyDescent="0.25">
      <c r="A72" s="70" t="e">
        <f>'Actual Dates'!#REF!</f>
        <v>#REF!</v>
      </c>
      <c r="B72" s="71" t="e">
        <f>'Date Calcs'!#REF!</f>
        <v>#REF!</v>
      </c>
      <c r="C72" s="72" t="e">
        <f>'Date Calcs'!#REF!</f>
        <v>#REF!</v>
      </c>
      <c r="D72" s="73" t="e">
        <f t="shared" si="30"/>
        <v>#REF!</v>
      </c>
      <c r="E72" s="66">
        <v>43725</v>
      </c>
      <c r="F72" s="73" t="e">
        <f>'Date Calcs'!#REF!</f>
        <v>#REF!</v>
      </c>
      <c r="G72" s="73" t="e">
        <f>IF(VLOOKUP(A72,'Actual Dates'!A4:AF200,8,),'Actual Dates'!#REF!,"")</f>
        <v>#REF!</v>
      </c>
      <c r="H72" s="73" t="e">
        <f t="shared" si="31"/>
        <v>#REF!</v>
      </c>
      <c r="I72" s="73" t="e">
        <f>IF(VLOOKUP(A72,'Actual Dates'!A4:AF195,25,),'Actual Dates'!#REF!,"")</f>
        <v>#REF!</v>
      </c>
      <c r="J72" s="73" t="e">
        <f t="shared" si="32"/>
        <v>#REF!</v>
      </c>
      <c r="K72" s="73" t="e">
        <f>IF(VLOOKUP(A72,'Actual Dates'!A4:AF223,26,),'Actual Dates'!#REF!,"")</f>
        <v>#REF!</v>
      </c>
      <c r="L72" s="73" t="e">
        <f>IF(VLOOKUP(A72,'Actual Dates'!A4:AF223,21,),'Actual Dates'!#REF!,"")</f>
        <v>#REF!</v>
      </c>
      <c r="M72" s="73" t="e">
        <f>'Date Calcs'!#REF!</f>
        <v>#REF!</v>
      </c>
      <c r="N72" s="73" t="e">
        <f>IF(VLOOKUP(A72,'Actual Dates'!A4:AF223,27,),'Actual Dates'!#REF!,"")</f>
        <v>#REF!</v>
      </c>
      <c r="O72" s="74" t="e">
        <f t="shared" si="33"/>
        <v>#REF!</v>
      </c>
      <c r="P72" s="75" t="e">
        <f t="shared" si="36"/>
        <v>#REF!</v>
      </c>
      <c r="Q72" s="75" t="e">
        <f t="shared" si="37"/>
        <v>#REF!</v>
      </c>
      <c r="R72" s="132"/>
      <c r="S72" s="133"/>
      <c r="T72" s="88"/>
      <c r="U72" s="88"/>
      <c r="V72" s="88"/>
      <c r="W72" s="88"/>
      <c r="X72" s="88"/>
      <c r="Y72" s="88"/>
      <c r="Z72" s="88"/>
      <c r="AA72" s="88"/>
      <c r="AB72" s="88"/>
    </row>
    <row r="73" spans="1:28" x14ac:dyDescent="0.25">
      <c r="A73" s="70" t="e">
        <f>'Actual Dates'!#REF!</f>
        <v>#REF!</v>
      </c>
      <c r="B73" s="71" t="e">
        <f>'Date Calcs'!#REF!</f>
        <v>#REF!</v>
      </c>
      <c r="C73" s="72" t="e">
        <f>'Date Calcs'!#REF!</f>
        <v>#REF!</v>
      </c>
      <c r="D73" s="73" t="e">
        <f t="shared" ref="D73" si="38">WORKDAY(F73,-1,)</f>
        <v>#REF!</v>
      </c>
      <c r="E73" s="66">
        <v>43725</v>
      </c>
      <c r="F73" s="73" t="e">
        <f>'Date Calcs'!#REF!</f>
        <v>#REF!</v>
      </c>
      <c r="G73" s="73" t="e">
        <f>IF(VLOOKUP(A73,'Actual Dates'!A4:AF201,8,),'Actual Dates'!#REF!,"")</f>
        <v>#REF!</v>
      </c>
      <c r="H73" s="73" t="e">
        <f t="shared" ref="H73" si="39">WORKDAY(L73,3,)</f>
        <v>#REF!</v>
      </c>
      <c r="I73" s="73" t="e">
        <f>IF(VLOOKUP(A73,'Actual Dates'!A4:AF196,25,),'Actual Dates'!#REF!,"")</f>
        <v>#REF!</v>
      </c>
      <c r="J73" s="73" t="e">
        <f t="shared" ref="J73" si="40">WORKDAY(L73,4,)</f>
        <v>#REF!</v>
      </c>
      <c r="K73" s="73" t="e">
        <f>IF(VLOOKUP(A73,'Actual Dates'!A4:AF224,26,),'Actual Dates'!#REF!,"")</f>
        <v>#REF!</v>
      </c>
      <c r="L73" s="73" t="e">
        <f>IF(VLOOKUP(A73,'Actual Dates'!A4:AF224,21,),'Actual Dates'!#REF!,"")</f>
        <v>#REF!</v>
      </c>
      <c r="M73" s="73" t="e">
        <f>'Date Calcs'!#REF!</f>
        <v>#REF!</v>
      </c>
      <c r="N73" s="73" t="e">
        <f>IF(VLOOKUP(A73,'Actual Dates'!A4:AF224,27,),'Actual Dates'!#REF!,"")</f>
        <v>#REF!</v>
      </c>
      <c r="O73" s="74" t="e">
        <f t="shared" ref="O73" si="41">N73-C73</f>
        <v>#REF!</v>
      </c>
      <c r="P73" s="75" t="e">
        <f t="shared" ref="P73" si="42">F73-G73</f>
        <v>#REF!</v>
      </c>
      <c r="Q73" s="75" t="e">
        <f t="shared" ref="Q73" si="43">M73-N73</f>
        <v>#REF!</v>
      </c>
      <c r="R73" s="132"/>
      <c r="S73" s="133"/>
      <c r="T73" s="88"/>
      <c r="U73" s="88"/>
      <c r="V73" s="88"/>
      <c r="W73" s="88"/>
      <c r="X73" s="88"/>
      <c r="Y73" s="88"/>
      <c r="Z73" s="88"/>
      <c r="AA73" s="88"/>
      <c r="AB73" s="88"/>
    </row>
    <row r="74" spans="1:28" x14ac:dyDescent="0.25">
      <c r="A74" s="70" t="e">
        <f>'Actual Dates'!#REF!</f>
        <v>#REF!</v>
      </c>
      <c r="B74" s="71" t="e">
        <f>'Date Calcs'!#REF!</f>
        <v>#REF!</v>
      </c>
      <c r="C74" s="72" t="e">
        <f>'Date Calcs'!#REF!</f>
        <v>#REF!</v>
      </c>
      <c r="D74" s="73" t="e">
        <f t="shared" ref="D74:D77" si="44">WORKDAY(F74,-1,)</f>
        <v>#REF!</v>
      </c>
      <c r="E74" s="66" t="s">
        <v>67</v>
      </c>
      <c r="F74" s="73" t="e">
        <f>'Date Calcs'!#REF!</f>
        <v>#REF!</v>
      </c>
      <c r="G74" s="73" t="s">
        <v>67</v>
      </c>
      <c r="H74" s="73" t="e">
        <f t="shared" ref="H74:H77" si="45">WORKDAY(L74,3,)</f>
        <v>#REF!</v>
      </c>
      <c r="I74" s="73" t="e">
        <f>IF(VLOOKUP(A74,'Actual Dates'!A4:AF197,25,),'Actual Dates'!#REF!,"")</f>
        <v>#REF!</v>
      </c>
      <c r="J74" s="73" t="e">
        <f t="shared" ref="J74:J77" si="46">WORKDAY(L74,4,)</f>
        <v>#REF!</v>
      </c>
      <c r="K74" s="73" t="e">
        <f>IF(VLOOKUP(A74,'Actual Dates'!A4:AF225,26,),'Actual Dates'!#REF!,"")</f>
        <v>#REF!</v>
      </c>
      <c r="L74" s="73" t="e">
        <f>IF(VLOOKUP(A74,'Actual Dates'!A4:AF225,21,),'Actual Dates'!#REF!,"")</f>
        <v>#REF!</v>
      </c>
      <c r="M74" s="73" t="e">
        <f>'Date Calcs'!#REF!</f>
        <v>#REF!</v>
      </c>
      <c r="N74" s="73" t="e">
        <f>IF(VLOOKUP(A74,'Actual Dates'!A4:AF225,27,),'Actual Dates'!#REF!,"")</f>
        <v>#REF!</v>
      </c>
      <c r="O74" s="74" t="e">
        <f t="shared" ref="O74:O77" si="47">N74-C74</f>
        <v>#REF!</v>
      </c>
      <c r="P74" s="75" t="e">
        <f t="shared" ref="P74:P77" si="48">F74-G74</f>
        <v>#REF!</v>
      </c>
      <c r="Q74" s="75" t="e">
        <f t="shared" ref="Q74:Q77" si="49">M74-N74</f>
        <v>#REF!</v>
      </c>
      <c r="R74" s="132"/>
      <c r="S74" s="133"/>
      <c r="T74" s="88"/>
      <c r="U74" s="88"/>
      <c r="V74" s="88"/>
      <c r="W74" s="88"/>
      <c r="X74" s="88"/>
      <c r="Y74" s="88"/>
      <c r="Z74" s="88"/>
      <c r="AA74" s="88"/>
      <c r="AB74" s="88"/>
    </row>
    <row r="75" spans="1:28" x14ac:dyDescent="0.25">
      <c r="A75" s="70" t="e">
        <f>'Actual Dates'!#REF!</f>
        <v>#REF!</v>
      </c>
      <c r="B75" s="71" t="e">
        <f>'Date Calcs'!#REF!</f>
        <v>#REF!</v>
      </c>
      <c r="C75" s="72" t="e">
        <f>'Date Calcs'!#REF!</f>
        <v>#REF!</v>
      </c>
      <c r="D75" s="73" t="e">
        <f t="shared" si="44"/>
        <v>#REF!</v>
      </c>
      <c r="E75" s="66">
        <v>43735</v>
      </c>
      <c r="F75" s="73" t="e">
        <f>'Date Calcs'!#REF!</f>
        <v>#REF!</v>
      </c>
      <c r="G75" s="73" t="e">
        <f>IF(VLOOKUP(A75,'Actual Dates'!A4:AF203,8,),'Actual Dates'!#REF!,"")</f>
        <v>#REF!</v>
      </c>
      <c r="H75" s="73" t="e">
        <f t="shared" si="45"/>
        <v>#REF!</v>
      </c>
      <c r="I75" s="73" t="e">
        <f>IF(VLOOKUP(A75,'Actual Dates'!A4:AF198,25,),'Actual Dates'!#REF!,"")</f>
        <v>#REF!</v>
      </c>
      <c r="J75" s="73" t="e">
        <f t="shared" si="46"/>
        <v>#REF!</v>
      </c>
      <c r="K75" s="73" t="e">
        <f>IF(VLOOKUP(A75,'Actual Dates'!A4:AF226,26,),'Actual Dates'!#REF!,"")</f>
        <v>#REF!</v>
      </c>
      <c r="L75" s="73" t="e">
        <f>IF(VLOOKUP(A75,'Actual Dates'!A4:AF226,21,),'Actual Dates'!#REF!,"")</f>
        <v>#REF!</v>
      </c>
      <c r="M75" s="73" t="e">
        <f>'Date Calcs'!#REF!</f>
        <v>#REF!</v>
      </c>
      <c r="N75" s="73" t="e">
        <f>IF(VLOOKUP(A75,'Actual Dates'!A4:AF226,27,),'Actual Dates'!#REF!,"")</f>
        <v>#REF!</v>
      </c>
      <c r="O75" s="74" t="e">
        <f t="shared" si="47"/>
        <v>#REF!</v>
      </c>
      <c r="P75" s="75" t="e">
        <f t="shared" si="48"/>
        <v>#REF!</v>
      </c>
      <c r="Q75" s="75" t="e">
        <f t="shared" si="49"/>
        <v>#REF!</v>
      </c>
      <c r="R75" s="140" t="s">
        <v>116</v>
      </c>
      <c r="S75" s="141"/>
      <c r="T75" s="89"/>
      <c r="U75" s="89"/>
      <c r="V75" s="89"/>
      <c r="W75" s="89"/>
      <c r="X75" s="89"/>
      <c r="Y75" s="89"/>
      <c r="Z75" s="89"/>
      <c r="AA75" s="89"/>
      <c r="AB75" s="89"/>
    </row>
    <row r="76" spans="1:28" x14ac:dyDescent="0.25">
      <c r="A76" s="70" t="e">
        <f>'Actual Dates'!#REF!</f>
        <v>#REF!</v>
      </c>
      <c r="B76" s="71" t="e">
        <f>'Date Calcs'!#REF!</f>
        <v>#REF!</v>
      </c>
      <c r="C76" s="72" t="e">
        <f>'Date Calcs'!#REF!</f>
        <v>#REF!</v>
      </c>
      <c r="D76" s="73" t="e">
        <f t="shared" si="44"/>
        <v>#REF!</v>
      </c>
      <c r="E76" s="66">
        <v>43717</v>
      </c>
      <c r="F76" s="73" t="e">
        <f>'Date Calcs'!#REF!</f>
        <v>#REF!</v>
      </c>
      <c r="G76" s="73" t="e">
        <f>IF(VLOOKUP(A76,'Actual Dates'!A4:AF204,8,),'Actual Dates'!#REF!,"")</f>
        <v>#REF!</v>
      </c>
      <c r="H76" s="73" t="e">
        <f t="shared" si="45"/>
        <v>#REF!</v>
      </c>
      <c r="I76" s="73" t="e">
        <f>IF(VLOOKUP(A76,'Actual Dates'!A4:AF199,25,),'Actual Dates'!#REF!,"")</f>
        <v>#REF!</v>
      </c>
      <c r="J76" s="73" t="e">
        <f t="shared" si="46"/>
        <v>#REF!</v>
      </c>
      <c r="K76" s="73" t="e">
        <f>IF(VLOOKUP(A76,'Actual Dates'!A4:AF227,26,),'Actual Dates'!#REF!,"")</f>
        <v>#REF!</v>
      </c>
      <c r="L76" s="73" t="e">
        <f>IF(VLOOKUP(A76,'Actual Dates'!A4:AF227,21,),'Actual Dates'!#REF!,"")</f>
        <v>#REF!</v>
      </c>
      <c r="M76" s="73" t="e">
        <f>'Date Calcs'!#REF!</f>
        <v>#REF!</v>
      </c>
      <c r="N76" s="73" t="e">
        <f>IF(VLOOKUP(A76,'Actual Dates'!A4:AF227,27,),'Actual Dates'!#REF!,"")</f>
        <v>#REF!</v>
      </c>
      <c r="O76" s="74" t="e">
        <f t="shared" si="47"/>
        <v>#REF!</v>
      </c>
      <c r="P76" s="75" t="e">
        <f t="shared" si="48"/>
        <v>#REF!</v>
      </c>
      <c r="Q76" s="75" t="e">
        <f t="shared" si="49"/>
        <v>#REF!</v>
      </c>
      <c r="R76" s="132"/>
      <c r="S76" s="133"/>
      <c r="T76" s="88"/>
      <c r="U76" s="88"/>
      <c r="V76" s="88"/>
      <c r="W76" s="88"/>
      <c r="X76" s="88"/>
      <c r="Y76" s="88"/>
      <c r="Z76" s="88"/>
      <c r="AA76" s="88"/>
      <c r="AB76" s="88"/>
    </row>
    <row r="77" spans="1:28" x14ac:dyDescent="0.25">
      <c r="A77" s="70" t="e">
        <f>'Actual Dates'!#REF!</f>
        <v>#REF!</v>
      </c>
      <c r="B77" s="71" t="e">
        <f>'Date Calcs'!#REF!</f>
        <v>#REF!</v>
      </c>
      <c r="C77" s="72" t="e">
        <f>'Date Calcs'!#REF!</f>
        <v>#REF!</v>
      </c>
      <c r="D77" s="73" t="e">
        <f t="shared" si="44"/>
        <v>#REF!</v>
      </c>
      <c r="E77" s="66">
        <v>43718</v>
      </c>
      <c r="F77" s="73" t="e">
        <f>'Date Calcs'!#REF!</f>
        <v>#REF!</v>
      </c>
      <c r="G77" s="73" t="e">
        <f>IF(VLOOKUP(A77,'Actual Dates'!A4:AF205,8,),'Actual Dates'!#REF!,"")</f>
        <v>#REF!</v>
      </c>
      <c r="H77" s="73" t="e">
        <f t="shared" si="45"/>
        <v>#REF!</v>
      </c>
      <c r="I77" s="73" t="e">
        <f>IF(VLOOKUP(A77,'Actual Dates'!A4:AF200,25,),'Actual Dates'!#REF!,"")</f>
        <v>#REF!</v>
      </c>
      <c r="J77" s="73" t="e">
        <f t="shared" si="46"/>
        <v>#REF!</v>
      </c>
      <c r="K77" s="73" t="e">
        <f>IF(VLOOKUP(A77,'Actual Dates'!A4:AF228,26,),'Actual Dates'!#REF!,"")</f>
        <v>#REF!</v>
      </c>
      <c r="L77" s="73" t="e">
        <f>IF(VLOOKUP(A77,'Actual Dates'!A4:AF228,21,),'Actual Dates'!#REF!,"")</f>
        <v>#REF!</v>
      </c>
      <c r="M77" s="73" t="e">
        <f>'Date Calcs'!#REF!</f>
        <v>#REF!</v>
      </c>
      <c r="N77" s="73" t="e">
        <f>IF(VLOOKUP(A77,'Actual Dates'!A4:AF228,27,),'Actual Dates'!#REF!,"")</f>
        <v>#REF!</v>
      </c>
      <c r="O77" s="74" t="e">
        <f t="shared" si="47"/>
        <v>#REF!</v>
      </c>
      <c r="P77" s="75" t="e">
        <f t="shared" si="48"/>
        <v>#REF!</v>
      </c>
      <c r="Q77" s="75" t="e">
        <f t="shared" si="49"/>
        <v>#REF!</v>
      </c>
      <c r="R77" s="132"/>
      <c r="S77" s="133"/>
      <c r="T77" s="88"/>
      <c r="U77" s="88"/>
      <c r="V77" s="88"/>
      <c r="W77" s="88"/>
      <c r="X77" s="88"/>
      <c r="Y77" s="88"/>
      <c r="Z77" s="88"/>
      <c r="AA77" s="88"/>
      <c r="AB77" s="88"/>
    </row>
    <row r="78" spans="1:28" x14ac:dyDescent="0.25">
      <c r="A78" s="70" t="e">
        <f>'Actual Dates'!#REF!</f>
        <v>#REF!</v>
      </c>
      <c r="B78" s="71" t="e">
        <f>'Date Calcs'!#REF!</f>
        <v>#REF!</v>
      </c>
      <c r="C78" s="72" t="e">
        <f>'Date Calcs'!#REF!</f>
        <v>#REF!</v>
      </c>
      <c r="D78" s="73" t="e">
        <f t="shared" ref="D78:D80" si="50">WORKDAY(F78,-1,)</f>
        <v>#REF!</v>
      </c>
      <c r="E78" s="66">
        <v>43726</v>
      </c>
      <c r="F78" s="73" t="e">
        <f>'Date Calcs'!#REF!</f>
        <v>#REF!</v>
      </c>
      <c r="G78" s="73" t="e">
        <f>IF(VLOOKUP(A78,'Actual Dates'!A4:AF206,8,),'Actual Dates'!#REF!,"")</f>
        <v>#REF!</v>
      </c>
      <c r="H78" s="73" t="e">
        <f t="shared" ref="H78:H80" si="51">WORKDAY(L78,3,)</f>
        <v>#REF!</v>
      </c>
      <c r="I78" s="73" t="e">
        <f>IF(VLOOKUP(A78,'Actual Dates'!A4:AF201,25,),'Actual Dates'!#REF!,"")</f>
        <v>#REF!</v>
      </c>
      <c r="J78" s="73" t="e">
        <f t="shared" ref="J78:J80" si="52">WORKDAY(L78,4,)</f>
        <v>#REF!</v>
      </c>
      <c r="K78" s="73" t="e">
        <f>IF(VLOOKUP(A78,'Actual Dates'!A4:AF229,26,),'Actual Dates'!#REF!,"")</f>
        <v>#REF!</v>
      </c>
      <c r="L78" s="73" t="e">
        <f>IF(VLOOKUP(A78,'Actual Dates'!A4:AF229,21,),'Actual Dates'!#REF!,"")</f>
        <v>#REF!</v>
      </c>
      <c r="M78" s="73" t="e">
        <f>'Date Calcs'!#REF!</f>
        <v>#REF!</v>
      </c>
      <c r="N78" s="73" t="e">
        <f>IF(VLOOKUP(A78,'Actual Dates'!A4:AF229,27,),'Actual Dates'!#REF!,"")</f>
        <v>#REF!</v>
      </c>
      <c r="O78" s="74" t="e">
        <f t="shared" ref="O78:O80" si="53">N78-C78</f>
        <v>#REF!</v>
      </c>
      <c r="P78" s="75" t="e">
        <f t="shared" ref="P78:P80" si="54">F78-G78</f>
        <v>#REF!</v>
      </c>
      <c r="Q78" s="75" t="e">
        <f t="shared" ref="Q78:Q80" si="55">M78-N78</f>
        <v>#REF!</v>
      </c>
      <c r="R78" s="132"/>
      <c r="S78" s="133"/>
      <c r="T78" s="88"/>
      <c r="U78" s="88"/>
      <c r="V78" s="88"/>
      <c r="W78" s="88"/>
      <c r="X78" s="88"/>
      <c r="Y78" s="88"/>
      <c r="Z78" s="88"/>
      <c r="AA78" s="88"/>
      <c r="AB78" s="88"/>
    </row>
    <row r="79" spans="1:28" x14ac:dyDescent="0.25">
      <c r="A79" s="70" t="e">
        <f>'Actual Dates'!#REF!</f>
        <v>#REF!</v>
      </c>
      <c r="B79" s="71" t="e">
        <f>'Date Calcs'!#REF!</f>
        <v>#REF!</v>
      </c>
      <c r="C79" s="72" t="e">
        <f>'Date Calcs'!#REF!</f>
        <v>#REF!</v>
      </c>
      <c r="D79" s="73" t="e">
        <f t="shared" si="50"/>
        <v>#REF!</v>
      </c>
      <c r="E79" s="66">
        <v>43726</v>
      </c>
      <c r="F79" s="73" t="e">
        <f>'Date Calcs'!#REF!</f>
        <v>#REF!</v>
      </c>
      <c r="G79" s="73" t="e">
        <f>IF(VLOOKUP(A79,'Actual Dates'!A4:AF207,8,),'Actual Dates'!#REF!,"")</f>
        <v>#REF!</v>
      </c>
      <c r="H79" s="73" t="e">
        <f t="shared" si="51"/>
        <v>#REF!</v>
      </c>
      <c r="I79" s="73" t="e">
        <f>IF(VLOOKUP(A79,'Actual Dates'!A4:AF202,25,),'Actual Dates'!#REF!,"")</f>
        <v>#REF!</v>
      </c>
      <c r="J79" s="73" t="e">
        <f t="shared" si="52"/>
        <v>#REF!</v>
      </c>
      <c r="K79" s="73" t="e">
        <f>IF(VLOOKUP(A79,'Actual Dates'!A4:AF230,26,),'Actual Dates'!#REF!,"")</f>
        <v>#REF!</v>
      </c>
      <c r="L79" s="73" t="e">
        <f>IF(VLOOKUP(A79,'Actual Dates'!A4:AF230,21,),'Actual Dates'!#REF!,"")</f>
        <v>#REF!</v>
      </c>
      <c r="M79" s="73" t="e">
        <f>'Date Calcs'!#REF!</f>
        <v>#REF!</v>
      </c>
      <c r="N79" s="73" t="e">
        <f>IF(VLOOKUP(A79,'Actual Dates'!A4:AF230,27,),'Actual Dates'!#REF!,"")</f>
        <v>#REF!</v>
      </c>
      <c r="O79" s="74" t="e">
        <f t="shared" si="53"/>
        <v>#REF!</v>
      </c>
      <c r="P79" s="75" t="e">
        <f t="shared" si="54"/>
        <v>#REF!</v>
      </c>
      <c r="Q79" s="75" t="e">
        <f t="shared" si="55"/>
        <v>#REF!</v>
      </c>
      <c r="R79" s="132"/>
      <c r="S79" s="133"/>
      <c r="T79" s="88"/>
      <c r="U79" s="88"/>
      <c r="V79" s="88"/>
      <c r="W79" s="88"/>
      <c r="X79" s="88"/>
      <c r="Y79" s="88"/>
      <c r="Z79" s="88"/>
      <c r="AA79" s="88"/>
      <c r="AB79" s="88"/>
    </row>
    <row r="80" spans="1:28" x14ac:dyDescent="0.25">
      <c r="A80" s="70" t="e">
        <f>'Actual Dates'!#REF!</f>
        <v>#REF!</v>
      </c>
      <c r="B80" s="71" t="e">
        <f>'Date Calcs'!#REF!</f>
        <v>#REF!</v>
      </c>
      <c r="C80" s="72" t="e">
        <f>'Date Calcs'!#REF!</f>
        <v>#REF!</v>
      </c>
      <c r="D80" s="73" t="e">
        <f t="shared" si="50"/>
        <v>#REF!</v>
      </c>
      <c r="E80" s="66">
        <v>43727</v>
      </c>
      <c r="F80" s="73" t="e">
        <f>'Date Calcs'!#REF!</f>
        <v>#REF!</v>
      </c>
      <c r="G80" s="73" t="e">
        <f>IF(VLOOKUP(A80,'Actual Dates'!A4:AF208,8,),'Actual Dates'!#REF!,"")</f>
        <v>#REF!</v>
      </c>
      <c r="H80" s="73" t="e">
        <f t="shared" si="51"/>
        <v>#REF!</v>
      </c>
      <c r="I80" s="73" t="e">
        <f>IF(VLOOKUP(A80,'Actual Dates'!A4:AF203,25,),'Actual Dates'!#REF!,"")</f>
        <v>#REF!</v>
      </c>
      <c r="J80" s="73" t="e">
        <f t="shared" si="52"/>
        <v>#REF!</v>
      </c>
      <c r="K80" s="73" t="e">
        <f>IF(VLOOKUP(A80,'Actual Dates'!A4:AF231,26,),'Actual Dates'!#REF!,"")</f>
        <v>#REF!</v>
      </c>
      <c r="L80" s="73" t="e">
        <f>IF(VLOOKUP(A80,'Actual Dates'!A4:AF231,21,),'Actual Dates'!#REF!,"")</f>
        <v>#REF!</v>
      </c>
      <c r="M80" s="73" t="e">
        <f>'Date Calcs'!#REF!</f>
        <v>#REF!</v>
      </c>
      <c r="N80" s="73" t="e">
        <f>IF(VLOOKUP(A80,'Actual Dates'!A4:AF231,27,),'Actual Dates'!#REF!,"")</f>
        <v>#REF!</v>
      </c>
      <c r="O80" s="74" t="e">
        <f t="shared" si="53"/>
        <v>#REF!</v>
      </c>
      <c r="P80" s="75" t="e">
        <f t="shared" si="54"/>
        <v>#REF!</v>
      </c>
      <c r="Q80" s="75" t="e">
        <f t="shared" si="55"/>
        <v>#REF!</v>
      </c>
      <c r="R80" s="132"/>
      <c r="S80" s="133"/>
      <c r="T80" s="88"/>
      <c r="U80" s="88"/>
      <c r="V80" s="88"/>
      <c r="W80" s="88"/>
      <c r="X80" s="88"/>
      <c r="Y80" s="88"/>
      <c r="Z80" s="88"/>
      <c r="AA80" s="88"/>
      <c r="AB80" s="88"/>
    </row>
    <row r="81" spans="1:28" x14ac:dyDescent="0.25">
      <c r="A81" s="70" t="e">
        <f>'Actual Dates'!#REF!</f>
        <v>#REF!</v>
      </c>
      <c r="B81" s="71" t="e">
        <f>'Date Calcs'!#REF!</f>
        <v>#REF!</v>
      </c>
      <c r="C81" s="72" t="e">
        <f>'Date Calcs'!#REF!</f>
        <v>#REF!</v>
      </c>
      <c r="D81" s="73" t="e">
        <f t="shared" ref="D81:D105" si="56">WORKDAY(F81,-1,)</f>
        <v>#REF!</v>
      </c>
      <c r="E81" s="66" t="s">
        <v>67</v>
      </c>
      <c r="F81" s="73" t="e">
        <f>'Date Calcs'!#REF!</f>
        <v>#REF!</v>
      </c>
      <c r="G81" s="73" t="s">
        <v>67</v>
      </c>
      <c r="H81" s="73" t="e">
        <f t="shared" ref="H81:H105" si="57">WORKDAY(L81,3,)</f>
        <v>#REF!</v>
      </c>
      <c r="I81" s="73" t="e">
        <f>IF(VLOOKUP(A81,'Actual Dates'!A4:AF204,25,),'Actual Dates'!#REF!,"")</f>
        <v>#REF!</v>
      </c>
      <c r="J81" s="73" t="e">
        <f t="shared" ref="J81:J105" si="58">WORKDAY(L81,4,)</f>
        <v>#REF!</v>
      </c>
      <c r="K81" s="73" t="e">
        <f>IF(VLOOKUP(A81,'Actual Dates'!A4:AF232,26,),'Actual Dates'!#REF!,"")</f>
        <v>#REF!</v>
      </c>
      <c r="L81" s="73" t="e">
        <f>IF(VLOOKUP(A81,'Actual Dates'!A4:AF232,21,),'Actual Dates'!#REF!,"")</f>
        <v>#REF!</v>
      </c>
      <c r="M81" s="73" t="e">
        <f>'Date Calcs'!#REF!</f>
        <v>#REF!</v>
      </c>
      <c r="N81" s="73" t="e">
        <f>IF(VLOOKUP(A81,'Actual Dates'!A4:AF232,27,),'Actual Dates'!#REF!,"")</f>
        <v>#REF!</v>
      </c>
      <c r="O81" s="74" t="e">
        <f t="shared" ref="O81:O144" si="59">N81-C81</f>
        <v>#REF!</v>
      </c>
      <c r="P81" s="75" t="e">
        <f t="shared" ref="P81:P105" si="60">F81-G81</f>
        <v>#REF!</v>
      </c>
      <c r="Q81" s="75" t="e">
        <f t="shared" ref="Q81:Q105" si="61">M81-N81</f>
        <v>#REF!</v>
      </c>
      <c r="R81" s="132"/>
      <c r="S81" s="133"/>
      <c r="T81" s="88"/>
      <c r="U81" s="88"/>
      <c r="V81" s="88"/>
      <c r="W81" s="88"/>
      <c r="X81" s="88"/>
      <c r="Y81" s="88"/>
      <c r="Z81" s="88"/>
      <c r="AA81" s="88"/>
      <c r="AB81" s="88"/>
    </row>
    <row r="82" spans="1:28" x14ac:dyDescent="0.25">
      <c r="A82" s="70" t="e">
        <f>'Actual Dates'!#REF!</f>
        <v>#REF!</v>
      </c>
      <c r="B82" s="71" t="e">
        <f>'Date Calcs'!#REF!</f>
        <v>#REF!</v>
      </c>
      <c r="C82" s="72" t="e">
        <f>'Date Calcs'!#REF!</f>
        <v>#REF!</v>
      </c>
      <c r="D82" s="73" t="e">
        <f t="shared" si="56"/>
        <v>#REF!</v>
      </c>
      <c r="E82" s="66">
        <v>43741</v>
      </c>
      <c r="F82" s="73" t="e">
        <f>'Date Calcs'!#REF!</f>
        <v>#REF!</v>
      </c>
      <c r="G82" s="73" t="e">
        <f>IF(VLOOKUP(A82,'Actual Dates'!A4:AF210,8,),'Actual Dates'!#REF!,"")</f>
        <v>#REF!</v>
      </c>
      <c r="H82" s="73" t="e">
        <f t="shared" si="57"/>
        <v>#REF!</v>
      </c>
      <c r="I82" s="73" t="e">
        <f>IF(VLOOKUP(A82,'Actual Dates'!A4:AF205,25,),'Actual Dates'!#REF!,"")</f>
        <v>#REF!</v>
      </c>
      <c r="J82" s="73" t="e">
        <f t="shared" si="58"/>
        <v>#REF!</v>
      </c>
      <c r="K82" s="73" t="e">
        <f>IF(VLOOKUP(A82,'Actual Dates'!A4:AF233,26,),'Actual Dates'!#REF!,"")</f>
        <v>#REF!</v>
      </c>
      <c r="L82" s="73" t="e">
        <f>IF(VLOOKUP(A82,'Actual Dates'!A4:AF233,21,),'Actual Dates'!#REF!,"")</f>
        <v>#REF!</v>
      </c>
      <c r="M82" s="73" t="e">
        <f>'Date Calcs'!#REF!</f>
        <v>#REF!</v>
      </c>
      <c r="N82" s="73" t="e">
        <f>IF(VLOOKUP(A82,'Actual Dates'!A4:AF233,27,),'Actual Dates'!#REF!,"")</f>
        <v>#REF!</v>
      </c>
      <c r="O82" s="74" t="e">
        <f t="shared" si="59"/>
        <v>#REF!</v>
      </c>
      <c r="P82" s="75" t="e">
        <f t="shared" si="60"/>
        <v>#REF!</v>
      </c>
      <c r="Q82" s="75" t="e">
        <f t="shared" si="61"/>
        <v>#REF!</v>
      </c>
      <c r="R82" s="132"/>
      <c r="S82" s="133"/>
      <c r="T82" s="88"/>
      <c r="U82" s="88"/>
      <c r="V82" s="88"/>
      <c r="W82" s="88"/>
      <c r="X82" s="88"/>
      <c r="Y82" s="88"/>
      <c r="Z82" s="88"/>
      <c r="AA82" s="88"/>
      <c r="AB82" s="88"/>
    </row>
    <row r="83" spans="1:28" x14ac:dyDescent="0.25">
      <c r="A83" s="70" t="e">
        <f>'Actual Dates'!#REF!</f>
        <v>#REF!</v>
      </c>
      <c r="B83" s="71" t="e">
        <f>'Date Calcs'!#REF!</f>
        <v>#REF!</v>
      </c>
      <c r="C83" s="72" t="e">
        <f>'Date Calcs'!#REF!</f>
        <v>#REF!</v>
      </c>
      <c r="D83" s="73" t="e">
        <f t="shared" si="56"/>
        <v>#REF!</v>
      </c>
      <c r="E83" s="66">
        <v>43741</v>
      </c>
      <c r="F83" s="73" t="e">
        <f>'Date Calcs'!#REF!</f>
        <v>#REF!</v>
      </c>
      <c r="G83" s="73" t="e">
        <f>IF(VLOOKUP(A83,'Actual Dates'!A4:AF211,8,),'Actual Dates'!#REF!,"")</f>
        <v>#REF!</v>
      </c>
      <c r="H83" s="73" t="e">
        <f t="shared" si="57"/>
        <v>#REF!</v>
      </c>
      <c r="I83" s="73" t="e">
        <f>IF(VLOOKUP(A83,'Actual Dates'!A4:AF206,25,),'Actual Dates'!#REF!,"")</f>
        <v>#REF!</v>
      </c>
      <c r="J83" s="73" t="e">
        <f t="shared" si="58"/>
        <v>#REF!</v>
      </c>
      <c r="K83" s="73" t="e">
        <f>IF(VLOOKUP(A83,'Actual Dates'!A4:AF234,26,),'Actual Dates'!#REF!,"")</f>
        <v>#REF!</v>
      </c>
      <c r="L83" s="73" t="e">
        <f>IF(VLOOKUP(A83,'Actual Dates'!A4:AF234,21,),'Actual Dates'!#REF!,"")</f>
        <v>#REF!</v>
      </c>
      <c r="M83" s="73" t="e">
        <f>'Date Calcs'!#REF!</f>
        <v>#REF!</v>
      </c>
      <c r="N83" s="73" t="e">
        <f>IF(VLOOKUP(A83,'Actual Dates'!A4:AF234,27,),'Actual Dates'!#REF!,"")</f>
        <v>#REF!</v>
      </c>
      <c r="O83" s="74" t="e">
        <f t="shared" si="59"/>
        <v>#REF!</v>
      </c>
      <c r="P83" s="75" t="e">
        <f t="shared" si="60"/>
        <v>#REF!</v>
      </c>
      <c r="Q83" s="75" t="e">
        <f t="shared" si="61"/>
        <v>#REF!</v>
      </c>
      <c r="R83" s="132"/>
      <c r="S83" s="133"/>
      <c r="T83" s="88"/>
      <c r="U83" s="88"/>
      <c r="V83" s="88"/>
      <c r="W83" s="88"/>
      <c r="X83" s="88"/>
      <c r="Y83" s="88"/>
      <c r="Z83" s="88"/>
      <c r="AA83" s="88"/>
      <c r="AB83" s="88"/>
    </row>
    <row r="84" spans="1:28" x14ac:dyDescent="0.25">
      <c r="A84" s="70" t="e">
        <f>'Actual Dates'!#REF!</f>
        <v>#REF!</v>
      </c>
      <c r="B84" s="71" t="e">
        <f>'Date Calcs'!#REF!</f>
        <v>#REF!</v>
      </c>
      <c r="C84" s="72" t="e">
        <f>'Date Calcs'!#REF!</f>
        <v>#REF!</v>
      </c>
      <c r="D84" s="73" t="e">
        <f t="shared" si="56"/>
        <v>#REF!</v>
      </c>
      <c r="E84" s="66">
        <v>43741</v>
      </c>
      <c r="F84" s="73" t="e">
        <f>'Date Calcs'!#REF!</f>
        <v>#REF!</v>
      </c>
      <c r="G84" s="73" t="e">
        <f>IF(VLOOKUP(A84,'Actual Dates'!A4:AF212,8,),'Actual Dates'!#REF!,"")</f>
        <v>#REF!</v>
      </c>
      <c r="H84" s="73" t="e">
        <f t="shared" si="57"/>
        <v>#REF!</v>
      </c>
      <c r="I84" s="73" t="e">
        <f>IF(VLOOKUP(A84,'Actual Dates'!A4:AF207,25,),'Actual Dates'!#REF!,"")</f>
        <v>#REF!</v>
      </c>
      <c r="J84" s="73" t="e">
        <f t="shared" si="58"/>
        <v>#REF!</v>
      </c>
      <c r="K84" s="73" t="e">
        <f>IF(VLOOKUP(A84,'Actual Dates'!A4:AF235,26,),'Actual Dates'!#REF!,"")</f>
        <v>#REF!</v>
      </c>
      <c r="L84" s="73" t="e">
        <f>IF(VLOOKUP(A84,'Actual Dates'!A4:AF235,21,),'Actual Dates'!#REF!,"")</f>
        <v>#REF!</v>
      </c>
      <c r="M84" s="73" t="e">
        <f>'Date Calcs'!#REF!</f>
        <v>#REF!</v>
      </c>
      <c r="N84" s="73" t="e">
        <f>IF(VLOOKUP(A84,'Actual Dates'!A4:AF235,27,),'Actual Dates'!#REF!,"")</f>
        <v>#REF!</v>
      </c>
      <c r="O84" s="74" t="e">
        <f t="shared" si="59"/>
        <v>#REF!</v>
      </c>
      <c r="P84" s="75" t="e">
        <f t="shared" si="60"/>
        <v>#REF!</v>
      </c>
      <c r="Q84" s="75" t="e">
        <f t="shared" si="61"/>
        <v>#REF!</v>
      </c>
      <c r="R84" s="132"/>
      <c r="S84" s="133"/>
      <c r="T84" s="88"/>
      <c r="U84" s="88"/>
      <c r="V84" s="88"/>
      <c r="W84" s="88"/>
      <c r="X84" s="88"/>
      <c r="Y84" s="88"/>
      <c r="Z84" s="88"/>
      <c r="AA84" s="88"/>
      <c r="AB84" s="88"/>
    </row>
    <row r="85" spans="1:28" x14ac:dyDescent="0.25">
      <c r="A85" s="70" t="e">
        <f>'Actual Dates'!#REF!</f>
        <v>#REF!</v>
      </c>
      <c r="B85" s="71" t="e">
        <f>'Date Calcs'!#REF!</f>
        <v>#REF!</v>
      </c>
      <c r="C85" s="72" t="e">
        <f>'Date Calcs'!#REF!</f>
        <v>#REF!</v>
      </c>
      <c r="D85" s="73" t="e">
        <f t="shared" si="56"/>
        <v>#REF!</v>
      </c>
      <c r="E85" s="66">
        <v>43747</v>
      </c>
      <c r="F85" s="73" t="e">
        <f>'Date Calcs'!#REF!</f>
        <v>#REF!</v>
      </c>
      <c r="G85" s="73" t="e">
        <f>IF(VLOOKUP(A85,'Actual Dates'!A4:AF213,8,),'Actual Dates'!#REF!,"")</f>
        <v>#REF!</v>
      </c>
      <c r="H85" s="73" t="e">
        <f t="shared" si="57"/>
        <v>#REF!</v>
      </c>
      <c r="I85" s="73" t="e">
        <f>IF(VLOOKUP(A85,'Actual Dates'!A4:AF208,25,),'Actual Dates'!#REF!,"")</f>
        <v>#REF!</v>
      </c>
      <c r="J85" s="73" t="e">
        <f t="shared" si="58"/>
        <v>#REF!</v>
      </c>
      <c r="K85" s="73" t="e">
        <f>IF(VLOOKUP(A85,'Actual Dates'!A4:AF236,26,),'Actual Dates'!#REF!,"")</f>
        <v>#REF!</v>
      </c>
      <c r="L85" s="73" t="e">
        <f>IF(VLOOKUP(A85,'Actual Dates'!A4:AF236,21,),'Actual Dates'!#REF!,"")</f>
        <v>#REF!</v>
      </c>
      <c r="M85" s="73" t="e">
        <f>'Date Calcs'!#REF!</f>
        <v>#REF!</v>
      </c>
      <c r="N85" s="73" t="e">
        <f>IF(VLOOKUP(A85,'Actual Dates'!A4:AF236,27,),'Actual Dates'!#REF!,"")</f>
        <v>#REF!</v>
      </c>
      <c r="O85" s="74" t="e">
        <f t="shared" si="59"/>
        <v>#REF!</v>
      </c>
      <c r="P85" s="75" t="e">
        <f t="shared" si="60"/>
        <v>#REF!</v>
      </c>
      <c r="Q85" s="75" t="e">
        <f t="shared" si="61"/>
        <v>#REF!</v>
      </c>
      <c r="R85" s="132"/>
      <c r="S85" s="133"/>
      <c r="T85" s="88"/>
      <c r="U85" s="88"/>
      <c r="V85" s="88"/>
      <c r="W85" s="88"/>
      <c r="X85" s="88"/>
      <c r="Y85" s="88"/>
      <c r="Z85" s="88"/>
      <c r="AA85" s="88"/>
      <c r="AB85" s="88"/>
    </row>
    <row r="86" spans="1:28" x14ac:dyDescent="0.25">
      <c r="A86" s="70" t="e">
        <f>'Actual Dates'!#REF!</f>
        <v>#REF!</v>
      </c>
      <c r="B86" s="71" t="e">
        <f>'Date Calcs'!#REF!</f>
        <v>#REF!</v>
      </c>
      <c r="C86" s="72" t="e">
        <f>'Date Calcs'!#REF!</f>
        <v>#REF!</v>
      </c>
      <c r="D86" s="73" t="e">
        <f t="shared" si="56"/>
        <v>#REF!</v>
      </c>
      <c r="E86" s="66">
        <v>43747</v>
      </c>
      <c r="F86" s="73" t="e">
        <f>'Date Calcs'!#REF!</f>
        <v>#REF!</v>
      </c>
      <c r="G86" s="73" t="e">
        <f>IF(VLOOKUP(A86,'Actual Dates'!A4:AF214,8,),'Actual Dates'!#REF!,"")</f>
        <v>#REF!</v>
      </c>
      <c r="H86" s="73" t="e">
        <f t="shared" si="57"/>
        <v>#REF!</v>
      </c>
      <c r="I86" s="73" t="e">
        <f>IF(VLOOKUP(A86,'Actual Dates'!A4:AF209,25,),'Actual Dates'!#REF!,"")</f>
        <v>#REF!</v>
      </c>
      <c r="J86" s="73" t="e">
        <f t="shared" si="58"/>
        <v>#REF!</v>
      </c>
      <c r="K86" s="73" t="e">
        <f>IF(VLOOKUP(A86,'Actual Dates'!A4:AF237,26,),'Actual Dates'!#REF!,"")</f>
        <v>#REF!</v>
      </c>
      <c r="L86" s="73" t="e">
        <f>IF(VLOOKUP(A86,'Actual Dates'!A4:AF237,21,),'Actual Dates'!#REF!,"")</f>
        <v>#REF!</v>
      </c>
      <c r="M86" s="73" t="e">
        <f>'Date Calcs'!#REF!</f>
        <v>#REF!</v>
      </c>
      <c r="N86" s="73" t="e">
        <f>IF(VLOOKUP(A86,'Actual Dates'!A4:AF237,27,),'Actual Dates'!#REF!,"")</f>
        <v>#REF!</v>
      </c>
      <c r="O86" s="74" t="e">
        <f t="shared" si="59"/>
        <v>#REF!</v>
      </c>
      <c r="P86" s="75" t="e">
        <f t="shared" si="60"/>
        <v>#REF!</v>
      </c>
      <c r="Q86" s="75" t="e">
        <f t="shared" si="61"/>
        <v>#REF!</v>
      </c>
      <c r="R86" s="132"/>
      <c r="S86" s="133"/>
      <c r="T86" s="88"/>
      <c r="U86" s="88"/>
      <c r="V86" s="88"/>
      <c r="W86" s="88"/>
      <c r="X86" s="88"/>
      <c r="Y86" s="88"/>
      <c r="Z86" s="88"/>
      <c r="AA86" s="88"/>
      <c r="AB86" s="88"/>
    </row>
    <row r="87" spans="1:28" x14ac:dyDescent="0.25">
      <c r="A87" s="70" t="e">
        <f>'Actual Dates'!#REF!</f>
        <v>#REF!</v>
      </c>
      <c r="B87" s="71" t="e">
        <f>'Date Calcs'!#REF!</f>
        <v>#REF!</v>
      </c>
      <c r="C87" s="72" t="e">
        <f>'Date Calcs'!#REF!</f>
        <v>#REF!</v>
      </c>
      <c r="D87" s="73" t="e">
        <f t="shared" si="56"/>
        <v>#REF!</v>
      </c>
      <c r="E87" s="66">
        <v>43747</v>
      </c>
      <c r="F87" s="73" t="e">
        <f>'Date Calcs'!#REF!</f>
        <v>#REF!</v>
      </c>
      <c r="G87" s="73" t="e">
        <f>IF(VLOOKUP(A87,'Actual Dates'!A4:AF215,8,),'Actual Dates'!#REF!,"")</f>
        <v>#REF!</v>
      </c>
      <c r="H87" s="73" t="e">
        <f t="shared" si="57"/>
        <v>#REF!</v>
      </c>
      <c r="I87" s="73" t="e">
        <f>IF(VLOOKUP(A87,'Actual Dates'!A4:AF210,25,),'Actual Dates'!#REF!,"")</f>
        <v>#REF!</v>
      </c>
      <c r="J87" s="73" t="e">
        <f t="shared" si="58"/>
        <v>#REF!</v>
      </c>
      <c r="K87" s="73" t="e">
        <f>IF(VLOOKUP(A87,'Actual Dates'!A4:AF238,26,),'Actual Dates'!#REF!,"")</f>
        <v>#REF!</v>
      </c>
      <c r="L87" s="73" t="e">
        <f>IF(VLOOKUP(A87,'Actual Dates'!A4:AF238,21,),'Actual Dates'!#REF!,"")</f>
        <v>#REF!</v>
      </c>
      <c r="M87" s="73" t="e">
        <f>'Date Calcs'!#REF!</f>
        <v>#REF!</v>
      </c>
      <c r="N87" s="73" t="e">
        <f>IF(VLOOKUP(A87,'Actual Dates'!A4:AF238,27,),'Actual Dates'!#REF!,"")</f>
        <v>#REF!</v>
      </c>
      <c r="O87" s="74" t="e">
        <f t="shared" si="59"/>
        <v>#REF!</v>
      </c>
      <c r="P87" s="75" t="e">
        <f t="shared" si="60"/>
        <v>#REF!</v>
      </c>
      <c r="Q87" s="75" t="e">
        <f t="shared" si="61"/>
        <v>#REF!</v>
      </c>
      <c r="R87" s="132"/>
      <c r="S87" s="133"/>
      <c r="T87" s="88"/>
      <c r="U87" s="88"/>
      <c r="V87" s="88"/>
      <c r="W87" s="88"/>
      <c r="X87" s="88"/>
      <c r="Y87" s="88"/>
      <c r="Z87" s="88"/>
      <c r="AA87" s="88"/>
      <c r="AB87" s="88"/>
    </row>
    <row r="88" spans="1:28" x14ac:dyDescent="0.25">
      <c r="A88" s="70" t="e">
        <f>'Actual Dates'!#REF!</f>
        <v>#REF!</v>
      </c>
      <c r="B88" s="71" t="e">
        <f>'Date Calcs'!#REF!</f>
        <v>#REF!</v>
      </c>
      <c r="C88" s="72" t="e">
        <f>'Date Calcs'!#REF!</f>
        <v>#REF!</v>
      </c>
      <c r="D88" s="73" t="e">
        <f t="shared" si="56"/>
        <v>#REF!</v>
      </c>
      <c r="E88" s="66">
        <v>43752</v>
      </c>
      <c r="F88" s="73" t="e">
        <f>'Date Calcs'!#REF!</f>
        <v>#REF!</v>
      </c>
      <c r="G88" s="73" t="e">
        <f>IF(VLOOKUP(A88,'Actual Dates'!A4:AF216,8,),'Actual Dates'!#REF!,"")</f>
        <v>#REF!</v>
      </c>
      <c r="H88" s="73" t="e">
        <f t="shared" si="57"/>
        <v>#REF!</v>
      </c>
      <c r="I88" s="73" t="e">
        <f>IF(VLOOKUP(A88,'Actual Dates'!A4:AF211,25,),'Actual Dates'!#REF!,"")</f>
        <v>#REF!</v>
      </c>
      <c r="J88" s="73" t="e">
        <f t="shared" si="58"/>
        <v>#REF!</v>
      </c>
      <c r="K88" s="73" t="e">
        <f>IF(VLOOKUP(A88,'Actual Dates'!A4:AF239,26,),'Actual Dates'!#REF!,"")</f>
        <v>#REF!</v>
      </c>
      <c r="L88" s="73" t="e">
        <f>IF(VLOOKUP(A88,'Actual Dates'!A4:AF239,21,),'Actual Dates'!#REF!,"")</f>
        <v>#REF!</v>
      </c>
      <c r="M88" s="73" t="e">
        <f>'Date Calcs'!#REF!</f>
        <v>#REF!</v>
      </c>
      <c r="N88" s="73" t="e">
        <f>IF(VLOOKUP(A88,'Actual Dates'!A4:AF239,27,),'Actual Dates'!#REF!,"")</f>
        <v>#REF!</v>
      </c>
      <c r="O88" s="74" t="e">
        <f t="shared" si="59"/>
        <v>#REF!</v>
      </c>
      <c r="P88" s="75" t="e">
        <f t="shared" si="60"/>
        <v>#REF!</v>
      </c>
      <c r="Q88" s="75" t="e">
        <f t="shared" si="61"/>
        <v>#REF!</v>
      </c>
      <c r="R88" s="132"/>
      <c r="S88" s="133"/>
      <c r="T88" s="88"/>
      <c r="U88" s="88"/>
      <c r="V88" s="88"/>
      <c r="W88" s="88"/>
      <c r="X88" s="88"/>
      <c r="Y88" s="88"/>
      <c r="Z88" s="88"/>
      <c r="AA88" s="88"/>
      <c r="AB88" s="88"/>
    </row>
    <row r="89" spans="1:28" x14ac:dyDescent="0.25">
      <c r="A89" s="70" t="e">
        <f>'Actual Dates'!#REF!</f>
        <v>#REF!</v>
      </c>
      <c r="B89" s="71" t="e">
        <f>'Date Calcs'!#REF!</f>
        <v>#REF!</v>
      </c>
      <c r="C89" s="72" t="e">
        <f>'Date Calcs'!#REF!</f>
        <v>#REF!</v>
      </c>
      <c r="D89" s="73" t="e">
        <f t="shared" si="56"/>
        <v>#REF!</v>
      </c>
      <c r="E89" s="66">
        <v>43752</v>
      </c>
      <c r="F89" s="73" t="e">
        <f>'Date Calcs'!#REF!</f>
        <v>#REF!</v>
      </c>
      <c r="G89" s="73" t="e">
        <f>IF(VLOOKUP(A89,'Actual Dates'!A4:AF217,8,),'Actual Dates'!#REF!,"")</f>
        <v>#REF!</v>
      </c>
      <c r="H89" s="73" t="e">
        <f t="shared" si="57"/>
        <v>#REF!</v>
      </c>
      <c r="I89" s="73" t="e">
        <f>IF(VLOOKUP(A89,'Actual Dates'!A4:AF212,25,),'Actual Dates'!#REF!,"")</f>
        <v>#REF!</v>
      </c>
      <c r="J89" s="73" t="e">
        <f t="shared" si="58"/>
        <v>#REF!</v>
      </c>
      <c r="K89" s="73" t="e">
        <f>IF(VLOOKUP(A89,'Actual Dates'!A4:AF240,26,),'Actual Dates'!#REF!,"")</f>
        <v>#REF!</v>
      </c>
      <c r="L89" s="73" t="e">
        <f>IF(VLOOKUP(A89,'Actual Dates'!A4:AF240,21,),'Actual Dates'!#REF!,"")</f>
        <v>#REF!</v>
      </c>
      <c r="M89" s="73" t="e">
        <f>'Date Calcs'!#REF!</f>
        <v>#REF!</v>
      </c>
      <c r="N89" s="73" t="e">
        <f>IF(VLOOKUP(A89,'Actual Dates'!A4:AF240,27,),'Actual Dates'!#REF!,"")</f>
        <v>#REF!</v>
      </c>
      <c r="O89" s="74" t="e">
        <f t="shared" si="59"/>
        <v>#REF!</v>
      </c>
      <c r="P89" s="75" t="e">
        <f t="shared" si="60"/>
        <v>#REF!</v>
      </c>
      <c r="Q89" s="75" t="e">
        <f t="shared" si="61"/>
        <v>#REF!</v>
      </c>
      <c r="R89" s="132"/>
      <c r="S89" s="133"/>
      <c r="T89" s="88"/>
      <c r="U89" s="88"/>
      <c r="V89" s="88"/>
      <c r="W89" s="88"/>
      <c r="X89" s="88"/>
      <c r="Y89" s="88"/>
      <c r="Z89" s="88"/>
      <c r="AA89" s="88"/>
      <c r="AB89" s="88"/>
    </row>
    <row r="90" spans="1:28" x14ac:dyDescent="0.25">
      <c r="A90" s="70" t="e">
        <f>'Actual Dates'!#REF!</f>
        <v>#REF!</v>
      </c>
      <c r="B90" s="71" t="e">
        <f>'Date Calcs'!#REF!</f>
        <v>#REF!</v>
      </c>
      <c r="C90" s="72" t="e">
        <f>'Date Calcs'!#REF!</f>
        <v>#REF!</v>
      </c>
      <c r="D90" s="73" t="e">
        <f t="shared" si="56"/>
        <v>#REF!</v>
      </c>
      <c r="E90" s="66">
        <v>43752</v>
      </c>
      <c r="F90" s="73" t="e">
        <f>'Date Calcs'!#REF!</f>
        <v>#REF!</v>
      </c>
      <c r="G90" s="73" t="e">
        <f>IF(VLOOKUP(A90,'Actual Dates'!A4:AF218,8,),'Actual Dates'!#REF!,"")</f>
        <v>#REF!</v>
      </c>
      <c r="H90" s="73" t="e">
        <f t="shared" si="57"/>
        <v>#REF!</v>
      </c>
      <c r="I90" s="73" t="e">
        <f>IF(VLOOKUP(A90,'Actual Dates'!A4:AF213,25,),'Actual Dates'!#REF!,"")</f>
        <v>#REF!</v>
      </c>
      <c r="J90" s="73" t="e">
        <f t="shared" si="58"/>
        <v>#REF!</v>
      </c>
      <c r="K90" s="73" t="e">
        <f>IF(VLOOKUP(A90,'Actual Dates'!A4:AF241,26,),'Actual Dates'!#REF!,"")</f>
        <v>#REF!</v>
      </c>
      <c r="L90" s="73" t="e">
        <f>IF(VLOOKUP(A90,'Actual Dates'!A4:AF241,21,),'Actual Dates'!#REF!,"")</f>
        <v>#REF!</v>
      </c>
      <c r="M90" s="73" t="e">
        <f>'Date Calcs'!#REF!</f>
        <v>#REF!</v>
      </c>
      <c r="N90" s="73" t="e">
        <f>IF(VLOOKUP(A90,'Actual Dates'!A4:AF241,27,),'Actual Dates'!#REF!,"")</f>
        <v>#REF!</v>
      </c>
      <c r="O90" s="74" t="e">
        <f t="shared" si="59"/>
        <v>#REF!</v>
      </c>
      <c r="P90" s="75" t="e">
        <f t="shared" si="60"/>
        <v>#REF!</v>
      </c>
      <c r="Q90" s="75" t="e">
        <f t="shared" si="61"/>
        <v>#REF!</v>
      </c>
      <c r="R90" s="132"/>
      <c r="S90" s="133"/>
      <c r="T90" s="88"/>
      <c r="U90" s="88"/>
      <c r="V90" s="88"/>
      <c r="W90" s="88"/>
      <c r="X90" s="88"/>
      <c r="Y90" s="88"/>
      <c r="Z90" s="88"/>
      <c r="AA90" s="88"/>
      <c r="AB90" s="88"/>
    </row>
    <row r="91" spans="1:28" x14ac:dyDescent="0.25">
      <c r="A91" s="70" t="e">
        <f>'Actual Dates'!#REF!</f>
        <v>#REF!</v>
      </c>
      <c r="B91" s="71" t="e">
        <f>'Date Calcs'!#REF!</f>
        <v>#REF!</v>
      </c>
      <c r="C91" s="72" t="e">
        <f>'Date Calcs'!#REF!</f>
        <v>#REF!</v>
      </c>
      <c r="D91" s="73" t="e">
        <f t="shared" si="56"/>
        <v>#REF!</v>
      </c>
      <c r="E91" s="66">
        <v>43761</v>
      </c>
      <c r="F91" s="73" t="e">
        <f>'Date Calcs'!#REF!</f>
        <v>#REF!</v>
      </c>
      <c r="G91" s="73" t="e">
        <f>IF(VLOOKUP(A91,'Actual Dates'!A4:AF219,8,),'Actual Dates'!#REF!,"")</f>
        <v>#REF!</v>
      </c>
      <c r="H91" s="73" t="e">
        <f t="shared" si="57"/>
        <v>#REF!</v>
      </c>
      <c r="I91" s="73" t="e">
        <f>IF(VLOOKUP(A91,'Actual Dates'!A4:AF214,25,),'Actual Dates'!#REF!,"")</f>
        <v>#REF!</v>
      </c>
      <c r="J91" s="73" t="e">
        <f t="shared" si="58"/>
        <v>#REF!</v>
      </c>
      <c r="K91" s="73" t="e">
        <f>IF(VLOOKUP(A91,'Actual Dates'!A4:AF242,26,),'Actual Dates'!#REF!,"")</f>
        <v>#REF!</v>
      </c>
      <c r="L91" s="73" t="e">
        <f>IF(VLOOKUP(A91,'Actual Dates'!A4:AF242,21,),'Actual Dates'!#REF!,"")</f>
        <v>#REF!</v>
      </c>
      <c r="M91" s="73" t="e">
        <f>'Date Calcs'!#REF!</f>
        <v>#REF!</v>
      </c>
      <c r="N91" s="73" t="e">
        <f>IF(VLOOKUP(A91,'Actual Dates'!A4:AF242,27,),'Actual Dates'!#REF!,"")</f>
        <v>#REF!</v>
      </c>
      <c r="O91" s="74" t="e">
        <f t="shared" si="59"/>
        <v>#REF!</v>
      </c>
      <c r="P91" s="75" t="e">
        <f t="shared" si="60"/>
        <v>#REF!</v>
      </c>
      <c r="Q91" s="75" t="e">
        <f t="shared" si="61"/>
        <v>#REF!</v>
      </c>
      <c r="R91" s="132"/>
      <c r="S91" s="133"/>
      <c r="T91" s="88"/>
      <c r="U91" s="88"/>
      <c r="V91" s="88"/>
      <c r="W91" s="88"/>
      <c r="X91" s="88"/>
      <c r="Y91" s="88"/>
      <c r="Z91" s="88"/>
      <c r="AA91" s="88"/>
      <c r="AB91" s="88"/>
    </row>
    <row r="92" spans="1:28" x14ac:dyDescent="0.25">
      <c r="A92" s="70" t="e">
        <f>'Actual Dates'!#REF!</f>
        <v>#REF!</v>
      </c>
      <c r="B92" s="71" t="e">
        <f>'Date Calcs'!#REF!</f>
        <v>#REF!</v>
      </c>
      <c r="C92" s="72" t="e">
        <f>'Date Calcs'!#REF!</f>
        <v>#REF!</v>
      </c>
      <c r="D92" s="73" t="e">
        <f t="shared" si="56"/>
        <v>#REF!</v>
      </c>
      <c r="E92" s="66">
        <v>43761</v>
      </c>
      <c r="F92" s="73" t="e">
        <f>'Date Calcs'!#REF!</f>
        <v>#REF!</v>
      </c>
      <c r="G92" s="73" t="e">
        <f>IF(VLOOKUP(A92,'Actual Dates'!A4:AF220,8,),'Actual Dates'!#REF!,"")</f>
        <v>#REF!</v>
      </c>
      <c r="H92" s="73" t="e">
        <f t="shared" si="57"/>
        <v>#REF!</v>
      </c>
      <c r="I92" s="73" t="e">
        <f>IF(VLOOKUP(A92,'Actual Dates'!A4:AF215,25,),'Actual Dates'!#REF!,"")</f>
        <v>#REF!</v>
      </c>
      <c r="J92" s="73" t="e">
        <f t="shared" si="58"/>
        <v>#REF!</v>
      </c>
      <c r="K92" s="73" t="e">
        <f>IF(VLOOKUP(A92,'Actual Dates'!A4:AF243,26,),'Actual Dates'!#REF!,"")</f>
        <v>#REF!</v>
      </c>
      <c r="L92" s="73" t="e">
        <f>IF(VLOOKUP(A92,'Actual Dates'!A4:AF243,21,),'Actual Dates'!#REF!,"")</f>
        <v>#REF!</v>
      </c>
      <c r="M92" s="73" t="e">
        <f>'Date Calcs'!#REF!</f>
        <v>#REF!</v>
      </c>
      <c r="N92" s="73" t="e">
        <f>IF(VLOOKUP(A92,'Actual Dates'!A4:AF243,27,),'Actual Dates'!#REF!,"")</f>
        <v>#REF!</v>
      </c>
      <c r="O92" s="74" t="e">
        <f t="shared" si="59"/>
        <v>#REF!</v>
      </c>
      <c r="P92" s="75" t="e">
        <f t="shared" si="60"/>
        <v>#REF!</v>
      </c>
      <c r="Q92" s="75" t="e">
        <f t="shared" si="61"/>
        <v>#REF!</v>
      </c>
      <c r="R92" s="132"/>
      <c r="S92" s="133"/>
      <c r="T92" s="88"/>
      <c r="U92" s="88"/>
      <c r="V92" s="88"/>
      <c r="W92" s="88"/>
      <c r="X92" s="88"/>
      <c r="Y92" s="88"/>
      <c r="Z92" s="88"/>
      <c r="AA92" s="88"/>
      <c r="AB92" s="88"/>
    </row>
    <row r="93" spans="1:28" x14ac:dyDescent="0.25">
      <c r="A93" s="70" t="e">
        <f>'Actual Dates'!#REF!</f>
        <v>#REF!</v>
      </c>
      <c r="B93" s="71" t="e">
        <f>'Date Calcs'!#REF!</f>
        <v>#REF!</v>
      </c>
      <c r="C93" s="72" t="e">
        <f>'Date Calcs'!#REF!</f>
        <v>#REF!</v>
      </c>
      <c r="D93" s="73" t="e">
        <f t="shared" si="56"/>
        <v>#REF!</v>
      </c>
      <c r="E93" s="66">
        <v>43761</v>
      </c>
      <c r="F93" s="73" t="e">
        <f>'Date Calcs'!#REF!</f>
        <v>#REF!</v>
      </c>
      <c r="G93" s="73" t="e">
        <f>IF(VLOOKUP(A93,'Actual Dates'!A4:AF221,8,),'Actual Dates'!#REF!,"")</f>
        <v>#REF!</v>
      </c>
      <c r="H93" s="73" t="e">
        <f t="shared" si="57"/>
        <v>#REF!</v>
      </c>
      <c r="I93" s="73" t="e">
        <f>IF(VLOOKUP(A93,'Actual Dates'!A4:AF216,25,),'Actual Dates'!#REF!,"")</f>
        <v>#REF!</v>
      </c>
      <c r="J93" s="73" t="e">
        <f t="shared" si="58"/>
        <v>#REF!</v>
      </c>
      <c r="K93" s="73" t="e">
        <f>IF(VLOOKUP(A93,'Actual Dates'!A4:AF244,26,),'Actual Dates'!#REF!,"")</f>
        <v>#REF!</v>
      </c>
      <c r="L93" s="73" t="e">
        <f>IF(VLOOKUP(A93,'Actual Dates'!A4:AF244,21,),'Actual Dates'!#REF!,"")</f>
        <v>#REF!</v>
      </c>
      <c r="M93" s="73" t="e">
        <f>'Date Calcs'!#REF!</f>
        <v>#REF!</v>
      </c>
      <c r="N93" s="73" t="e">
        <f>IF(VLOOKUP(A93,'Actual Dates'!A4:AF244,27,),'Actual Dates'!#REF!,"")</f>
        <v>#REF!</v>
      </c>
      <c r="O93" s="74" t="e">
        <f t="shared" si="59"/>
        <v>#REF!</v>
      </c>
      <c r="P93" s="75" t="e">
        <f t="shared" si="60"/>
        <v>#REF!</v>
      </c>
      <c r="Q93" s="75" t="e">
        <f t="shared" si="61"/>
        <v>#REF!</v>
      </c>
      <c r="R93" s="132"/>
      <c r="S93" s="133"/>
      <c r="T93" s="88"/>
      <c r="U93" s="88"/>
      <c r="V93" s="88"/>
      <c r="W93" s="88"/>
      <c r="X93" s="88"/>
      <c r="Y93" s="88"/>
      <c r="Z93" s="88"/>
      <c r="AA93" s="88"/>
      <c r="AB93" s="88"/>
    </row>
    <row r="94" spans="1:28" x14ac:dyDescent="0.25">
      <c r="A94" s="70" t="e">
        <f>'Actual Dates'!#REF!</f>
        <v>#REF!</v>
      </c>
      <c r="B94" s="71" t="e">
        <f>'Date Calcs'!#REF!</f>
        <v>#REF!</v>
      </c>
      <c r="C94" s="72" t="e">
        <f>'Date Calcs'!#REF!</f>
        <v>#REF!</v>
      </c>
      <c r="D94" s="73" t="e">
        <f t="shared" si="56"/>
        <v>#REF!</v>
      </c>
      <c r="E94" s="66">
        <v>43769</v>
      </c>
      <c r="F94" s="73" t="e">
        <f>'Date Calcs'!#REF!</f>
        <v>#REF!</v>
      </c>
      <c r="G94" s="73" t="e">
        <f>IF(VLOOKUP(A94,'Actual Dates'!A4:AF222,8,),'Actual Dates'!#REF!,"")</f>
        <v>#REF!</v>
      </c>
      <c r="H94" s="73" t="e">
        <f t="shared" si="57"/>
        <v>#REF!</v>
      </c>
      <c r="I94" s="73" t="e">
        <f>IF(VLOOKUP(A94,'Actual Dates'!A4:AF217,25,),'Actual Dates'!#REF!,"")</f>
        <v>#REF!</v>
      </c>
      <c r="J94" s="73" t="e">
        <f t="shared" si="58"/>
        <v>#REF!</v>
      </c>
      <c r="K94" s="73" t="e">
        <f>IF(VLOOKUP(A94,'Actual Dates'!A4:AF245,26,),'Actual Dates'!#REF!,"")</f>
        <v>#REF!</v>
      </c>
      <c r="L94" s="73" t="e">
        <f>IF(VLOOKUP(A94,'Actual Dates'!A4:AF245,21,),'Actual Dates'!#REF!,"")</f>
        <v>#REF!</v>
      </c>
      <c r="M94" s="73" t="e">
        <f>'Date Calcs'!#REF!</f>
        <v>#REF!</v>
      </c>
      <c r="N94" s="73" t="e">
        <f>IF(VLOOKUP(A94,'Actual Dates'!A4:AF245,27,),'Actual Dates'!#REF!,"")</f>
        <v>#REF!</v>
      </c>
      <c r="O94" s="74" t="e">
        <f t="shared" si="59"/>
        <v>#REF!</v>
      </c>
      <c r="P94" s="75" t="e">
        <f t="shared" si="60"/>
        <v>#REF!</v>
      </c>
      <c r="Q94" s="75" t="e">
        <f t="shared" si="61"/>
        <v>#REF!</v>
      </c>
      <c r="R94" s="132"/>
      <c r="S94" s="133"/>
      <c r="T94" s="88"/>
      <c r="U94" s="88"/>
      <c r="V94" s="88"/>
      <c r="W94" s="88"/>
      <c r="X94" s="88"/>
      <c r="Y94" s="88"/>
      <c r="Z94" s="88"/>
      <c r="AA94" s="88"/>
      <c r="AB94" s="88"/>
    </row>
    <row r="95" spans="1:28" x14ac:dyDescent="0.25">
      <c r="A95" s="70" t="e">
        <f>'Actual Dates'!#REF!</f>
        <v>#REF!</v>
      </c>
      <c r="B95" s="71" t="e">
        <f>'Date Calcs'!#REF!</f>
        <v>#REF!</v>
      </c>
      <c r="C95" s="72" t="e">
        <f>'Date Calcs'!#REF!</f>
        <v>#REF!</v>
      </c>
      <c r="D95" s="73" t="e">
        <f t="shared" si="56"/>
        <v>#REF!</v>
      </c>
      <c r="E95" s="66">
        <v>43769</v>
      </c>
      <c r="F95" s="73" t="e">
        <f>'Date Calcs'!#REF!</f>
        <v>#REF!</v>
      </c>
      <c r="G95" s="73" t="e">
        <f>IF(VLOOKUP(A95,'Actual Dates'!A4:AF223,8,),'Actual Dates'!#REF!,"")</f>
        <v>#REF!</v>
      </c>
      <c r="H95" s="73" t="e">
        <f t="shared" si="57"/>
        <v>#REF!</v>
      </c>
      <c r="I95" s="73" t="e">
        <f>IF(VLOOKUP(A95,'Actual Dates'!A4:AF218,25,),'Actual Dates'!#REF!,"")</f>
        <v>#REF!</v>
      </c>
      <c r="J95" s="73" t="e">
        <f t="shared" si="58"/>
        <v>#REF!</v>
      </c>
      <c r="K95" s="73" t="e">
        <f>IF(VLOOKUP(A95,'Actual Dates'!A4:AF246,26,),'Actual Dates'!#REF!,"")</f>
        <v>#REF!</v>
      </c>
      <c r="L95" s="73" t="e">
        <f>IF(VLOOKUP(A95,'Actual Dates'!A4:AF246,21,),'Actual Dates'!#REF!,"")</f>
        <v>#REF!</v>
      </c>
      <c r="M95" s="73" t="e">
        <f>'Date Calcs'!#REF!</f>
        <v>#REF!</v>
      </c>
      <c r="N95" s="73" t="e">
        <f>IF(VLOOKUP(A95,'Actual Dates'!A4:AF246,27,),'Actual Dates'!#REF!,"")</f>
        <v>#REF!</v>
      </c>
      <c r="O95" s="74" t="e">
        <f t="shared" si="59"/>
        <v>#REF!</v>
      </c>
      <c r="P95" s="75" t="e">
        <f t="shared" si="60"/>
        <v>#REF!</v>
      </c>
      <c r="Q95" s="75" t="e">
        <f t="shared" si="61"/>
        <v>#REF!</v>
      </c>
      <c r="R95" s="132"/>
      <c r="S95" s="133"/>
      <c r="T95" s="88"/>
      <c r="U95" s="88"/>
      <c r="V95" s="88"/>
      <c r="W95" s="88"/>
      <c r="X95" s="88"/>
      <c r="Y95" s="88"/>
      <c r="Z95" s="88"/>
      <c r="AA95" s="88"/>
      <c r="AB95" s="88"/>
    </row>
    <row r="96" spans="1:28" x14ac:dyDescent="0.25">
      <c r="A96" s="70" t="e">
        <f>'Actual Dates'!#REF!</f>
        <v>#REF!</v>
      </c>
      <c r="B96" s="71" t="e">
        <f>'Date Calcs'!#REF!</f>
        <v>#REF!</v>
      </c>
      <c r="C96" s="72" t="e">
        <f>'Date Calcs'!#REF!</f>
        <v>#REF!</v>
      </c>
      <c r="D96" s="73" t="e">
        <f t="shared" si="56"/>
        <v>#REF!</v>
      </c>
      <c r="E96" s="66">
        <v>43769</v>
      </c>
      <c r="F96" s="73" t="e">
        <f>'Date Calcs'!#REF!</f>
        <v>#REF!</v>
      </c>
      <c r="G96" s="73" t="e">
        <f>IF(VLOOKUP(A96,'Actual Dates'!A4:AF224,8,),'Actual Dates'!#REF!,"")</f>
        <v>#REF!</v>
      </c>
      <c r="H96" s="73" t="e">
        <f t="shared" si="57"/>
        <v>#REF!</v>
      </c>
      <c r="I96" s="73" t="e">
        <f>IF(VLOOKUP(A96,'Actual Dates'!A4:AF219,25,),'Actual Dates'!#REF!,"")</f>
        <v>#REF!</v>
      </c>
      <c r="J96" s="73" t="e">
        <f t="shared" si="58"/>
        <v>#REF!</v>
      </c>
      <c r="K96" s="73" t="e">
        <f>IF(VLOOKUP(A96,'Actual Dates'!A4:AF247,26,),'Actual Dates'!#REF!,"")</f>
        <v>#REF!</v>
      </c>
      <c r="L96" s="73" t="e">
        <f>IF(VLOOKUP(A96,'Actual Dates'!A4:AF247,21,),'Actual Dates'!#REF!,"")</f>
        <v>#REF!</v>
      </c>
      <c r="M96" s="73" t="e">
        <f>'Date Calcs'!#REF!</f>
        <v>#REF!</v>
      </c>
      <c r="N96" s="73" t="e">
        <f>IF(VLOOKUP(A96,'Actual Dates'!A4:AF247,27,),'Actual Dates'!#REF!,"")</f>
        <v>#REF!</v>
      </c>
      <c r="O96" s="74" t="e">
        <f t="shared" si="59"/>
        <v>#REF!</v>
      </c>
      <c r="P96" s="75" t="e">
        <f t="shared" si="60"/>
        <v>#REF!</v>
      </c>
      <c r="Q96" s="75" t="e">
        <f t="shared" si="61"/>
        <v>#REF!</v>
      </c>
      <c r="R96" s="132"/>
      <c r="S96" s="133"/>
      <c r="T96" s="88"/>
      <c r="U96" s="88"/>
      <c r="V96" s="88"/>
      <c r="W96" s="88"/>
      <c r="X96" s="88"/>
      <c r="Y96" s="88"/>
      <c r="Z96" s="88"/>
      <c r="AA96" s="88"/>
      <c r="AB96" s="88"/>
    </row>
    <row r="97" spans="1:28" x14ac:dyDescent="0.25">
      <c r="A97" s="70" t="e">
        <f>'Actual Dates'!#REF!</f>
        <v>#REF!</v>
      </c>
      <c r="B97" s="71" t="e">
        <f>'Date Calcs'!#REF!</f>
        <v>#REF!</v>
      </c>
      <c r="C97" s="72" t="e">
        <f>'Date Calcs'!#REF!</f>
        <v>#REF!</v>
      </c>
      <c r="D97" s="73" t="e">
        <f t="shared" si="56"/>
        <v>#REF!</v>
      </c>
      <c r="E97" s="66">
        <v>43775</v>
      </c>
      <c r="F97" s="73" t="e">
        <f>'Date Calcs'!#REF!</f>
        <v>#REF!</v>
      </c>
      <c r="G97" s="73" t="e">
        <f>IF(VLOOKUP(A97,'Actual Dates'!A4:AF225,8,),'Actual Dates'!#REF!,"")</f>
        <v>#REF!</v>
      </c>
      <c r="H97" s="73" t="e">
        <f t="shared" si="57"/>
        <v>#REF!</v>
      </c>
      <c r="I97" s="73" t="e">
        <f>IF(VLOOKUP(A97,'Actual Dates'!A4:AF220,25,),'Actual Dates'!#REF!,"")</f>
        <v>#REF!</v>
      </c>
      <c r="J97" s="73" t="e">
        <f t="shared" si="58"/>
        <v>#REF!</v>
      </c>
      <c r="K97" s="73" t="e">
        <f>IF(VLOOKUP(A97,'Actual Dates'!A4:AF248,26,),'Actual Dates'!#REF!,"")</f>
        <v>#REF!</v>
      </c>
      <c r="L97" s="73" t="e">
        <f>IF(VLOOKUP(A97,'Actual Dates'!A4:AF248,21,),'Actual Dates'!#REF!,"")</f>
        <v>#REF!</v>
      </c>
      <c r="M97" s="73" t="e">
        <f>'Date Calcs'!#REF!</f>
        <v>#REF!</v>
      </c>
      <c r="N97" s="73" t="e">
        <f>IF(VLOOKUP(A97,'Actual Dates'!A4:AF248,27,),'Actual Dates'!#REF!,"")</f>
        <v>#REF!</v>
      </c>
      <c r="O97" s="74" t="e">
        <f t="shared" si="59"/>
        <v>#REF!</v>
      </c>
      <c r="P97" s="75" t="e">
        <f t="shared" si="60"/>
        <v>#REF!</v>
      </c>
      <c r="Q97" s="75" t="e">
        <f t="shared" si="61"/>
        <v>#REF!</v>
      </c>
      <c r="R97" s="132"/>
      <c r="S97" s="133"/>
      <c r="T97" s="88"/>
      <c r="U97" s="88"/>
      <c r="V97" s="88"/>
      <c r="W97" s="88"/>
      <c r="X97" s="88"/>
      <c r="Y97" s="88"/>
      <c r="Z97" s="88"/>
      <c r="AA97" s="88"/>
      <c r="AB97" s="88"/>
    </row>
    <row r="98" spans="1:28" x14ac:dyDescent="0.25">
      <c r="A98" s="70" t="e">
        <f>'Actual Dates'!#REF!</f>
        <v>#REF!</v>
      </c>
      <c r="B98" s="71" t="e">
        <f>'Date Calcs'!#REF!</f>
        <v>#REF!</v>
      </c>
      <c r="C98" s="72" t="e">
        <f>'Date Calcs'!#REF!</f>
        <v>#REF!</v>
      </c>
      <c r="D98" s="73" t="e">
        <f t="shared" si="56"/>
        <v>#REF!</v>
      </c>
      <c r="E98" s="66">
        <v>43775</v>
      </c>
      <c r="F98" s="73" t="e">
        <f>'Date Calcs'!#REF!</f>
        <v>#REF!</v>
      </c>
      <c r="G98" s="73" t="e">
        <f>IF(VLOOKUP(A98,'Actual Dates'!A4:AF226,8,),'Actual Dates'!#REF!,"")</f>
        <v>#REF!</v>
      </c>
      <c r="H98" s="73" t="e">
        <f t="shared" si="57"/>
        <v>#REF!</v>
      </c>
      <c r="I98" s="73" t="e">
        <f>IF(VLOOKUP(A98,'Actual Dates'!A4:AF221,25,),'Actual Dates'!#REF!,"")</f>
        <v>#REF!</v>
      </c>
      <c r="J98" s="73" t="e">
        <f t="shared" si="58"/>
        <v>#REF!</v>
      </c>
      <c r="K98" s="73" t="e">
        <f>IF(VLOOKUP(A98,'Actual Dates'!A4:AF249,26,),'Actual Dates'!#REF!,"")</f>
        <v>#REF!</v>
      </c>
      <c r="L98" s="73" t="e">
        <f>IF(VLOOKUP(A98,'Actual Dates'!A4:AF249,21,),'Actual Dates'!#REF!,"")</f>
        <v>#REF!</v>
      </c>
      <c r="M98" s="73" t="e">
        <f>'Date Calcs'!#REF!</f>
        <v>#REF!</v>
      </c>
      <c r="N98" s="73" t="e">
        <f>IF(VLOOKUP(A98,'Actual Dates'!A4:AF249,27,),'Actual Dates'!#REF!,"")</f>
        <v>#REF!</v>
      </c>
      <c r="O98" s="74" t="e">
        <f t="shared" si="59"/>
        <v>#REF!</v>
      </c>
      <c r="P98" s="75" t="e">
        <f t="shared" si="60"/>
        <v>#REF!</v>
      </c>
      <c r="Q98" s="75" t="e">
        <f t="shared" si="61"/>
        <v>#REF!</v>
      </c>
      <c r="R98" s="132"/>
      <c r="S98" s="133"/>
      <c r="T98" s="88"/>
      <c r="U98" s="88"/>
      <c r="V98" s="88"/>
      <c r="W98" s="88"/>
      <c r="X98" s="88"/>
      <c r="Y98" s="88"/>
      <c r="Z98" s="88"/>
      <c r="AA98" s="88"/>
      <c r="AB98" s="88"/>
    </row>
    <row r="99" spans="1:28" x14ac:dyDescent="0.25">
      <c r="A99" s="70" t="e">
        <f>'Actual Dates'!#REF!</f>
        <v>#REF!</v>
      </c>
      <c r="B99" s="71" t="e">
        <f>'Date Calcs'!#REF!</f>
        <v>#REF!</v>
      </c>
      <c r="C99" s="72" t="e">
        <f>'Date Calcs'!#REF!</f>
        <v>#REF!</v>
      </c>
      <c r="D99" s="73" t="e">
        <f t="shared" si="56"/>
        <v>#REF!</v>
      </c>
      <c r="E99" s="66">
        <v>43775</v>
      </c>
      <c r="F99" s="73" t="e">
        <f>'Date Calcs'!#REF!</f>
        <v>#REF!</v>
      </c>
      <c r="G99" s="73" t="e">
        <f>IF(VLOOKUP(A99,'Actual Dates'!A4:AF227,8,),'Actual Dates'!#REF!,"")</f>
        <v>#REF!</v>
      </c>
      <c r="H99" s="73" t="e">
        <f t="shared" si="57"/>
        <v>#REF!</v>
      </c>
      <c r="I99" s="73" t="e">
        <f>IF(VLOOKUP(A99,'Actual Dates'!A4:AF222,25,),'Actual Dates'!#REF!,"")</f>
        <v>#REF!</v>
      </c>
      <c r="J99" s="73" t="e">
        <f t="shared" si="58"/>
        <v>#REF!</v>
      </c>
      <c r="K99" s="73" t="e">
        <f>IF(VLOOKUP(A99,'Actual Dates'!A4:AF250,26,),'Actual Dates'!#REF!,"")</f>
        <v>#REF!</v>
      </c>
      <c r="L99" s="73" t="e">
        <f>IF(VLOOKUP(A99,'Actual Dates'!A4:AF250,21,),'Actual Dates'!#REF!,"")</f>
        <v>#REF!</v>
      </c>
      <c r="M99" s="73" t="e">
        <f>'Date Calcs'!#REF!</f>
        <v>#REF!</v>
      </c>
      <c r="N99" s="73" t="e">
        <f>IF(VLOOKUP(A99,'Actual Dates'!A4:AF250,27,),'Actual Dates'!#REF!,"")</f>
        <v>#REF!</v>
      </c>
      <c r="O99" s="74" t="e">
        <f t="shared" si="59"/>
        <v>#REF!</v>
      </c>
      <c r="P99" s="75" t="e">
        <f t="shared" si="60"/>
        <v>#REF!</v>
      </c>
      <c r="Q99" s="75" t="e">
        <f t="shared" si="61"/>
        <v>#REF!</v>
      </c>
      <c r="R99" s="132"/>
      <c r="S99" s="133"/>
      <c r="T99" s="88"/>
      <c r="U99" s="88"/>
      <c r="V99" s="88"/>
      <c r="W99" s="88"/>
      <c r="X99" s="88"/>
      <c r="Y99" s="88"/>
      <c r="Z99" s="88"/>
      <c r="AA99" s="88"/>
      <c r="AB99" s="88"/>
    </row>
    <row r="100" spans="1:28" x14ac:dyDescent="0.25">
      <c r="A100" s="70" t="e">
        <f>'Actual Dates'!#REF!</f>
        <v>#REF!</v>
      </c>
      <c r="B100" s="71" t="e">
        <f>'Date Calcs'!#REF!</f>
        <v>#REF!</v>
      </c>
      <c r="C100" s="72" t="e">
        <f>'Date Calcs'!#REF!</f>
        <v>#REF!</v>
      </c>
      <c r="D100" s="73" t="e">
        <f t="shared" si="56"/>
        <v>#REF!</v>
      </c>
      <c r="E100" s="66">
        <v>43780</v>
      </c>
      <c r="F100" s="73" t="e">
        <f>'Date Calcs'!#REF!</f>
        <v>#REF!</v>
      </c>
      <c r="G100" s="73" t="e">
        <f>IF(VLOOKUP(A100,'Actual Dates'!A4:AF228,8,),'Actual Dates'!#REF!,"")</f>
        <v>#REF!</v>
      </c>
      <c r="H100" s="73" t="e">
        <f t="shared" si="57"/>
        <v>#REF!</v>
      </c>
      <c r="I100" s="73" t="e">
        <f>IF(VLOOKUP(A100,'Actual Dates'!A4:AF223,25,),'Actual Dates'!#REF!,"")</f>
        <v>#REF!</v>
      </c>
      <c r="J100" s="73" t="e">
        <f t="shared" si="58"/>
        <v>#REF!</v>
      </c>
      <c r="K100" s="73" t="e">
        <f>IF(VLOOKUP(A100,'Actual Dates'!A4:AF251,26,),'Actual Dates'!#REF!,"")</f>
        <v>#REF!</v>
      </c>
      <c r="L100" s="73" t="e">
        <f>IF(VLOOKUP(A100,'Actual Dates'!A4:AF251,21,),'Actual Dates'!#REF!,"")</f>
        <v>#REF!</v>
      </c>
      <c r="M100" s="73" t="e">
        <f>'Date Calcs'!#REF!</f>
        <v>#REF!</v>
      </c>
      <c r="N100" s="73" t="e">
        <f>IF(VLOOKUP(A100,'Actual Dates'!A4:AF251,27,),'Actual Dates'!#REF!,"")</f>
        <v>#REF!</v>
      </c>
      <c r="O100" s="74" t="e">
        <f t="shared" si="59"/>
        <v>#REF!</v>
      </c>
      <c r="P100" s="75" t="e">
        <f t="shared" si="60"/>
        <v>#REF!</v>
      </c>
      <c r="Q100" s="75" t="e">
        <f t="shared" si="61"/>
        <v>#REF!</v>
      </c>
      <c r="R100" s="132"/>
      <c r="S100" s="133"/>
      <c r="T100" s="88"/>
      <c r="U100" s="88"/>
      <c r="V100" s="88"/>
      <c r="W100" s="88"/>
      <c r="X100" s="88"/>
      <c r="Y100" s="88"/>
      <c r="Z100" s="88"/>
      <c r="AA100" s="88"/>
      <c r="AB100" s="88"/>
    </row>
    <row r="101" spans="1:28" x14ac:dyDescent="0.25">
      <c r="A101" s="70" t="e">
        <f>'Actual Dates'!#REF!</f>
        <v>#REF!</v>
      </c>
      <c r="B101" s="71" t="e">
        <f>'Date Calcs'!#REF!</f>
        <v>#REF!</v>
      </c>
      <c r="C101" s="72" t="e">
        <f>'Date Calcs'!#REF!</f>
        <v>#REF!</v>
      </c>
      <c r="D101" s="73" t="e">
        <f t="shared" si="56"/>
        <v>#REF!</v>
      </c>
      <c r="E101" s="66">
        <v>43780</v>
      </c>
      <c r="F101" s="73" t="e">
        <f>'Date Calcs'!#REF!</f>
        <v>#REF!</v>
      </c>
      <c r="G101" s="73" t="e">
        <f>IF(VLOOKUP(A101,'Actual Dates'!A4:AF229,8,),'Actual Dates'!#REF!,"")</f>
        <v>#REF!</v>
      </c>
      <c r="H101" s="73" t="e">
        <f t="shared" si="57"/>
        <v>#REF!</v>
      </c>
      <c r="I101" s="73" t="e">
        <f>IF(VLOOKUP(A101,'Actual Dates'!A4:AF224,25,),'Actual Dates'!#REF!,"")</f>
        <v>#REF!</v>
      </c>
      <c r="J101" s="73" t="e">
        <f t="shared" si="58"/>
        <v>#REF!</v>
      </c>
      <c r="K101" s="73" t="e">
        <f>IF(VLOOKUP(A101,'Actual Dates'!A4:AF252,26,),'Actual Dates'!#REF!,"")</f>
        <v>#REF!</v>
      </c>
      <c r="L101" s="73" t="e">
        <f>IF(VLOOKUP(A101,'Actual Dates'!A4:AF252,21,),'Actual Dates'!#REF!,"")</f>
        <v>#REF!</v>
      </c>
      <c r="M101" s="73" t="e">
        <f>'Date Calcs'!#REF!</f>
        <v>#REF!</v>
      </c>
      <c r="N101" s="73" t="e">
        <f>IF(VLOOKUP(A101,'Actual Dates'!A4:AF252,27,),'Actual Dates'!#REF!,"")</f>
        <v>#REF!</v>
      </c>
      <c r="O101" s="74" t="e">
        <f t="shared" si="59"/>
        <v>#REF!</v>
      </c>
      <c r="P101" s="75" t="e">
        <f t="shared" si="60"/>
        <v>#REF!</v>
      </c>
      <c r="Q101" s="75" t="e">
        <f t="shared" si="61"/>
        <v>#REF!</v>
      </c>
      <c r="R101" s="132"/>
      <c r="S101" s="133"/>
      <c r="T101" s="88"/>
      <c r="U101" s="88"/>
      <c r="V101" s="88"/>
      <c r="W101" s="88"/>
      <c r="X101" s="88"/>
      <c r="Y101" s="88"/>
      <c r="Z101" s="88"/>
      <c r="AA101" s="88"/>
      <c r="AB101" s="88"/>
    </row>
    <row r="102" spans="1:28" x14ac:dyDescent="0.25">
      <c r="A102" s="70" t="e">
        <f>'Actual Dates'!#REF!</f>
        <v>#REF!</v>
      </c>
      <c r="B102" s="71" t="e">
        <f>'Date Calcs'!#REF!</f>
        <v>#REF!</v>
      </c>
      <c r="C102" s="72" t="e">
        <f>'Date Calcs'!#REF!</f>
        <v>#REF!</v>
      </c>
      <c r="D102" s="73" t="e">
        <f t="shared" si="56"/>
        <v>#REF!</v>
      </c>
      <c r="E102" s="66">
        <v>43780</v>
      </c>
      <c r="F102" s="73" t="e">
        <f>'Date Calcs'!#REF!</f>
        <v>#REF!</v>
      </c>
      <c r="G102" s="73" t="e">
        <f>IF(VLOOKUP(A102,'Actual Dates'!A4:AF230,8,),'Actual Dates'!#REF!,"")</f>
        <v>#REF!</v>
      </c>
      <c r="H102" s="73" t="e">
        <f t="shared" si="57"/>
        <v>#REF!</v>
      </c>
      <c r="I102" s="73" t="e">
        <f>IF(VLOOKUP(A102,'Actual Dates'!A4:AF225,25,),'Actual Dates'!#REF!,"")</f>
        <v>#REF!</v>
      </c>
      <c r="J102" s="73" t="e">
        <f t="shared" si="58"/>
        <v>#REF!</v>
      </c>
      <c r="K102" s="73" t="e">
        <f>IF(VLOOKUP(A102,'Actual Dates'!A4:AF253,26,),'Actual Dates'!#REF!,"")</f>
        <v>#REF!</v>
      </c>
      <c r="L102" s="73" t="e">
        <f>IF(VLOOKUP(A102,'Actual Dates'!A4:AF253,21,),'Actual Dates'!#REF!,"")</f>
        <v>#REF!</v>
      </c>
      <c r="M102" s="73" t="e">
        <f>'Date Calcs'!#REF!</f>
        <v>#REF!</v>
      </c>
      <c r="N102" s="73" t="e">
        <f>IF(VLOOKUP(A102,'Actual Dates'!A4:AF253,27,),'Actual Dates'!#REF!,"")</f>
        <v>#REF!</v>
      </c>
      <c r="O102" s="74" t="e">
        <f t="shared" si="59"/>
        <v>#REF!</v>
      </c>
      <c r="P102" s="75" t="e">
        <f t="shared" si="60"/>
        <v>#REF!</v>
      </c>
      <c r="Q102" s="75" t="e">
        <f t="shared" si="61"/>
        <v>#REF!</v>
      </c>
      <c r="R102" s="132"/>
      <c r="S102" s="133"/>
      <c r="T102" s="88"/>
      <c r="U102" s="88"/>
      <c r="V102" s="88"/>
      <c r="W102" s="88"/>
      <c r="X102" s="88"/>
      <c r="Y102" s="88"/>
      <c r="Z102" s="88"/>
      <c r="AA102" s="88"/>
      <c r="AB102" s="88"/>
    </row>
    <row r="103" spans="1:28" x14ac:dyDescent="0.25">
      <c r="A103" s="70" t="e">
        <f>'Actual Dates'!#REF!</f>
        <v>#REF!</v>
      </c>
      <c r="B103" s="71" t="e">
        <f>'Date Calcs'!#REF!</f>
        <v>#REF!</v>
      </c>
      <c r="C103" s="72" t="e">
        <f>'Date Calcs'!#REF!</f>
        <v>#REF!</v>
      </c>
      <c r="D103" s="73" t="e">
        <f t="shared" si="56"/>
        <v>#REF!</v>
      </c>
      <c r="E103" s="66">
        <v>43780</v>
      </c>
      <c r="F103" s="73" t="e">
        <f>'Date Calcs'!#REF!</f>
        <v>#REF!</v>
      </c>
      <c r="G103" s="73" t="e">
        <f>IF(VLOOKUP(A103,'Actual Dates'!A4:AF231,8,),'Actual Dates'!#REF!,"")</f>
        <v>#REF!</v>
      </c>
      <c r="H103" s="73" t="e">
        <f t="shared" si="57"/>
        <v>#REF!</v>
      </c>
      <c r="I103" s="73" t="e">
        <f>IF(VLOOKUP(A103,'Actual Dates'!A4:AF226,25,),'Actual Dates'!#REF!,"")</f>
        <v>#REF!</v>
      </c>
      <c r="J103" s="73" t="e">
        <f t="shared" si="58"/>
        <v>#REF!</v>
      </c>
      <c r="K103" s="73" t="e">
        <f>IF(VLOOKUP(A103,'Actual Dates'!A4:AF254,26,),'Actual Dates'!#REF!,"")</f>
        <v>#REF!</v>
      </c>
      <c r="L103" s="73" t="e">
        <f>IF(VLOOKUP(A103,'Actual Dates'!A4:AF254,21,),'Actual Dates'!#REF!,"")</f>
        <v>#REF!</v>
      </c>
      <c r="M103" s="73" t="e">
        <f>'Date Calcs'!#REF!</f>
        <v>#REF!</v>
      </c>
      <c r="N103" s="73" t="e">
        <f>IF(VLOOKUP(A103,'Actual Dates'!A4:AF254,27,),'Actual Dates'!#REF!,"")</f>
        <v>#REF!</v>
      </c>
      <c r="O103" s="74" t="e">
        <f t="shared" si="59"/>
        <v>#REF!</v>
      </c>
      <c r="P103" s="75" t="e">
        <f t="shared" si="60"/>
        <v>#REF!</v>
      </c>
      <c r="Q103" s="75" t="e">
        <f t="shared" si="61"/>
        <v>#REF!</v>
      </c>
      <c r="R103" s="132"/>
      <c r="S103" s="133"/>
      <c r="T103" s="88"/>
      <c r="U103" s="88"/>
      <c r="V103" s="88"/>
      <c r="W103" s="88"/>
      <c r="X103" s="88"/>
      <c r="Y103" s="88"/>
      <c r="Z103" s="88"/>
      <c r="AA103" s="88"/>
      <c r="AB103" s="88"/>
    </row>
    <row r="104" spans="1:28" x14ac:dyDescent="0.25">
      <c r="A104" s="70" t="e">
        <f>'Actual Dates'!#REF!</f>
        <v>#REF!</v>
      </c>
      <c r="B104" s="71" t="e">
        <f>'Date Calcs'!#REF!</f>
        <v>#REF!</v>
      </c>
      <c r="C104" s="72" t="e">
        <f>'Date Calcs'!#REF!</f>
        <v>#REF!</v>
      </c>
      <c r="D104" s="73" t="e">
        <f t="shared" si="56"/>
        <v>#REF!</v>
      </c>
      <c r="E104" s="66">
        <v>43780</v>
      </c>
      <c r="F104" s="73" t="e">
        <f>'Date Calcs'!#REF!</f>
        <v>#REF!</v>
      </c>
      <c r="G104" s="73" t="e">
        <f>IF(VLOOKUP(A104,'Actual Dates'!A4:AF232,8,),'Actual Dates'!#REF!,"")</f>
        <v>#REF!</v>
      </c>
      <c r="H104" s="73" t="e">
        <f t="shared" si="57"/>
        <v>#REF!</v>
      </c>
      <c r="I104" s="73" t="e">
        <f>IF(VLOOKUP(A104,'Actual Dates'!A4:AF227,25,),'Actual Dates'!#REF!,"")</f>
        <v>#REF!</v>
      </c>
      <c r="J104" s="73" t="e">
        <f t="shared" si="58"/>
        <v>#REF!</v>
      </c>
      <c r="K104" s="73" t="e">
        <f>IF(VLOOKUP(A104,'Actual Dates'!A4:AF255,26,),'Actual Dates'!#REF!,"")</f>
        <v>#REF!</v>
      </c>
      <c r="L104" s="73" t="e">
        <f>IF(VLOOKUP(A104,'Actual Dates'!A4:AF255,21,),'Actual Dates'!#REF!,"")</f>
        <v>#REF!</v>
      </c>
      <c r="M104" s="73" t="e">
        <f>'Date Calcs'!#REF!</f>
        <v>#REF!</v>
      </c>
      <c r="N104" s="73" t="e">
        <f>IF(VLOOKUP(A104,'Actual Dates'!A4:AF255,27,),'Actual Dates'!#REF!,"")</f>
        <v>#REF!</v>
      </c>
      <c r="O104" s="74" t="e">
        <f t="shared" si="59"/>
        <v>#REF!</v>
      </c>
      <c r="P104" s="75" t="e">
        <f t="shared" si="60"/>
        <v>#REF!</v>
      </c>
      <c r="Q104" s="75" t="e">
        <f t="shared" si="61"/>
        <v>#REF!</v>
      </c>
      <c r="R104" s="132"/>
      <c r="S104" s="133"/>
      <c r="T104" s="88"/>
      <c r="U104" s="88"/>
      <c r="V104" s="88"/>
      <c r="W104" s="88"/>
      <c r="X104" s="88"/>
      <c r="Y104" s="88"/>
      <c r="Z104" s="88"/>
      <c r="AA104" s="88"/>
      <c r="AB104" s="88"/>
    </row>
    <row r="105" spans="1:28" x14ac:dyDescent="0.25">
      <c r="A105" s="70" t="e">
        <f>'Actual Dates'!#REF!</f>
        <v>#REF!</v>
      </c>
      <c r="B105" s="71" t="e">
        <f>'Date Calcs'!#REF!</f>
        <v>#REF!</v>
      </c>
      <c r="C105" s="72" t="e">
        <f>'Date Calcs'!#REF!</f>
        <v>#REF!</v>
      </c>
      <c r="D105" s="73" t="e">
        <f t="shared" si="56"/>
        <v>#REF!</v>
      </c>
      <c r="E105" s="66">
        <v>43780</v>
      </c>
      <c r="F105" s="73" t="e">
        <f>'Date Calcs'!#REF!</f>
        <v>#REF!</v>
      </c>
      <c r="G105" s="73" t="e">
        <f>IF(VLOOKUP(A105,'Actual Dates'!A4:AF233,8,),'Actual Dates'!#REF!,"")</f>
        <v>#REF!</v>
      </c>
      <c r="H105" s="73" t="e">
        <f t="shared" si="57"/>
        <v>#REF!</v>
      </c>
      <c r="I105" s="73" t="e">
        <f>IF(VLOOKUP(A105,'Actual Dates'!A4:AF228,25,),'Actual Dates'!#REF!,"")</f>
        <v>#REF!</v>
      </c>
      <c r="J105" s="73" t="e">
        <f t="shared" si="58"/>
        <v>#REF!</v>
      </c>
      <c r="K105" s="73" t="e">
        <f>IF(VLOOKUP(A105,'Actual Dates'!A4:AF256,26,),'Actual Dates'!#REF!,"")</f>
        <v>#REF!</v>
      </c>
      <c r="L105" s="73" t="e">
        <f>IF(VLOOKUP(A105,'Actual Dates'!A4:AF256,21,),'Actual Dates'!#REF!,"")</f>
        <v>#REF!</v>
      </c>
      <c r="M105" s="73" t="e">
        <f>'Date Calcs'!#REF!</f>
        <v>#REF!</v>
      </c>
      <c r="N105" s="73" t="e">
        <f>IF(VLOOKUP(A105,'Actual Dates'!A4:AF256,27,),'Actual Dates'!#REF!,"")</f>
        <v>#REF!</v>
      </c>
      <c r="O105" s="74" t="e">
        <f t="shared" si="59"/>
        <v>#REF!</v>
      </c>
      <c r="P105" s="75" t="e">
        <f t="shared" si="60"/>
        <v>#REF!</v>
      </c>
      <c r="Q105" s="75" t="e">
        <f t="shared" si="61"/>
        <v>#REF!</v>
      </c>
      <c r="R105" s="132"/>
      <c r="S105" s="133"/>
      <c r="T105" s="88"/>
      <c r="U105" s="88"/>
      <c r="V105" s="88"/>
      <c r="W105" s="88"/>
      <c r="X105" s="88"/>
      <c r="Y105" s="88"/>
      <c r="Z105" s="88"/>
      <c r="AA105" s="88"/>
      <c r="AB105" s="88"/>
    </row>
    <row r="106" spans="1:28" x14ac:dyDescent="0.25">
      <c r="A106" s="70" t="e">
        <f>'Actual Dates'!#REF!</f>
        <v>#REF!</v>
      </c>
      <c r="B106" s="71" t="e">
        <f>'Date Calcs'!#REF!</f>
        <v>#REF!</v>
      </c>
      <c r="C106" s="72" t="e">
        <f>'Date Calcs'!#REF!</f>
        <v>#REF!</v>
      </c>
      <c r="D106" s="73" t="e">
        <f t="shared" ref="D106:D107" si="62">WORKDAY(F106,-1,)</f>
        <v>#REF!</v>
      </c>
      <c r="E106" s="66">
        <v>43780</v>
      </c>
      <c r="F106" s="73" t="e">
        <f>'Date Calcs'!#REF!</f>
        <v>#REF!</v>
      </c>
      <c r="G106" s="73" t="e">
        <f>IF(VLOOKUP(A106,'Actual Dates'!A4:AF234,8,),'Actual Dates'!#REF!,"")</f>
        <v>#REF!</v>
      </c>
      <c r="H106" s="73" t="e">
        <f t="shared" ref="H106:H107" si="63">WORKDAY(L106,3,)</f>
        <v>#REF!</v>
      </c>
      <c r="I106" s="73" t="e">
        <f>IF(VLOOKUP(A106,'Actual Dates'!A4:AF229,25,),'Actual Dates'!#REF!,"")</f>
        <v>#REF!</v>
      </c>
      <c r="J106" s="73" t="e">
        <f t="shared" ref="J106:J107" si="64">WORKDAY(L106,4,)</f>
        <v>#REF!</v>
      </c>
      <c r="K106" s="73" t="e">
        <f>IF(VLOOKUP(A106,'Actual Dates'!A4:AF257,26,),'Actual Dates'!#REF!,"")</f>
        <v>#REF!</v>
      </c>
      <c r="L106" s="73" t="e">
        <f>IF(VLOOKUP(A106,'Actual Dates'!A4:AF257,21,),'Actual Dates'!#REF!,"")</f>
        <v>#REF!</v>
      </c>
      <c r="M106" s="73" t="e">
        <f>'Date Calcs'!#REF!</f>
        <v>#REF!</v>
      </c>
      <c r="N106" s="73" t="e">
        <f>IF(VLOOKUP(A106,'Actual Dates'!A4:AF257,27,),'Actual Dates'!#REF!,"")</f>
        <v>#REF!</v>
      </c>
      <c r="O106" s="74" t="e">
        <f t="shared" si="59"/>
        <v>#REF!</v>
      </c>
      <c r="P106" s="75" t="e">
        <f t="shared" ref="P106:P107" si="65">F106-G106</f>
        <v>#REF!</v>
      </c>
      <c r="Q106" s="75" t="e">
        <f t="shared" ref="Q106:Q107" si="66">M106-N106</f>
        <v>#REF!</v>
      </c>
      <c r="R106" s="132"/>
      <c r="S106" s="133"/>
      <c r="T106" s="88"/>
      <c r="U106" s="88"/>
      <c r="V106" s="88"/>
      <c r="W106" s="88"/>
      <c r="X106" s="88"/>
      <c r="Y106" s="88"/>
      <c r="Z106" s="88"/>
      <c r="AA106" s="88"/>
      <c r="AB106" s="88"/>
    </row>
    <row r="107" spans="1:28" x14ac:dyDescent="0.25">
      <c r="A107" s="70" t="e">
        <f>'Actual Dates'!#REF!</f>
        <v>#REF!</v>
      </c>
      <c r="B107" s="71" t="e">
        <f>'Date Calcs'!#REF!</f>
        <v>#REF!</v>
      </c>
      <c r="C107" s="72" t="e">
        <f>'Date Calcs'!#REF!</f>
        <v>#REF!</v>
      </c>
      <c r="D107" s="73" t="e">
        <f t="shared" si="62"/>
        <v>#REF!</v>
      </c>
      <c r="E107" s="66">
        <v>43783</v>
      </c>
      <c r="F107" s="73" t="e">
        <f>'Date Calcs'!#REF!</f>
        <v>#REF!</v>
      </c>
      <c r="G107" s="73" t="e">
        <f>IF(VLOOKUP(A107,'Actual Dates'!A4:AF235,8,),'Actual Dates'!#REF!,"")</f>
        <v>#REF!</v>
      </c>
      <c r="H107" s="73" t="e">
        <f t="shared" si="63"/>
        <v>#REF!</v>
      </c>
      <c r="I107" s="73" t="e">
        <f>IF(VLOOKUP(A107,'Actual Dates'!A4:AF230,25,),'Actual Dates'!#REF!,"")</f>
        <v>#REF!</v>
      </c>
      <c r="J107" s="73" t="e">
        <f t="shared" si="64"/>
        <v>#REF!</v>
      </c>
      <c r="K107" s="73" t="e">
        <f>IF(VLOOKUP(A107,'Actual Dates'!A4:AF258,26,),'Actual Dates'!#REF!,"")</f>
        <v>#REF!</v>
      </c>
      <c r="L107" s="73" t="e">
        <f>IF(VLOOKUP(A107,'Actual Dates'!A4:AF258,21,),'Actual Dates'!#REF!,"")</f>
        <v>#REF!</v>
      </c>
      <c r="M107" s="73" t="e">
        <f>'Date Calcs'!#REF!</f>
        <v>#REF!</v>
      </c>
      <c r="N107" s="73" t="e">
        <f>IF(VLOOKUP(A107,'Actual Dates'!A4:AF258,27,),'Actual Dates'!#REF!,"")</f>
        <v>#REF!</v>
      </c>
      <c r="O107" s="74" t="e">
        <f t="shared" si="59"/>
        <v>#REF!</v>
      </c>
      <c r="P107" s="75" t="e">
        <f t="shared" si="65"/>
        <v>#REF!</v>
      </c>
      <c r="Q107" s="75" t="e">
        <f t="shared" si="66"/>
        <v>#REF!</v>
      </c>
      <c r="R107" s="132"/>
      <c r="S107" s="133"/>
      <c r="T107" s="88"/>
      <c r="U107" s="88"/>
      <c r="V107" s="88"/>
      <c r="W107" s="88"/>
      <c r="X107" s="88"/>
      <c r="Y107" s="88"/>
      <c r="Z107" s="88"/>
      <c r="AA107" s="88"/>
      <c r="AB107" s="88"/>
    </row>
    <row r="108" spans="1:28" x14ac:dyDescent="0.25">
      <c r="A108" s="70" t="e">
        <f>'Actual Dates'!#REF!</f>
        <v>#REF!</v>
      </c>
      <c r="B108" s="71" t="e">
        <f>'Date Calcs'!#REF!</f>
        <v>#REF!</v>
      </c>
      <c r="C108" s="72" t="e">
        <f>'Date Calcs'!#REF!</f>
        <v>#REF!</v>
      </c>
      <c r="D108" s="73" t="e">
        <f t="shared" ref="D108:D110" si="67">WORKDAY(F108,-1,)</f>
        <v>#REF!</v>
      </c>
      <c r="E108" s="66" t="s">
        <v>67</v>
      </c>
      <c r="F108" s="73" t="e">
        <f>'Date Calcs'!#REF!</f>
        <v>#REF!</v>
      </c>
      <c r="G108" s="73" t="s">
        <v>67</v>
      </c>
      <c r="H108" s="73" t="e">
        <f t="shared" ref="H108:H110" si="68">WORKDAY(L108,3,)</f>
        <v>#REF!</v>
      </c>
      <c r="I108" s="73" t="e">
        <f>IF(VLOOKUP(A108,'Actual Dates'!A4:AF231,25,),'Actual Dates'!#REF!,"")</f>
        <v>#REF!</v>
      </c>
      <c r="J108" s="73" t="e">
        <f t="shared" ref="J108:J110" si="69">WORKDAY(L108,4,)</f>
        <v>#REF!</v>
      </c>
      <c r="K108" s="73" t="e">
        <f>IF(VLOOKUP(A108,'Actual Dates'!A4:AF259,26,),'Actual Dates'!#REF!,"")</f>
        <v>#REF!</v>
      </c>
      <c r="L108" s="73" t="e">
        <f>IF(VLOOKUP(A108,'Actual Dates'!A4:AF259,21,),'Actual Dates'!#REF!,"")</f>
        <v>#REF!</v>
      </c>
      <c r="M108" s="73" t="e">
        <f>'Date Calcs'!#REF!</f>
        <v>#REF!</v>
      </c>
      <c r="N108" s="73" t="e">
        <f>IF(VLOOKUP(A108,'Actual Dates'!A4:AF259,27,),'Actual Dates'!#REF!,"")</f>
        <v>#REF!</v>
      </c>
      <c r="O108" s="74" t="e">
        <f t="shared" si="59"/>
        <v>#REF!</v>
      </c>
      <c r="P108" s="75" t="e">
        <f t="shared" ref="P108:P110" si="70">F108-G108</f>
        <v>#REF!</v>
      </c>
      <c r="Q108" s="75" t="e">
        <f t="shared" ref="Q108:Q110" si="71">M108-N108</f>
        <v>#REF!</v>
      </c>
      <c r="R108" s="132"/>
      <c r="S108" s="133"/>
      <c r="T108" s="88"/>
      <c r="U108" s="88"/>
      <c r="V108" s="88"/>
      <c r="W108" s="88"/>
      <c r="X108" s="88"/>
      <c r="Y108" s="88"/>
      <c r="Z108" s="88"/>
      <c r="AA108" s="88"/>
      <c r="AB108" s="88"/>
    </row>
    <row r="109" spans="1:28" x14ac:dyDescent="0.25">
      <c r="A109" s="70" t="e">
        <f>'Actual Dates'!#REF!</f>
        <v>#REF!</v>
      </c>
      <c r="B109" s="71" t="e">
        <f>'Date Calcs'!#REF!</f>
        <v>#REF!</v>
      </c>
      <c r="C109" s="72" t="e">
        <f>'Date Calcs'!#REF!</f>
        <v>#REF!</v>
      </c>
      <c r="D109" s="73" t="e">
        <f t="shared" si="67"/>
        <v>#REF!</v>
      </c>
      <c r="E109" s="66">
        <v>43774</v>
      </c>
      <c r="F109" s="73" t="e">
        <f>'Date Calcs'!#REF!</f>
        <v>#REF!</v>
      </c>
      <c r="G109" s="73" t="e">
        <f>IF(VLOOKUP(A109,'Actual Dates'!A4:AF237,8,),'Actual Dates'!#REF!,"")</f>
        <v>#REF!</v>
      </c>
      <c r="H109" s="73" t="e">
        <f t="shared" si="68"/>
        <v>#REF!</v>
      </c>
      <c r="I109" s="73" t="e">
        <f>IF(VLOOKUP(A109,'Actual Dates'!A4:AF232,25,),'Actual Dates'!#REF!,"")</f>
        <v>#REF!</v>
      </c>
      <c r="J109" s="73" t="e">
        <f t="shared" si="69"/>
        <v>#REF!</v>
      </c>
      <c r="K109" s="73" t="e">
        <f>IF(VLOOKUP(A109,'Actual Dates'!A4:AF260,26,),'Actual Dates'!#REF!,"")</f>
        <v>#REF!</v>
      </c>
      <c r="L109" s="73" t="e">
        <f>IF(VLOOKUP(A109,'Actual Dates'!A4:AF260,21,),'Actual Dates'!#REF!,"")</f>
        <v>#REF!</v>
      </c>
      <c r="M109" s="73" t="e">
        <f>'Date Calcs'!#REF!</f>
        <v>#REF!</v>
      </c>
      <c r="N109" s="73" t="e">
        <f>IF(VLOOKUP(A109,'Actual Dates'!A4:AF260,27,),'Actual Dates'!#REF!,"")</f>
        <v>#REF!</v>
      </c>
      <c r="O109" s="74" t="e">
        <f t="shared" si="59"/>
        <v>#REF!</v>
      </c>
      <c r="P109" s="75" t="e">
        <f t="shared" si="70"/>
        <v>#REF!</v>
      </c>
      <c r="Q109" s="75" t="e">
        <f t="shared" si="71"/>
        <v>#REF!</v>
      </c>
      <c r="R109" s="132"/>
      <c r="S109" s="133"/>
      <c r="T109" s="88"/>
      <c r="U109" s="88"/>
      <c r="V109" s="88"/>
      <c r="W109" s="88"/>
      <c r="X109" s="88"/>
      <c r="Y109" s="88"/>
      <c r="Z109" s="88"/>
      <c r="AA109" s="88"/>
      <c r="AB109" s="88"/>
    </row>
    <row r="110" spans="1:28" x14ac:dyDescent="0.25">
      <c r="A110" s="70" t="e">
        <f>'Actual Dates'!#REF!</f>
        <v>#REF!</v>
      </c>
      <c r="B110" s="71" t="e">
        <f>'Date Calcs'!#REF!</f>
        <v>#REF!</v>
      </c>
      <c r="C110" s="72" t="e">
        <f>'Date Calcs'!#REF!</f>
        <v>#REF!</v>
      </c>
      <c r="D110" s="73" t="e">
        <f t="shared" si="67"/>
        <v>#REF!</v>
      </c>
      <c r="E110" s="66">
        <v>43775</v>
      </c>
      <c r="F110" s="73" t="e">
        <f>'Date Calcs'!#REF!</f>
        <v>#REF!</v>
      </c>
      <c r="G110" s="73" t="e">
        <f>IF(VLOOKUP(A110,'Actual Dates'!A4:AF238,8,),'Actual Dates'!#REF!,"")</f>
        <v>#REF!</v>
      </c>
      <c r="H110" s="73" t="e">
        <f t="shared" si="68"/>
        <v>#REF!</v>
      </c>
      <c r="I110" s="73" t="e">
        <f>IF(VLOOKUP(A110,'Actual Dates'!A4:AF233,25,),'Actual Dates'!#REF!,"")</f>
        <v>#REF!</v>
      </c>
      <c r="J110" s="73" t="e">
        <f t="shared" si="69"/>
        <v>#REF!</v>
      </c>
      <c r="K110" s="73" t="e">
        <f>IF(VLOOKUP(A110,'Actual Dates'!A4:AF261,26,),'Actual Dates'!#REF!,"")</f>
        <v>#REF!</v>
      </c>
      <c r="L110" s="73" t="e">
        <f>IF(VLOOKUP(A110,'Actual Dates'!A4:AF261,21,),'Actual Dates'!#REF!,"")</f>
        <v>#REF!</v>
      </c>
      <c r="M110" s="73" t="e">
        <f>'Date Calcs'!#REF!</f>
        <v>#REF!</v>
      </c>
      <c r="N110" s="73" t="e">
        <f>IF(VLOOKUP(A110,'Actual Dates'!A4:AF261,27,),'Actual Dates'!#REF!,"")</f>
        <v>#REF!</v>
      </c>
      <c r="O110" s="74" t="e">
        <f t="shared" si="59"/>
        <v>#REF!</v>
      </c>
      <c r="P110" s="75" t="e">
        <f t="shared" si="70"/>
        <v>#REF!</v>
      </c>
      <c r="Q110" s="75" t="e">
        <f t="shared" si="71"/>
        <v>#REF!</v>
      </c>
      <c r="R110" s="132"/>
      <c r="S110" s="133"/>
      <c r="T110" s="88"/>
      <c r="U110" s="88"/>
      <c r="V110" s="88"/>
      <c r="W110" s="88"/>
      <c r="X110" s="88"/>
      <c r="Y110" s="88"/>
      <c r="Z110" s="88"/>
      <c r="AA110" s="88"/>
      <c r="AB110" s="88"/>
    </row>
    <row r="111" spans="1:28" x14ac:dyDescent="0.25">
      <c r="A111" s="70" t="e">
        <f>'Actual Dates'!#REF!</f>
        <v>#REF!</v>
      </c>
      <c r="B111" s="71" t="e">
        <f>'Date Calcs'!#REF!</f>
        <v>#REF!</v>
      </c>
      <c r="C111" s="72" t="e">
        <f>'Date Calcs'!#REF!</f>
        <v>#REF!</v>
      </c>
      <c r="D111" s="73" t="e">
        <f t="shared" ref="D111:D116" si="72">WORKDAY(F111,-1,)</f>
        <v>#REF!</v>
      </c>
      <c r="E111" s="66">
        <v>43780</v>
      </c>
      <c r="F111" s="73" t="e">
        <f>'Date Calcs'!#REF!</f>
        <v>#REF!</v>
      </c>
      <c r="G111" s="73" t="e">
        <f>IF(VLOOKUP(A111,'Actual Dates'!A4:AF239,8,),'Actual Dates'!#REF!,"")</f>
        <v>#REF!</v>
      </c>
      <c r="H111" s="73" t="e">
        <f t="shared" ref="H111:H116" si="73">WORKDAY(L111,3,)</f>
        <v>#REF!</v>
      </c>
      <c r="I111" s="73" t="e">
        <f>IF(VLOOKUP(A111,'Actual Dates'!A4:AF234,25,),'Actual Dates'!#REF!,"")</f>
        <v>#REF!</v>
      </c>
      <c r="J111" s="73" t="e">
        <f t="shared" ref="J111:J116" si="74">WORKDAY(L111,4,)</f>
        <v>#REF!</v>
      </c>
      <c r="K111" s="73" t="e">
        <f>IF(VLOOKUP(A111,'Actual Dates'!A4:AF262,26,),'Actual Dates'!#REF!,"")</f>
        <v>#REF!</v>
      </c>
      <c r="L111" s="73" t="e">
        <f>IF(VLOOKUP(A111,'Actual Dates'!A4:AF262,21,),'Actual Dates'!#REF!,"")</f>
        <v>#REF!</v>
      </c>
      <c r="M111" s="73" t="e">
        <f>'Date Calcs'!#REF!</f>
        <v>#REF!</v>
      </c>
      <c r="N111" s="73" t="e">
        <f>IF(VLOOKUP(A111,'Actual Dates'!A4:AF262,27,),'Actual Dates'!#REF!,"")</f>
        <v>#REF!</v>
      </c>
      <c r="O111" s="74" t="e">
        <f t="shared" si="59"/>
        <v>#REF!</v>
      </c>
      <c r="P111" s="75" t="e">
        <f t="shared" ref="P111:P116" si="75">F111-G111</f>
        <v>#REF!</v>
      </c>
      <c r="Q111" s="75" t="e">
        <f t="shared" ref="Q111:Q116" si="76">M111-N111</f>
        <v>#REF!</v>
      </c>
      <c r="R111" s="132"/>
      <c r="S111" s="133"/>
      <c r="T111" s="88"/>
      <c r="U111" s="88"/>
      <c r="V111" s="88"/>
      <c r="W111" s="88"/>
      <c r="X111" s="88"/>
      <c r="Y111" s="88"/>
      <c r="Z111" s="88"/>
      <c r="AA111" s="88"/>
      <c r="AB111" s="88"/>
    </row>
    <row r="112" spans="1:28" x14ac:dyDescent="0.25">
      <c r="A112" s="70" t="e">
        <f>'Actual Dates'!#REF!</f>
        <v>#REF!</v>
      </c>
      <c r="B112" s="71" t="e">
        <f>'Date Calcs'!#REF!</f>
        <v>#REF!</v>
      </c>
      <c r="C112" s="72" t="e">
        <f>'Date Calcs'!#REF!</f>
        <v>#REF!</v>
      </c>
      <c r="D112" s="73" t="e">
        <f t="shared" si="72"/>
        <v>#REF!</v>
      </c>
      <c r="E112" s="66">
        <v>43796</v>
      </c>
      <c r="F112" s="73" t="e">
        <f>'Date Calcs'!#REF!</f>
        <v>#REF!</v>
      </c>
      <c r="G112" s="73" t="e">
        <f>IF(VLOOKUP(A112,'Actual Dates'!A4:AF240,8,),'Actual Dates'!#REF!,"")</f>
        <v>#REF!</v>
      </c>
      <c r="H112" s="73" t="e">
        <f t="shared" si="73"/>
        <v>#REF!</v>
      </c>
      <c r="I112" s="73" t="e">
        <f>IF(VLOOKUP(A112,'Actual Dates'!A4:AF235,25,),'Actual Dates'!#REF!,"")</f>
        <v>#REF!</v>
      </c>
      <c r="J112" s="73" t="e">
        <f t="shared" si="74"/>
        <v>#REF!</v>
      </c>
      <c r="K112" s="73" t="e">
        <f>IF(VLOOKUP(A112,'Actual Dates'!A4:AF263,26,),'Actual Dates'!#REF!,"")</f>
        <v>#REF!</v>
      </c>
      <c r="L112" s="73" t="e">
        <f>IF(VLOOKUP(A112,'Actual Dates'!A4:AF263,21,),'Actual Dates'!#REF!,"")</f>
        <v>#REF!</v>
      </c>
      <c r="M112" s="73" t="e">
        <f>'Date Calcs'!#REF!</f>
        <v>#REF!</v>
      </c>
      <c r="N112" s="73" t="e">
        <f>IF(VLOOKUP(A112,'Actual Dates'!A4:AF263,27,),'Actual Dates'!#REF!,"")</f>
        <v>#REF!</v>
      </c>
      <c r="O112" s="74" t="e">
        <f t="shared" si="59"/>
        <v>#REF!</v>
      </c>
      <c r="P112" s="75" t="e">
        <f t="shared" si="75"/>
        <v>#REF!</v>
      </c>
      <c r="Q112" s="75" t="e">
        <f t="shared" si="76"/>
        <v>#REF!</v>
      </c>
      <c r="R112" s="132"/>
      <c r="S112" s="133"/>
      <c r="T112" s="88"/>
      <c r="U112" s="88"/>
      <c r="V112" s="88"/>
      <c r="W112" s="88"/>
      <c r="X112" s="88"/>
      <c r="Y112" s="88"/>
      <c r="Z112" s="88"/>
      <c r="AA112" s="88"/>
      <c r="AB112" s="88"/>
    </row>
    <row r="113" spans="1:28" x14ac:dyDescent="0.25">
      <c r="A113" s="70" t="e">
        <f>'Actual Dates'!#REF!</f>
        <v>#REF!</v>
      </c>
      <c r="B113" s="71" t="e">
        <f>'Date Calcs'!#REF!</f>
        <v>#REF!</v>
      </c>
      <c r="C113" s="72" t="e">
        <f>'Date Calcs'!#REF!</f>
        <v>#REF!</v>
      </c>
      <c r="D113" s="73" t="e">
        <f t="shared" si="72"/>
        <v>#REF!</v>
      </c>
      <c r="E113" s="66">
        <v>43796</v>
      </c>
      <c r="F113" s="73" t="e">
        <f>'Date Calcs'!#REF!</f>
        <v>#REF!</v>
      </c>
      <c r="G113" s="73" t="e">
        <f>IF(VLOOKUP(A113,'Actual Dates'!A4:AF241,8,),'Actual Dates'!#REF!,"")</f>
        <v>#REF!</v>
      </c>
      <c r="H113" s="73" t="e">
        <f t="shared" si="73"/>
        <v>#REF!</v>
      </c>
      <c r="I113" s="73" t="e">
        <f>IF(VLOOKUP(A113,'Actual Dates'!A4:AF236,25,),'Actual Dates'!#REF!,"")</f>
        <v>#REF!</v>
      </c>
      <c r="J113" s="73" t="e">
        <f t="shared" si="74"/>
        <v>#REF!</v>
      </c>
      <c r="K113" s="73" t="e">
        <f>IF(VLOOKUP(A113,'Actual Dates'!A4:AF264,26,),'Actual Dates'!#REF!,"")</f>
        <v>#REF!</v>
      </c>
      <c r="L113" s="73" t="e">
        <f>IF(VLOOKUP(A113,'Actual Dates'!A4:AF264,21,),'Actual Dates'!#REF!,"")</f>
        <v>#REF!</v>
      </c>
      <c r="M113" s="73" t="e">
        <f>'Date Calcs'!#REF!</f>
        <v>#REF!</v>
      </c>
      <c r="N113" s="73" t="e">
        <f>IF(VLOOKUP(A113,'Actual Dates'!A4:AF264,27,),'Actual Dates'!#REF!,"")</f>
        <v>#REF!</v>
      </c>
      <c r="O113" s="74" t="e">
        <f t="shared" si="59"/>
        <v>#REF!</v>
      </c>
      <c r="P113" s="75" t="e">
        <f t="shared" si="75"/>
        <v>#REF!</v>
      </c>
      <c r="Q113" s="75" t="e">
        <f t="shared" si="76"/>
        <v>#REF!</v>
      </c>
      <c r="R113" s="132"/>
      <c r="S113" s="133"/>
      <c r="T113" s="88"/>
      <c r="U113" s="88"/>
      <c r="V113" s="88"/>
      <c r="W113" s="88"/>
      <c r="X113" s="88"/>
      <c r="Y113" s="88"/>
      <c r="Z113" s="88"/>
      <c r="AA113" s="88"/>
      <c r="AB113" s="88"/>
    </row>
    <row r="114" spans="1:28" x14ac:dyDescent="0.25">
      <c r="A114" s="70" t="e">
        <f>'Actual Dates'!#REF!</f>
        <v>#REF!</v>
      </c>
      <c r="B114" s="71"/>
      <c r="C114" s="72"/>
      <c r="D114" s="73"/>
      <c r="E114" s="66"/>
      <c r="F114" s="73"/>
      <c r="G114" s="73"/>
      <c r="H114" s="73"/>
      <c r="I114" s="73"/>
      <c r="J114" s="73"/>
      <c r="K114" s="73"/>
      <c r="L114" s="73"/>
      <c r="M114" s="73"/>
      <c r="N114" s="73"/>
      <c r="O114" s="74">
        <f t="shared" si="59"/>
        <v>0</v>
      </c>
      <c r="P114" s="75"/>
      <c r="Q114" s="75"/>
      <c r="R114" s="132"/>
      <c r="S114" s="133"/>
      <c r="T114" s="88"/>
      <c r="U114" s="88"/>
      <c r="V114" s="88"/>
      <c r="W114" s="88"/>
      <c r="X114" s="88"/>
      <c r="Y114" s="88"/>
      <c r="Z114" s="88"/>
      <c r="AA114" s="88"/>
      <c r="AB114" s="88"/>
    </row>
    <row r="115" spans="1:28" x14ac:dyDescent="0.25">
      <c r="A115" s="70" t="e">
        <f>'Actual Dates'!#REF!</f>
        <v>#REF!</v>
      </c>
      <c r="B115" s="71" t="e">
        <f>'Date Calcs'!#REF!</f>
        <v>#REF!</v>
      </c>
      <c r="C115" s="72" t="e">
        <f>'Date Calcs'!#REF!</f>
        <v>#REF!</v>
      </c>
      <c r="D115" s="73" t="e">
        <f t="shared" si="72"/>
        <v>#REF!</v>
      </c>
      <c r="E115" s="66">
        <v>43802</v>
      </c>
      <c r="F115" s="73" t="e">
        <f>'Date Calcs'!#REF!</f>
        <v>#REF!</v>
      </c>
      <c r="G115" s="73" t="e">
        <f>IF(VLOOKUP(A115,'Actual Dates'!A4:AF243,8,),'Actual Dates'!#REF!,"")</f>
        <v>#REF!</v>
      </c>
      <c r="H115" s="73" t="e">
        <f t="shared" si="73"/>
        <v>#REF!</v>
      </c>
      <c r="I115" s="73" t="e">
        <f>IF(VLOOKUP(A115,'Actual Dates'!A4:AF238,25,),'Actual Dates'!#REF!,"")</f>
        <v>#REF!</v>
      </c>
      <c r="J115" s="73" t="e">
        <f t="shared" si="74"/>
        <v>#REF!</v>
      </c>
      <c r="K115" s="73" t="e">
        <f>IF(VLOOKUP(A115,'Actual Dates'!A4:AF266,26,),'Actual Dates'!#REF!,"")</f>
        <v>#REF!</v>
      </c>
      <c r="L115" s="73" t="e">
        <f>IF(VLOOKUP(A115,'Actual Dates'!A4:AF266,21,),'Actual Dates'!#REF!,"")</f>
        <v>#REF!</v>
      </c>
      <c r="M115" s="73" t="e">
        <f>'Date Calcs'!#REF!</f>
        <v>#REF!</v>
      </c>
      <c r="N115" s="73" t="e">
        <f>IF(VLOOKUP(A115,'Actual Dates'!A4:AF266,27,),'Actual Dates'!#REF!,"")</f>
        <v>#REF!</v>
      </c>
      <c r="O115" s="74" t="e">
        <f t="shared" si="59"/>
        <v>#REF!</v>
      </c>
      <c r="P115" s="75" t="e">
        <f t="shared" si="75"/>
        <v>#REF!</v>
      </c>
      <c r="Q115" s="75" t="e">
        <f t="shared" si="76"/>
        <v>#REF!</v>
      </c>
      <c r="R115" s="132"/>
      <c r="S115" s="133"/>
      <c r="T115" s="88"/>
      <c r="U115" s="88"/>
      <c r="V115" s="88"/>
      <c r="W115" s="88"/>
      <c r="X115" s="88"/>
      <c r="Y115" s="88"/>
      <c r="Z115" s="88"/>
      <c r="AA115" s="88"/>
      <c r="AB115" s="88"/>
    </row>
    <row r="116" spans="1:28" x14ac:dyDescent="0.25">
      <c r="A116" s="70" t="e">
        <f>'Actual Dates'!#REF!</f>
        <v>#REF!</v>
      </c>
      <c r="B116" s="71" t="e">
        <f>'Date Calcs'!#REF!</f>
        <v>#REF!</v>
      </c>
      <c r="C116" s="72" t="e">
        <f>'Date Calcs'!#REF!</f>
        <v>#REF!</v>
      </c>
      <c r="D116" s="73" t="e">
        <f t="shared" si="72"/>
        <v>#REF!</v>
      </c>
      <c r="E116" s="66" t="s">
        <v>67</v>
      </c>
      <c r="F116" s="73" t="e">
        <f>'Date Calcs'!#REF!</f>
        <v>#REF!</v>
      </c>
      <c r="G116" s="73" t="e">
        <f>IF(VLOOKUP(A116,'Actual Dates'!A4:AF244,8,),'Actual Dates'!#REF!,"")</f>
        <v>#REF!</v>
      </c>
      <c r="H116" s="73" t="e">
        <f t="shared" si="73"/>
        <v>#REF!</v>
      </c>
      <c r="I116" s="73" t="e">
        <f>IF(VLOOKUP(A116,'Actual Dates'!A4:AF239,25,),'Actual Dates'!#REF!,"")</f>
        <v>#REF!</v>
      </c>
      <c r="J116" s="73" t="e">
        <f t="shared" si="74"/>
        <v>#REF!</v>
      </c>
      <c r="K116" s="73" t="e">
        <f>IF(VLOOKUP(A116,'Actual Dates'!A4:AF267,26,),'Actual Dates'!#REF!,"")</f>
        <v>#REF!</v>
      </c>
      <c r="L116" s="73" t="e">
        <f>IF(VLOOKUP(A116,'Actual Dates'!A4:AF267,21,),'Actual Dates'!#REF!,"")</f>
        <v>#REF!</v>
      </c>
      <c r="M116" s="73" t="e">
        <f>'Date Calcs'!#REF!</f>
        <v>#REF!</v>
      </c>
      <c r="N116" s="73" t="e">
        <f>IF(VLOOKUP(A116,'Actual Dates'!A4:AF267,27,),'Actual Dates'!#REF!,"")</f>
        <v>#REF!</v>
      </c>
      <c r="O116" s="74" t="e">
        <f t="shared" si="59"/>
        <v>#REF!</v>
      </c>
      <c r="P116" s="75" t="e">
        <f t="shared" si="75"/>
        <v>#REF!</v>
      </c>
      <c r="Q116" s="75" t="e">
        <f t="shared" si="76"/>
        <v>#REF!</v>
      </c>
      <c r="R116" s="132"/>
      <c r="S116" s="133"/>
      <c r="T116" s="88"/>
      <c r="U116" s="88"/>
      <c r="V116" s="88"/>
      <c r="W116" s="88"/>
      <c r="X116" s="88"/>
      <c r="Y116" s="88"/>
      <c r="Z116" s="88"/>
      <c r="AA116" s="88"/>
      <c r="AB116" s="88"/>
    </row>
    <row r="117" spans="1:28" x14ac:dyDescent="0.25">
      <c r="A117" s="70" t="e">
        <f>'Actual Dates'!#REF!</f>
        <v>#REF!</v>
      </c>
      <c r="B117" s="71" t="e">
        <f>'Date Calcs'!#REF!</f>
        <v>#REF!</v>
      </c>
      <c r="C117" s="72" t="e">
        <f>'Date Calcs'!#REF!</f>
        <v>#REF!</v>
      </c>
      <c r="D117" s="73" t="e">
        <f t="shared" ref="D117:D119" si="77">WORKDAY(F117,-1,)</f>
        <v>#REF!</v>
      </c>
      <c r="E117" s="66" t="s">
        <v>67</v>
      </c>
      <c r="F117" s="73" t="e">
        <f>'Date Calcs'!#REF!</f>
        <v>#REF!</v>
      </c>
      <c r="G117" s="73" t="e">
        <f>IF(VLOOKUP(A117,'Actual Dates'!A4:AF245,8,),'Actual Dates'!#REF!,"")</f>
        <v>#REF!</v>
      </c>
      <c r="H117" s="73" t="e">
        <f t="shared" ref="H117:H119" si="78">WORKDAY(L117,3,)</f>
        <v>#REF!</v>
      </c>
      <c r="I117" s="73" t="e">
        <f>IF(VLOOKUP(A117,'Actual Dates'!A4:AF240,25,),'Actual Dates'!#REF!,"")</f>
        <v>#REF!</v>
      </c>
      <c r="J117" s="73" t="e">
        <f t="shared" ref="J117:J119" si="79">WORKDAY(L117,4,)</f>
        <v>#REF!</v>
      </c>
      <c r="K117" s="73" t="e">
        <f>IF(VLOOKUP(A117,'Actual Dates'!A4:AF268,26,),'Actual Dates'!#REF!,"")</f>
        <v>#REF!</v>
      </c>
      <c r="L117" s="73" t="e">
        <f>IF(VLOOKUP(A117,'Actual Dates'!A4:AF268,21,),'Actual Dates'!#REF!,"")</f>
        <v>#REF!</v>
      </c>
      <c r="M117" s="73" t="e">
        <f>'Date Calcs'!#REF!</f>
        <v>#REF!</v>
      </c>
      <c r="N117" s="73" t="e">
        <f>IF(VLOOKUP(A117,'Actual Dates'!A4:AF268,27,),'Actual Dates'!#REF!,"")</f>
        <v>#REF!</v>
      </c>
      <c r="O117" s="74" t="e">
        <f t="shared" si="59"/>
        <v>#REF!</v>
      </c>
      <c r="P117" s="75" t="e">
        <f t="shared" ref="P117:P119" si="80">F117-G117</f>
        <v>#REF!</v>
      </c>
      <c r="Q117" s="75" t="e">
        <f t="shared" ref="Q117:Q119" si="81">M117-N117</f>
        <v>#REF!</v>
      </c>
      <c r="R117" s="132"/>
      <c r="S117" s="133"/>
      <c r="T117" s="88"/>
      <c r="U117" s="88"/>
      <c r="V117" s="88"/>
      <c r="W117" s="88"/>
      <c r="X117" s="88"/>
      <c r="Y117" s="88"/>
      <c r="Z117" s="88"/>
      <c r="AA117" s="88"/>
      <c r="AB117" s="88"/>
    </row>
    <row r="118" spans="1:28" x14ac:dyDescent="0.25">
      <c r="A118" s="70" t="e">
        <f>'Actual Dates'!#REF!</f>
        <v>#REF!</v>
      </c>
      <c r="B118" s="71" t="e">
        <f>'Date Calcs'!#REF!</f>
        <v>#REF!</v>
      </c>
      <c r="C118" s="72" t="e">
        <f>'Date Calcs'!#REF!</f>
        <v>#REF!</v>
      </c>
      <c r="D118" s="73" t="e">
        <f t="shared" si="77"/>
        <v>#REF!</v>
      </c>
      <c r="E118" s="66" t="s">
        <v>67</v>
      </c>
      <c r="F118" s="73" t="e">
        <f>'Date Calcs'!#REF!</f>
        <v>#REF!</v>
      </c>
      <c r="G118" s="73" t="e">
        <f>IF(VLOOKUP(A118,'Actual Dates'!A4:AF246,8,),'Actual Dates'!#REF!,"")</f>
        <v>#REF!</v>
      </c>
      <c r="H118" s="73" t="e">
        <f t="shared" si="78"/>
        <v>#REF!</v>
      </c>
      <c r="I118" s="73" t="e">
        <f>IF(VLOOKUP(A118,'Actual Dates'!A4:AF241,25,),'Actual Dates'!#REF!,"")</f>
        <v>#REF!</v>
      </c>
      <c r="J118" s="73" t="e">
        <f t="shared" si="79"/>
        <v>#REF!</v>
      </c>
      <c r="K118" s="73" t="e">
        <f>IF(VLOOKUP(A118,'Actual Dates'!A4:AF269,26,),'Actual Dates'!#REF!,"")</f>
        <v>#REF!</v>
      </c>
      <c r="L118" s="73" t="e">
        <f>IF(VLOOKUP(A118,'Actual Dates'!A4:AF269,21,),'Actual Dates'!#REF!,"")</f>
        <v>#REF!</v>
      </c>
      <c r="M118" s="73" t="e">
        <f>'Date Calcs'!#REF!</f>
        <v>#REF!</v>
      </c>
      <c r="N118" s="73" t="e">
        <f>IF(VLOOKUP(A118,'Actual Dates'!A4:AF269,27,),'Actual Dates'!#REF!,"")</f>
        <v>#REF!</v>
      </c>
      <c r="O118" s="74" t="e">
        <f t="shared" si="59"/>
        <v>#REF!</v>
      </c>
      <c r="P118" s="75" t="e">
        <f t="shared" si="80"/>
        <v>#REF!</v>
      </c>
      <c r="Q118" s="75" t="e">
        <f t="shared" si="81"/>
        <v>#REF!</v>
      </c>
      <c r="R118" s="132"/>
      <c r="S118" s="133"/>
      <c r="T118" s="88"/>
      <c r="U118" s="88"/>
      <c r="V118" s="88"/>
      <c r="W118" s="88"/>
      <c r="X118" s="88"/>
      <c r="Y118" s="88"/>
      <c r="Z118" s="88"/>
      <c r="AA118" s="88"/>
      <c r="AB118" s="88"/>
    </row>
    <row r="119" spans="1:28" x14ac:dyDescent="0.25">
      <c r="A119" s="70" t="e">
        <f>'Actual Dates'!#REF!</f>
        <v>#REF!</v>
      </c>
      <c r="B119" s="71" t="e">
        <f>'Date Calcs'!#REF!</f>
        <v>#REF!</v>
      </c>
      <c r="C119" s="72" t="e">
        <f>'Date Calcs'!#REF!</f>
        <v>#REF!</v>
      </c>
      <c r="D119" s="73" t="e">
        <f t="shared" si="77"/>
        <v>#REF!</v>
      </c>
      <c r="E119" s="66" t="s">
        <v>67</v>
      </c>
      <c r="F119" s="73" t="e">
        <f>'Date Calcs'!#REF!</f>
        <v>#REF!</v>
      </c>
      <c r="G119" s="73" t="e">
        <f>IF(VLOOKUP(A119,'Actual Dates'!A4:AF247,8,),'Actual Dates'!#REF!,"")</f>
        <v>#REF!</v>
      </c>
      <c r="H119" s="73" t="e">
        <f t="shared" si="78"/>
        <v>#REF!</v>
      </c>
      <c r="I119" s="73" t="e">
        <f>IF(VLOOKUP(A119,'Actual Dates'!A4:AF242,25,),'Actual Dates'!#REF!,"")</f>
        <v>#REF!</v>
      </c>
      <c r="J119" s="73" t="e">
        <f t="shared" si="79"/>
        <v>#REF!</v>
      </c>
      <c r="K119" s="73" t="e">
        <f>IF(VLOOKUP(A119,'Actual Dates'!A4:AF270,26,),'Actual Dates'!#REF!,"")</f>
        <v>#REF!</v>
      </c>
      <c r="L119" s="73" t="e">
        <f>IF(VLOOKUP(A119,'Actual Dates'!A4:AF270,21,),'Actual Dates'!#REF!,"")</f>
        <v>#REF!</v>
      </c>
      <c r="M119" s="73" t="e">
        <f>'Date Calcs'!#REF!</f>
        <v>#REF!</v>
      </c>
      <c r="N119" s="73" t="e">
        <f>IF(VLOOKUP(A119,'Actual Dates'!A4:AF270,27,),'Actual Dates'!#REF!,"")</f>
        <v>#REF!</v>
      </c>
      <c r="O119" s="74" t="e">
        <f t="shared" si="59"/>
        <v>#REF!</v>
      </c>
      <c r="P119" s="75" t="e">
        <f t="shared" si="80"/>
        <v>#REF!</v>
      </c>
      <c r="Q119" s="75" t="e">
        <f t="shared" si="81"/>
        <v>#REF!</v>
      </c>
      <c r="R119" s="132"/>
      <c r="S119" s="133"/>
      <c r="T119" s="88"/>
      <c r="U119" s="88"/>
      <c r="V119" s="88"/>
      <c r="W119" s="88"/>
      <c r="X119" s="88"/>
      <c r="Y119" s="88"/>
      <c r="Z119" s="88"/>
      <c r="AA119" s="88"/>
      <c r="AB119" s="88"/>
    </row>
    <row r="120" spans="1:28" x14ac:dyDescent="0.25">
      <c r="A120" s="70" t="e">
        <f>'Actual Dates'!#REF!</f>
        <v>#REF!</v>
      </c>
      <c r="B120" s="71" t="e">
        <f>'Date Calcs'!#REF!</f>
        <v>#REF!</v>
      </c>
      <c r="C120" s="72" t="e">
        <f>'Date Calcs'!#REF!</f>
        <v>#REF!</v>
      </c>
      <c r="D120" s="73" t="e">
        <f t="shared" ref="D120:D121" si="82">WORKDAY(F120,-1,)</f>
        <v>#REF!</v>
      </c>
      <c r="E120" s="66" t="s">
        <v>67</v>
      </c>
      <c r="F120" s="73" t="e">
        <f>'Date Calcs'!#REF!</f>
        <v>#REF!</v>
      </c>
      <c r="G120" s="73" t="e">
        <f>IF(VLOOKUP(A120,'Actual Dates'!A4:AF248,8,),'Actual Dates'!#REF!,"")</f>
        <v>#REF!</v>
      </c>
      <c r="H120" s="73" t="e">
        <f t="shared" ref="H120:H121" si="83">WORKDAY(L120,3,)</f>
        <v>#REF!</v>
      </c>
      <c r="I120" s="73" t="e">
        <f>IF(VLOOKUP(A120,'Actual Dates'!A4:AF243,25,),'Actual Dates'!#REF!,"")</f>
        <v>#REF!</v>
      </c>
      <c r="J120" s="73" t="e">
        <f t="shared" ref="J120:J121" si="84">WORKDAY(L120,4,)</f>
        <v>#REF!</v>
      </c>
      <c r="K120" s="73" t="e">
        <f>IF(VLOOKUP(A120,'Actual Dates'!A4:AF271,26,),'Actual Dates'!#REF!,"")</f>
        <v>#REF!</v>
      </c>
      <c r="L120" s="73" t="e">
        <f>IF(VLOOKUP(A120,'Actual Dates'!A4:AF271,21,),'Actual Dates'!#REF!,"")</f>
        <v>#REF!</v>
      </c>
      <c r="M120" s="73" t="e">
        <f>'Date Calcs'!#REF!</f>
        <v>#REF!</v>
      </c>
      <c r="N120" s="73" t="e">
        <f>IF(VLOOKUP(A120,'Actual Dates'!A4:AF271,27,),'Actual Dates'!#REF!,"")</f>
        <v>#REF!</v>
      </c>
      <c r="O120" s="74" t="e">
        <f t="shared" si="59"/>
        <v>#REF!</v>
      </c>
      <c r="P120" s="75" t="e">
        <f t="shared" ref="P120:P121" si="85">F120-G120</f>
        <v>#REF!</v>
      </c>
      <c r="Q120" s="75" t="e">
        <f t="shared" ref="Q120:Q121" si="86">M120-N120</f>
        <v>#REF!</v>
      </c>
      <c r="R120" s="132"/>
      <c r="S120" s="133"/>
      <c r="T120" s="88"/>
      <c r="U120" s="88"/>
      <c r="V120" s="88"/>
      <c r="W120" s="88"/>
      <c r="X120" s="88"/>
      <c r="Y120" s="88"/>
      <c r="Z120" s="88"/>
      <c r="AA120" s="88"/>
      <c r="AB120" s="88"/>
    </row>
    <row r="121" spans="1:28" x14ac:dyDescent="0.25">
      <c r="A121" s="70" t="e">
        <f>'Actual Dates'!#REF!</f>
        <v>#REF!</v>
      </c>
      <c r="B121" s="71" t="e">
        <f>'Date Calcs'!#REF!</f>
        <v>#REF!</v>
      </c>
      <c r="C121" s="72" t="e">
        <f>'Date Calcs'!#REF!</f>
        <v>#REF!</v>
      </c>
      <c r="D121" s="73" t="e">
        <f t="shared" si="82"/>
        <v>#REF!</v>
      </c>
      <c r="E121" s="66" t="s">
        <v>67</v>
      </c>
      <c r="F121" s="73" t="e">
        <f>'Date Calcs'!#REF!</f>
        <v>#REF!</v>
      </c>
      <c r="G121" s="73" t="e">
        <f>IF(VLOOKUP(A121,'Actual Dates'!A4:AF249,8,),'Actual Dates'!#REF!,"")</f>
        <v>#REF!</v>
      </c>
      <c r="H121" s="73" t="e">
        <f t="shared" si="83"/>
        <v>#REF!</v>
      </c>
      <c r="I121" s="73" t="e">
        <f>IF(VLOOKUP(A121,'Actual Dates'!A4:AF244,25,),'Actual Dates'!#REF!,"")</f>
        <v>#REF!</v>
      </c>
      <c r="J121" s="73" t="e">
        <f t="shared" si="84"/>
        <v>#REF!</v>
      </c>
      <c r="K121" s="73" t="e">
        <f>IF(VLOOKUP(A121,'Actual Dates'!A4:AF272,26,),'Actual Dates'!#REF!,"")</f>
        <v>#REF!</v>
      </c>
      <c r="L121" s="73" t="e">
        <f>IF(VLOOKUP(A121,'Actual Dates'!A4:AF272,21,),'Actual Dates'!#REF!,"")</f>
        <v>#REF!</v>
      </c>
      <c r="M121" s="73" t="e">
        <f>'Date Calcs'!#REF!</f>
        <v>#REF!</v>
      </c>
      <c r="N121" s="73" t="e">
        <f>IF(VLOOKUP(A121,'Actual Dates'!A4:AF272,27,),'Actual Dates'!#REF!,"")</f>
        <v>#REF!</v>
      </c>
      <c r="O121" s="74" t="e">
        <f t="shared" si="59"/>
        <v>#REF!</v>
      </c>
      <c r="P121" s="75" t="e">
        <f t="shared" si="85"/>
        <v>#REF!</v>
      </c>
      <c r="Q121" s="75" t="e">
        <f t="shared" si="86"/>
        <v>#REF!</v>
      </c>
      <c r="R121" s="132"/>
      <c r="S121" s="133"/>
      <c r="T121" s="88"/>
      <c r="U121" s="88"/>
      <c r="V121" s="88"/>
      <c r="W121" s="88"/>
      <c r="X121" s="88"/>
      <c r="Y121" s="88"/>
      <c r="Z121" s="88"/>
      <c r="AA121" s="88"/>
      <c r="AB121" s="88"/>
    </row>
    <row r="122" spans="1:28" x14ac:dyDescent="0.25">
      <c r="A122" s="70" t="e">
        <f>'Actual Dates'!#REF!</f>
        <v>#REF!</v>
      </c>
      <c r="B122" s="71" t="e">
        <f>'Date Calcs'!#REF!</f>
        <v>#REF!</v>
      </c>
      <c r="C122" s="72" t="e">
        <f>'Date Calcs'!#REF!</f>
        <v>#REF!</v>
      </c>
      <c r="D122" s="73" t="e">
        <f t="shared" ref="D122" si="87">WORKDAY(F122,-1,)</f>
        <v>#REF!</v>
      </c>
      <c r="E122" s="66" t="s">
        <v>67</v>
      </c>
      <c r="F122" s="73" t="e">
        <f>'Date Calcs'!#REF!</f>
        <v>#REF!</v>
      </c>
      <c r="G122" s="73" t="e">
        <f>IF(VLOOKUP(A122,'Actual Dates'!A4:AF250,8,),'Actual Dates'!#REF!,"")</f>
        <v>#REF!</v>
      </c>
      <c r="H122" s="73" t="e">
        <f t="shared" ref="H122" si="88">WORKDAY(L122,3,)</f>
        <v>#REF!</v>
      </c>
      <c r="I122" s="73" t="e">
        <f>IF(VLOOKUP(A122,'Actual Dates'!A4:AF245,25,),'Actual Dates'!#REF!,"")</f>
        <v>#REF!</v>
      </c>
      <c r="J122" s="73" t="e">
        <f t="shared" ref="J122" si="89">WORKDAY(L122,4,)</f>
        <v>#REF!</v>
      </c>
      <c r="K122" s="73" t="e">
        <f>IF(VLOOKUP(A122,'Actual Dates'!A4:AF273,26,),'Actual Dates'!#REF!,"")</f>
        <v>#REF!</v>
      </c>
      <c r="L122" s="73" t="e">
        <f>IF(VLOOKUP(A122,'Actual Dates'!A4:AF273,21,),'Actual Dates'!#REF!,"")</f>
        <v>#REF!</v>
      </c>
      <c r="M122" s="73" t="e">
        <f>'Date Calcs'!#REF!</f>
        <v>#REF!</v>
      </c>
      <c r="N122" s="73" t="e">
        <f>IF(VLOOKUP(A122,'Actual Dates'!A4:AF273,27,),'Actual Dates'!#REF!,"")</f>
        <v>#REF!</v>
      </c>
      <c r="O122" s="74" t="e">
        <f t="shared" si="59"/>
        <v>#REF!</v>
      </c>
      <c r="P122" s="75" t="e">
        <f t="shared" ref="P122" si="90">F122-G122</f>
        <v>#REF!</v>
      </c>
      <c r="Q122" s="75" t="e">
        <f t="shared" ref="Q122" si="91">M122-N122</f>
        <v>#REF!</v>
      </c>
      <c r="R122" s="132"/>
      <c r="S122" s="133"/>
      <c r="T122" s="88"/>
      <c r="U122" s="88"/>
      <c r="V122" s="88"/>
      <c r="W122" s="88"/>
      <c r="X122" s="88"/>
      <c r="Y122" s="88"/>
      <c r="Z122" s="88"/>
      <c r="AA122" s="88"/>
      <c r="AB122" s="88"/>
    </row>
    <row r="123" spans="1:28" x14ac:dyDescent="0.25">
      <c r="A123" s="70" t="e">
        <f>'Actual Dates'!#REF!</f>
        <v>#REF!</v>
      </c>
      <c r="B123" s="71" t="e">
        <f>'Date Calcs'!#REF!</f>
        <v>#REF!</v>
      </c>
      <c r="C123" s="72" t="e">
        <f>'Date Calcs'!#REF!</f>
        <v>#REF!</v>
      </c>
      <c r="D123" s="73" t="e">
        <f t="shared" ref="D123:D146" si="92">WORKDAY(F123,-1,)</f>
        <v>#REF!</v>
      </c>
      <c r="E123" s="66" t="s">
        <v>67</v>
      </c>
      <c r="F123" s="73" t="e">
        <f>'Date Calcs'!#REF!</f>
        <v>#REF!</v>
      </c>
      <c r="G123" s="73" t="e">
        <f>IF(VLOOKUP(A123,'Actual Dates'!A4:AF251,8,),'Actual Dates'!#REF!,"")</f>
        <v>#REF!</v>
      </c>
      <c r="H123" s="73" t="e">
        <f t="shared" ref="H123:H162" si="93">WORKDAY(L123,3,)</f>
        <v>#REF!</v>
      </c>
      <c r="I123" s="73" t="e">
        <f>IF(VLOOKUP(A123,'Actual Dates'!A4:AF246,25,),'Actual Dates'!#REF!,"")</f>
        <v>#REF!</v>
      </c>
      <c r="J123" s="73" t="e">
        <f t="shared" ref="J123:J162" si="94">WORKDAY(L123,4,)</f>
        <v>#REF!</v>
      </c>
      <c r="K123" s="73" t="e">
        <f>IF(VLOOKUP(A123,'Actual Dates'!A4:AF274,26,),'Actual Dates'!#REF!,"")</f>
        <v>#REF!</v>
      </c>
      <c r="L123" s="73" t="e">
        <f>IF(VLOOKUP(A123,'Actual Dates'!A4:AF274,21,),'Actual Dates'!#REF!,"")</f>
        <v>#REF!</v>
      </c>
      <c r="M123" s="73" t="e">
        <f>'Date Calcs'!#REF!</f>
        <v>#REF!</v>
      </c>
      <c r="N123" s="73" t="e">
        <f>IF(VLOOKUP(A123,'Actual Dates'!A4:AF274,27,),'Actual Dates'!#REF!,"")</f>
        <v>#REF!</v>
      </c>
      <c r="O123" s="74" t="e">
        <f t="shared" si="59"/>
        <v>#REF!</v>
      </c>
      <c r="P123" s="75" t="e">
        <f t="shared" ref="P123:P146" si="95">F123-G123</f>
        <v>#REF!</v>
      </c>
      <c r="Q123" s="75" t="e">
        <f t="shared" ref="Q123:Q146" si="96">M123-N123</f>
        <v>#REF!</v>
      </c>
      <c r="R123" s="132"/>
      <c r="S123" s="133"/>
      <c r="T123" s="88"/>
      <c r="U123" s="88"/>
      <c r="V123" s="88"/>
      <c r="W123" s="88"/>
      <c r="X123" s="88"/>
      <c r="Y123" s="88"/>
      <c r="Z123" s="88"/>
      <c r="AA123" s="88"/>
      <c r="AB123" s="88"/>
    </row>
    <row r="124" spans="1:28" x14ac:dyDescent="0.25">
      <c r="A124" s="70" t="e">
        <f>'Actual Dates'!#REF!</f>
        <v>#REF!</v>
      </c>
      <c r="B124" s="71" t="e">
        <f>'Date Calcs'!#REF!</f>
        <v>#REF!</v>
      </c>
      <c r="C124" s="72" t="e">
        <f>'Date Calcs'!#REF!</f>
        <v>#REF!</v>
      </c>
      <c r="D124" s="73" t="e">
        <f t="shared" si="92"/>
        <v>#REF!</v>
      </c>
      <c r="E124" s="66" t="s">
        <v>67</v>
      </c>
      <c r="F124" s="73" t="e">
        <f>'Date Calcs'!#REF!</f>
        <v>#REF!</v>
      </c>
      <c r="G124" s="73" t="e">
        <f>IF(VLOOKUP(A124,'Actual Dates'!A4:AF252,8,),'Actual Dates'!#REF!,"")</f>
        <v>#REF!</v>
      </c>
      <c r="H124" s="73" t="e">
        <f t="shared" si="93"/>
        <v>#REF!</v>
      </c>
      <c r="I124" s="73" t="e">
        <f>IF(VLOOKUP(A124,'Actual Dates'!A4:AF247,25,),'Actual Dates'!#REF!,"")</f>
        <v>#REF!</v>
      </c>
      <c r="J124" s="73" t="e">
        <f t="shared" si="94"/>
        <v>#REF!</v>
      </c>
      <c r="K124" s="73" t="e">
        <f>IF(VLOOKUP(A124,'Actual Dates'!A4:AF275,26,),'Actual Dates'!#REF!,"")</f>
        <v>#REF!</v>
      </c>
      <c r="L124" s="73" t="e">
        <f>IF(VLOOKUP(A124,'Actual Dates'!A4:AF275,21,),'Actual Dates'!#REF!,"")</f>
        <v>#REF!</v>
      </c>
      <c r="M124" s="73" t="e">
        <f>'Date Calcs'!#REF!</f>
        <v>#REF!</v>
      </c>
      <c r="N124" s="73" t="e">
        <f>IF(VLOOKUP(A124,'Actual Dates'!A4:AF275,27,),'Actual Dates'!#REF!,"")</f>
        <v>#REF!</v>
      </c>
      <c r="O124" s="74" t="e">
        <f t="shared" si="59"/>
        <v>#REF!</v>
      </c>
      <c r="P124" s="75" t="e">
        <f t="shared" si="95"/>
        <v>#REF!</v>
      </c>
      <c r="Q124" s="75" t="e">
        <f t="shared" si="96"/>
        <v>#REF!</v>
      </c>
      <c r="R124" s="132"/>
      <c r="S124" s="133"/>
      <c r="T124" s="88"/>
      <c r="U124" s="88"/>
      <c r="V124" s="88"/>
      <c r="W124" s="88"/>
      <c r="X124" s="88"/>
      <c r="Y124" s="88"/>
      <c r="Z124" s="88"/>
      <c r="AA124" s="88"/>
      <c r="AB124" s="88"/>
    </row>
    <row r="125" spans="1:28" x14ac:dyDescent="0.25">
      <c r="A125" s="70" t="e">
        <f>'Actual Dates'!#REF!</f>
        <v>#REF!</v>
      </c>
      <c r="B125" s="71" t="e">
        <f>'Date Calcs'!#REF!</f>
        <v>#REF!</v>
      </c>
      <c r="C125" s="72" t="e">
        <f>'Date Calcs'!#REF!</f>
        <v>#REF!</v>
      </c>
      <c r="D125" s="73" t="e">
        <f t="shared" si="92"/>
        <v>#REF!</v>
      </c>
      <c r="E125" s="66" t="s">
        <v>67</v>
      </c>
      <c r="F125" s="73" t="e">
        <f>'Date Calcs'!#REF!</f>
        <v>#REF!</v>
      </c>
      <c r="G125" s="73" t="e">
        <f>IF(VLOOKUP(A125,'Actual Dates'!A4:AF253,8,),'Actual Dates'!#REF!,"")</f>
        <v>#REF!</v>
      </c>
      <c r="H125" s="73" t="e">
        <f t="shared" si="93"/>
        <v>#REF!</v>
      </c>
      <c r="I125" s="73" t="e">
        <f>IF(VLOOKUP(A125,'Actual Dates'!A4:AF248,25,),'Actual Dates'!#REF!,"")</f>
        <v>#REF!</v>
      </c>
      <c r="J125" s="73" t="e">
        <f t="shared" si="94"/>
        <v>#REF!</v>
      </c>
      <c r="K125" s="73" t="e">
        <f>IF(VLOOKUP(A125,'Actual Dates'!A4:AF276,26,),'Actual Dates'!#REF!,"")</f>
        <v>#REF!</v>
      </c>
      <c r="L125" s="73" t="e">
        <f>IF(VLOOKUP(A125,'Actual Dates'!A4:AF276,21,),'Actual Dates'!#REF!,"")</f>
        <v>#REF!</v>
      </c>
      <c r="M125" s="73" t="e">
        <f>'Date Calcs'!#REF!</f>
        <v>#REF!</v>
      </c>
      <c r="N125" s="73" t="e">
        <f>IF(VLOOKUP(A125,'Actual Dates'!A4:AF276,27,),'Actual Dates'!#REF!,"")</f>
        <v>#REF!</v>
      </c>
      <c r="O125" s="74" t="e">
        <f t="shared" si="59"/>
        <v>#REF!</v>
      </c>
      <c r="P125" s="75" t="e">
        <f t="shared" si="95"/>
        <v>#REF!</v>
      </c>
      <c r="Q125" s="75" t="e">
        <f t="shared" si="96"/>
        <v>#REF!</v>
      </c>
      <c r="R125" s="132"/>
      <c r="S125" s="133"/>
      <c r="T125" s="88"/>
      <c r="U125" s="88"/>
      <c r="V125" s="88"/>
      <c r="W125" s="88"/>
      <c r="X125" s="88"/>
      <c r="Y125" s="88"/>
      <c r="Z125" s="88"/>
      <c r="AA125" s="88"/>
      <c r="AB125" s="88"/>
    </row>
    <row r="126" spans="1:28" x14ac:dyDescent="0.25">
      <c r="A126" s="70" t="e">
        <f>'Actual Dates'!#REF!</f>
        <v>#REF!</v>
      </c>
      <c r="B126" s="71" t="e">
        <f>'Date Calcs'!#REF!</f>
        <v>#REF!</v>
      </c>
      <c r="C126" s="72" t="e">
        <f>'Date Calcs'!#REF!</f>
        <v>#REF!</v>
      </c>
      <c r="D126" s="73" t="e">
        <f t="shared" si="92"/>
        <v>#REF!</v>
      </c>
      <c r="E126" s="66" t="s">
        <v>67</v>
      </c>
      <c r="F126" s="73" t="e">
        <f>'Date Calcs'!#REF!</f>
        <v>#REF!</v>
      </c>
      <c r="G126" s="73" t="e">
        <f>IF(VLOOKUP(A126,'Actual Dates'!A4:AF254,8,),'Actual Dates'!#REF!,"")</f>
        <v>#REF!</v>
      </c>
      <c r="H126" s="73" t="e">
        <f t="shared" si="93"/>
        <v>#REF!</v>
      </c>
      <c r="I126" s="73" t="e">
        <f>IF(VLOOKUP(A126,'Actual Dates'!A4:AF249,25,),'Actual Dates'!#REF!,"")</f>
        <v>#REF!</v>
      </c>
      <c r="J126" s="73" t="e">
        <f t="shared" si="94"/>
        <v>#REF!</v>
      </c>
      <c r="K126" s="73" t="e">
        <f>IF(VLOOKUP(A126,'Actual Dates'!A4:AF277,26,),'Actual Dates'!#REF!,"")</f>
        <v>#REF!</v>
      </c>
      <c r="L126" s="73" t="e">
        <f>IF(VLOOKUP(A126,'Actual Dates'!A4:AF277,21,),'Actual Dates'!#REF!,"")</f>
        <v>#REF!</v>
      </c>
      <c r="M126" s="73" t="e">
        <f>'Date Calcs'!#REF!</f>
        <v>#REF!</v>
      </c>
      <c r="N126" s="73" t="e">
        <f>IF(VLOOKUP(A126,'Actual Dates'!A4:AF277,27,),'Actual Dates'!#REF!,"")</f>
        <v>#REF!</v>
      </c>
      <c r="O126" s="74" t="e">
        <f t="shared" si="59"/>
        <v>#REF!</v>
      </c>
      <c r="P126" s="75" t="e">
        <f t="shared" si="95"/>
        <v>#REF!</v>
      </c>
      <c r="Q126" s="75" t="e">
        <f t="shared" si="96"/>
        <v>#REF!</v>
      </c>
      <c r="R126" s="132"/>
      <c r="S126" s="133"/>
      <c r="T126" s="88"/>
      <c r="U126" s="88"/>
      <c r="V126" s="88"/>
      <c r="W126" s="88"/>
      <c r="X126" s="88"/>
      <c r="Y126" s="88"/>
      <c r="Z126" s="88"/>
      <c r="AA126" s="88"/>
      <c r="AB126" s="88"/>
    </row>
    <row r="127" spans="1:28" x14ac:dyDescent="0.25">
      <c r="A127" s="70" t="e">
        <f>'Actual Dates'!#REF!</f>
        <v>#REF!</v>
      </c>
      <c r="B127" s="71" t="e">
        <f>'Date Calcs'!#REF!</f>
        <v>#REF!</v>
      </c>
      <c r="C127" s="72" t="e">
        <f>'Date Calcs'!#REF!</f>
        <v>#REF!</v>
      </c>
      <c r="D127" s="73" t="e">
        <f t="shared" si="92"/>
        <v>#REF!</v>
      </c>
      <c r="E127" s="66" t="s">
        <v>67</v>
      </c>
      <c r="F127" s="73" t="e">
        <f>'Date Calcs'!#REF!</f>
        <v>#REF!</v>
      </c>
      <c r="G127" s="73" t="e">
        <f>IF(VLOOKUP(A127,'Actual Dates'!A4:AF255,8,),'Actual Dates'!#REF!,"")</f>
        <v>#REF!</v>
      </c>
      <c r="H127" s="73" t="e">
        <f t="shared" si="93"/>
        <v>#REF!</v>
      </c>
      <c r="I127" s="73" t="e">
        <f>IF(VLOOKUP(A127,'Actual Dates'!A4:AF250,25,),'Actual Dates'!#REF!,"")</f>
        <v>#REF!</v>
      </c>
      <c r="J127" s="73" t="e">
        <f t="shared" si="94"/>
        <v>#REF!</v>
      </c>
      <c r="K127" s="73" t="e">
        <f>IF(VLOOKUP(A127,'Actual Dates'!A4:AF278,26,),'Actual Dates'!#REF!,"")</f>
        <v>#REF!</v>
      </c>
      <c r="L127" s="73" t="e">
        <f>IF(VLOOKUP(A127,'Actual Dates'!A4:AF278,21,),'Actual Dates'!#REF!,"")</f>
        <v>#REF!</v>
      </c>
      <c r="M127" s="73" t="e">
        <f>'Date Calcs'!#REF!</f>
        <v>#REF!</v>
      </c>
      <c r="N127" s="73" t="e">
        <f>IF(VLOOKUP(A127,'Actual Dates'!A4:AF278,27,),'Actual Dates'!#REF!,"")</f>
        <v>#REF!</v>
      </c>
      <c r="O127" s="74" t="e">
        <f t="shared" si="59"/>
        <v>#REF!</v>
      </c>
      <c r="P127" s="75" t="e">
        <f t="shared" si="95"/>
        <v>#REF!</v>
      </c>
      <c r="Q127" s="75" t="e">
        <f t="shared" si="96"/>
        <v>#REF!</v>
      </c>
      <c r="R127" s="132"/>
      <c r="S127" s="133"/>
      <c r="T127" s="88"/>
      <c r="U127" s="88"/>
      <c r="V127" s="88"/>
      <c r="W127" s="88"/>
      <c r="X127" s="88"/>
      <c r="Y127" s="88"/>
      <c r="Z127" s="88"/>
      <c r="AA127" s="88"/>
      <c r="AB127" s="88"/>
    </row>
    <row r="128" spans="1:28" x14ac:dyDescent="0.25">
      <c r="A128" s="70" t="e">
        <f>'Actual Dates'!#REF!</f>
        <v>#REF!</v>
      </c>
      <c r="B128" s="71" t="e">
        <f>'Date Calcs'!#REF!</f>
        <v>#REF!</v>
      </c>
      <c r="C128" s="72" t="e">
        <f>'Date Calcs'!#REF!</f>
        <v>#REF!</v>
      </c>
      <c r="D128" s="73" t="e">
        <f t="shared" si="92"/>
        <v>#REF!</v>
      </c>
      <c r="E128" s="66" t="s">
        <v>67</v>
      </c>
      <c r="F128" s="73" t="e">
        <f>'Date Calcs'!#REF!</f>
        <v>#REF!</v>
      </c>
      <c r="G128" s="73" t="e">
        <f>IF(VLOOKUP(A128,'Actual Dates'!A4:AF256,8,),'Actual Dates'!#REF!,"")</f>
        <v>#REF!</v>
      </c>
      <c r="H128" s="73" t="e">
        <f t="shared" si="93"/>
        <v>#REF!</v>
      </c>
      <c r="I128" s="73" t="e">
        <f>IF(VLOOKUP(A128,'Actual Dates'!A4:AF251,25,),'Actual Dates'!#REF!,"")</f>
        <v>#REF!</v>
      </c>
      <c r="J128" s="73" t="e">
        <f t="shared" si="94"/>
        <v>#REF!</v>
      </c>
      <c r="K128" s="73" t="e">
        <f>IF(VLOOKUP(A128,'Actual Dates'!A4:AF279,26,),'Actual Dates'!#REF!,"")</f>
        <v>#REF!</v>
      </c>
      <c r="L128" s="73" t="e">
        <f>IF(VLOOKUP(A128,'Actual Dates'!A4:AF279,21,),'Actual Dates'!#REF!,"")</f>
        <v>#REF!</v>
      </c>
      <c r="M128" s="73" t="e">
        <f>'Date Calcs'!#REF!</f>
        <v>#REF!</v>
      </c>
      <c r="N128" s="73" t="e">
        <f>IF(VLOOKUP(A128,'Actual Dates'!A4:AF279,27,),'Actual Dates'!#REF!,"")</f>
        <v>#REF!</v>
      </c>
      <c r="O128" s="74" t="e">
        <f t="shared" si="59"/>
        <v>#REF!</v>
      </c>
      <c r="P128" s="75" t="e">
        <f t="shared" si="95"/>
        <v>#REF!</v>
      </c>
      <c r="Q128" s="75" t="e">
        <f t="shared" si="96"/>
        <v>#REF!</v>
      </c>
      <c r="R128" s="132"/>
      <c r="S128" s="133"/>
      <c r="T128" s="88"/>
      <c r="U128" s="88"/>
      <c r="V128" s="88"/>
      <c r="W128" s="88"/>
      <c r="X128" s="88"/>
      <c r="Y128" s="88"/>
      <c r="Z128" s="88"/>
      <c r="AA128" s="88"/>
      <c r="AB128" s="88"/>
    </row>
    <row r="129" spans="1:28" x14ac:dyDescent="0.25">
      <c r="A129" s="70" t="e">
        <f>'Actual Dates'!#REF!</f>
        <v>#REF!</v>
      </c>
      <c r="B129" s="71" t="e">
        <f>'Date Calcs'!#REF!</f>
        <v>#REF!</v>
      </c>
      <c r="C129" s="72" t="e">
        <f>'Date Calcs'!#REF!</f>
        <v>#REF!</v>
      </c>
      <c r="D129" s="73" t="e">
        <f t="shared" si="92"/>
        <v>#REF!</v>
      </c>
      <c r="E129" s="66" t="s">
        <v>67</v>
      </c>
      <c r="F129" s="73" t="e">
        <f>'Date Calcs'!#REF!</f>
        <v>#REF!</v>
      </c>
      <c r="G129" s="73" t="e">
        <f>IF(VLOOKUP(A129,'Actual Dates'!A4:AF257,8,),'Actual Dates'!#REF!,"")</f>
        <v>#REF!</v>
      </c>
      <c r="H129" s="73" t="e">
        <f t="shared" si="93"/>
        <v>#REF!</v>
      </c>
      <c r="I129" s="73" t="e">
        <f>IF(VLOOKUP(A129,'Actual Dates'!A4:AF252,25,),'Actual Dates'!#REF!,"")</f>
        <v>#REF!</v>
      </c>
      <c r="J129" s="73" t="e">
        <f t="shared" si="94"/>
        <v>#REF!</v>
      </c>
      <c r="K129" s="73" t="e">
        <f>IF(VLOOKUP(A129,'Actual Dates'!A4:AF280,26,),'Actual Dates'!#REF!,"")</f>
        <v>#REF!</v>
      </c>
      <c r="L129" s="73" t="e">
        <f>IF(VLOOKUP(A129,'Actual Dates'!A4:AF280,21,),'Actual Dates'!#REF!,"")</f>
        <v>#REF!</v>
      </c>
      <c r="M129" s="73" t="e">
        <f>'Date Calcs'!#REF!</f>
        <v>#REF!</v>
      </c>
      <c r="N129" s="73" t="e">
        <f>IF(VLOOKUP(A129,'Actual Dates'!A4:AF280,27,),'Actual Dates'!#REF!,"")</f>
        <v>#REF!</v>
      </c>
      <c r="O129" s="74" t="e">
        <f t="shared" si="59"/>
        <v>#REF!</v>
      </c>
      <c r="P129" s="75" t="e">
        <f t="shared" si="95"/>
        <v>#REF!</v>
      </c>
      <c r="Q129" s="75" t="e">
        <f t="shared" si="96"/>
        <v>#REF!</v>
      </c>
      <c r="R129" s="132"/>
      <c r="S129" s="133"/>
      <c r="T129" s="88"/>
      <c r="U129" s="88"/>
      <c r="V129" s="88"/>
      <c r="W129" s="88"/>
      <c r="X129" s="88"/>
      <c r="Y129" s="88"/>
      <c r="Z129" s="88"/>
      <c r="AA129" s="88"/>
      <c r="AB129" s="88"/>
    </row>
    <row r="130" spans="1:28" x14ac:dyDescent="0.25">
      <c r="A130" s="70" t="e">
        <f>'Actual Dates'!#REF!</f>
        <v>#REF!</v>
      </c>
      <c r="B130" s="71" t="e">
        <f>'Date Calcs'!#REF!</f>
        <v>#REF!</v>
      </c>
      <c r="C130" s="72" t="e">
        <f>'Date Calcs'!#REF!</f>
        <v>#REF!</v>
      </c>
      <c r="D130" s="73" t="e">
        <f t="shared" si="92"/>
        <v>#REF!</v>
      </c>
      <c r="E130" s="66" t="s">
        <v>67</v>
      </c>
      <c r="F130" s="73" t="e">
        <f>'Date Calcs'!#REF!</f>
        <v>#REF!</v>
      </c>
      <c r="G130" s="73" t="e">
        <f>IF(VLOOKUP(A130,'Actual Dates'!A4:AF258,8,),'Actual Dates'!#REF!,"")</f>
        <v>#REF!</v>
      </c>
      <c r="H130" s="73" t="e">
        <f t="shared" si="93"/>
        <v>#REF!</v>
      </c>
      <c r="I130" s="73" t="e">
        <f>IF(VLOOKUP(A130,'Actual Dates'!A4:AF253,25,),'Actual Dates'!#REF!,"")</f>
        <v>#REF!</v>
      </c>
      <c r="J130" s="73" t="e">
        <f t="shared" si="94"/>
        <v>#REF!</v>
      </c>
      <c r="K130" s="73" t="e">
        <f>IF(VLOOKUP(A130,'Actual Dates'!A4:AF281,26,),'Actual Dates'!#REF!,"")</f>
        <v>#REF!</v>
      </c>
      <c r="L130" s="73" t="e">
        <f>IF(VLOOKUP(A130,'Actual Dates'!A4:AF281,21,),'Actual Dates'!#REF!,"")</f>
        <v>#REF!</v>
      </c>
      <c r="M130" s="73" t="e">
        <f>'Date Calcs'!#REF!</f>
        <v>#REF!</v>
      </c>
      <c r="N130" s="73" t="e">
        <f>IF(VLOOKUP(A130,'Actual Dates'!A4:AF281,27,),'Actual Dates'!#REF!,"")</f>
        <v>#REF!</v>
      </c>
      <c r="O130" s="74" t="e">
        <f t="shared" si="59"/>
        <v>#REF!</v>
      </c>
      <c r="P130" s="75" t="e">
        <f t="shared" si="95"/>
        <v>#REF!</v>
      </c>
      <c r="Q130" s="75" t="e">
        <f t="shared" si="96"/>
        <v>#REF!</v>
      </c>
      <c r="R130" s="132"/>
      <c r="S130" s="133"/>
      <c r="T130" s="88"/>
      <c r="U130" s="88"/>
      <c r="V130" s="88"/>
      <c r="W130" s="88"/>
      <c r="X130" s="88"/>
      <c r="Y130" s="88"/>
      <c r="Z130" s="88"/>
      <c r="AA130" s="88"/>
      <c r="AB130" s="88"/>
    </row>
    <row r="131" spans="1:28" x14ac:dyDescent="0.25">
      <c r="A131" s="70" t="e">
        <f>'Actual Dates'!#REF!</f>
        <v>#REF!</v>
      </c>
      <c r="B131" s="71" t="e">
        <f>'Date Calcs'!#REF!</f>
        <v>#REF!</v>
      </c>
      <c r="C131" s="72" t="e">
        <f>'Date Calcs'!#REF!</f>
        <v>#REF!</v>
      </c>
      <c r="D131" s="73" t="e">
        <f t="shared" si="92"/>
        <v>#REF!</v>
      </c>
      <c r="E131" s="66" t="s">
        <v>67</v>
      </c>
      <c r="F131" s="73" t="e">
        <f>'Date Calcs'!#REF!</f>
        <v>#REF!</v>
      </c>
      <c r="G131" s="73" t="e">
        <f>IF(VLOOKUP(A131,'Actual Dates'!A4:AF259,8,),'Actual Dates'!#REF!,"")</f>
        <v>#REF!</v>
      </c>
      <c r="H131" s="73" t="e">
        <f t="shared" si="93"/>
        <v>#REF!</v>
      </c>
      <c r="I131" s="73" t="e">
        <f>IF(VLOOKUP(A131,'Actual Dates'!A4:AF254,25,),'Actual Dates'!#REF!,"")</f>
        <v>#REF!</v>
      </c>
      <c r="J131" s="73" t="e">
        <f t="shared" si="94"/>
        <v>#REF!</v>
      </c>
      <c r="K131" s="73" t="e">
        <f>IF(VLOOKUP(A131,'Actual Dates'!A4:AF282,26,),'Actual Dates'!#REF!,"")</f>
        <v>#REF!</v>
      </c>
      <c r="L131" s="73" t="e">
        <f>IF(VLOOKUP(A131,'Actual Dates'!A4:AF282,21,),'Actual Dates'!#REF!,"")</f>
        <v>#REF!</v>
      </c>
      <c r="M131" s="73" t="e">
        <f>'Date Calcs'!#REF!</f>
        <v>#REF!</v>
      </c>
      <c r="N131" s="73" t="e">
        <f>IF(VLOOKUP(A131,'Actual Dates'!A4:AF282,27,),'Actual Dates'!#REF!,"")</f>
        <v>#REF!</v>
      </c>
      <c r="O131" s="74" t="e">
        <f t="shared" si="59"/>
        <v>#REF!</v>
      </c>
      <c r="P131" s="75" t="e">
        <f t="shared" si="95"/>
        <v>#REF!</v>
      </c>
      <c r="Q131" s="75" t="e">
        <f t="shared" si="96"/>
        <v>#REF!</v>
      </c>
      <c r="R131" s="132"/>
      <c r="S131" s="133"/>
      <c r="T131" s="88"/>
      <c r="U131" s="88"/>
      <c r="V131" s="88"/>
      <c r="W131" s="88"/>
      <c r="X131" s="88"/>
      <c r="Y131" s="88"/>
      <c r="Z131" s="88"/>
      <c r="AA131" s="88"/>
      <c r="AB131" s="88"/>
    </row>
    <row r="132" spans="1:28" x14ac:dyDescent="0.25">
      <c r="A132" s="70" t="e">
        <f>'Actual Dates'!#REF!</f>
        <v>#REF!</v>
      </c>
      <c r="B132" s="71" t="e">
        <f>'Date Calcs'!#REF!</f>
        <v>#REF!</v>
      </c>
      <c r="C132" s="72" t="e">
        <f>'Date Calcs'!#REF!</f>
        <v>#REF!</v>
      </c>
      <c r="D132" s="73" t="e">
        <f t="shared" si="92"/>
        <v>#REF!</v>
      </c>
      <c r="E132" s="66" t="s">
        <v>67</v>
      </c>
      <c r="F132" s="73" t="e">
        <f>'Date Calcs'!#REF!</f>
        <v>#REF!</v>
      </c>
      <c r="G132" s="73" t="e">
        <f>IF(VLOOKUP(A132,'Actual Dates'!A4:AF260,8,),'Actual Dates'!#REF!,"")</f>
        <v>#REF!</v>
      </c>
      <c r="H132" s="73" t="e">
        <f t="shared" si="93"/>
        <v>#REF!</v>
      </c>
      <c r="I132" s="73" t="e">
        <f>IF(VLOOKUP(A132,'Actual Dates'!A4:AF255,25,),'Actual Dates'!#REF!,"")</f>
        <v>#REF!</v>
      </c>
      <c r="J132" s="73" t="e">
        <f t="shared" si="94"/>
        <v>#REF!</v>
      </c>
      <c r="K132" s="73" t="e">
        <f>IF(VLOOKUP(A132,'Actual Dates'!A4:AF283,26,),'Actual Dates'!#REF!,"")</f>
        <v>#REF!</v>
      </c>
      <c r="L132" s="73" t="e">
        <f>IF(VLOOKUP(A132,'Actual Dates'!A4:AF283,21,),'Actual Dates'!#REF!,"")</f>
        <v>#REF!</v>
      </c>
      <c r="M132" s="73" t="e">
        <f>'Date Calcs'!#REF!</f>
        <v>#REF!</v>
      </c>
      <c r="N132" s="73" t="e">
        <f>IF(VLOOKUP(A132,'Actual Dates'!A4:AF283,27,),'Actual Dates'!#REF!,"")</f>
        <v>#REF!</v>
      </c>
      <c r="O132" s="74" t="e">
        <f t="shared" si="59"/>
        <v>#REF!</v>
      </c>
      <c r="P132" s="75" t="e">
        <f t="shared" si="95"/>
        <v>#REF!</v>
      </c>
      <c r="Q132" s="75" t="e">
        <f t="shared" si="96"/>
        <v>#REF!</v>
      </c>
      <c r="R132" s="132"/>
      <c r="S132" s="133"/>
      <c r="T132" s="88"/>
      <c r="U132" s="88"/>
      <c r="V132" s="88"/>
      <c r="W132" s="88"/>
      <c r="X132" s="88"/>
      <c r="Y132" s="88"/>
      <c r="Z132" s="88"/>
      <c r="AA132" s="88"/>
      <c r="AB132" s="88"/>
    </row>
    <row r="133" spans="1:28" x14ac:dyDescent="0.25">
      <c r="A133" s="70" t="e">
        <f>'Actual Dates'!#REF!</f>
        <v>#REF!</v>
      </c>
      <c r="B133" s="71" t="e">
        <f>'Date Calcs'!#REF!</f>
        <v>#REF!</v>
      </c>
      <c r="C133" s="72" t="e">
        <f>'Date Calcs'!#REF!</f>
        <v>#REF!</v>
      </c>
      <c r="D133" s="73" t="e">
        <f t="shared" si="92"/>
        <v>#REF!</v>
      </c>
      <c r="E133" s="66" t="s">
        <v>67</v>
      </c>
      <c r="F133" s="73" t="e">
        <f>'Date Calcs'!#REF!</f>
        <v>#REF!</v>
      </c>
      <c r="G133" s="73" t="e">
        <f>IF(VLOOKUP(A133,'Actual Dates'!A4:AF261,8,),'Actual Dates'!#REF!,"")</f>
        <v>#REF!</v>
      </c>
      <c r="H133" s="73" t="e">
        <f t="shared" si="93"/>
        <v>#REF!</v>
      </c>
      <c r="I133" s="73" t="e">
        <f>IF(VLOOKUP(A133,'Actual Dates'!A4:AF256,25,),'Actual Dates'!#REF!,"")</f>
        <v>#REF!</v>
      </c>
      <c r="J133" s="73" t="e">
        <f t="shared" si="94"/>
        <v>#REF!</v>
      </c>
      <c r="K133" s="73" t="e">
        <f>IF(VLOOKUP(A133,'Actual Dates'!A4:AF284,26,),'Actual Dates'!#REF!,"")</f>
        <v>#REF!</v>
      </c>
      <c r="L133" s="73" t="e">
        <f>IF(VLOOKUP(A133,'Actual Dates'!A4:AF284,21,),'Actual Dates'!#REF!,"")</f>
        <v>#REF!</v>
      </c>
      <c r="M133" s="73" t="e">
        <f>'Date Calcs'!#REF!</f>
        <v>#REF!</v>
      </c>
      <c r="N133" s="73" t="e">
        <f>IF(VLOOKUP(A133,'Actual Dates'!A4:AF284,27,),'Actual Dates'!#REF!,"")</f>
        <v>#REF!</v>
      </c>
      <c r="O133" s="74" t="e">
        <f t="shared" si="59"/>
        <v>#REF!</v>
      </c>
      <c r="P133" s="75" t="e">
        <f t="shared" si="95"/>
        <v>#REF!</v>
      </c>
      <c r="Q133" s="75" t="e">
        <f t="shared" si="96"/>
        <v>#REF!</v>
      </c>
      <c r="R133" s="132"/>
      <c r="S133" s="133"/>
      <c r="T133" s="88"/>
      <c r="U133" s="88"/>
      <c r="V133" s="88"/>
      <c r="W133" s="88"/>
      <c r="X133" s="88"/>
      <c r="Y133" s="88"/>
      <c r="Z133" s="88"/>
      <c r="AA133" s="88"/>
      <c r="AB133" s="88"/>
    </row>
    <row r="134" spans="1:28" x14ac:dyDescent="0.25">
      <c r="A134" s="70" t="e">
        <f>'Actual Dates'!#REF!</f>
        <v>#REF!</v>
      </c>
      <c r="B134" s="71" t="e">
        <f>'Date Calcs'!#REF!</f>
        <v>#REF!</v>
      </c>
      <c r="C134" s="72" t="e">
        <f>'Date Calcs'!#REF!</f>
        <v>#REF!</v>
      </c>
      <c r="D134" s="73" t="e">
        <f t="shared" si="92"/>
        <v>#REF!</v>
      </c>
      <c r="E134" s="66" t="s">
        <v>67</v>
      </c>
      <c r="F134" s="73" t="e">
        <f>'Date Calcs'!#REF!</f>
        <v>#REF!</v>
      </c>
      <c r="G134" s="73" t="e">
        <f>IF(VLOOKUP(A134,'Actual Dates'!A4:AF262,8,),'Actual Dates'!#REF!,"")</f>
        <v>#REF!</v>
      </c>
      <c r="H134" s="73" t="e">
        <f t="shared" si="93"/>
        <v>#REF!</v>
      </c>
      <c r="I134" s="73" t="e">
        <f>IF(VLOOKUP(A134,'Actual Dates'!A4:AF257,25,),'Actual Dates'!#REF!,"")</f>
        <v>#REF!</v>
      </c>
      <c r="J134" s="73" t="e">
        <f t="shared" si="94"/>
        <v>#REF!</v>
      </c>
      <c r="K134" s="73" t="e">
        <f>IF(VLOOKUP(A134,'Actual Dates'!A4:AF285,26,),'Actual Dates'!#REF!,"")</f>
        <v>#REF!</v>
      </c>
      <c r="L134" s="73" t="e">
        <f>IF(VLOOKUP(A134,'Actual Dates'!A4:AF285,21,),'Actual Dates'!#REF!,"")</f>
        <v>#REF!</v>
      </c>
      <c r="M134" s="73" t="e">
        <f>'Date Calcs'!#REF!</f>
        <v>#REF!</v>
      </c>
      <c r="N134" s="73" t="e">
        <f>IF(VLOOKUP(A134,'Actual Dates'!A4:AF285,27,),'Actual Dates'!#REF!,"")</f>
        <v>#REF!</v>
      </c>
      <c r="O134" s="74" t="e">
        <f t="shared" si="59"/>
        <v>#REF!</v>
      </c>
      <c r="P134" s="75" t="e">
        <f t="shared" si="95"/>
        <v>#REF!</v>
      </c>
      <c r="Q134" s="75" t="e">
        <f t="shared" si="96"/>
        <v>#REF!</v>
      </c>
      <c r="R134" s="132"/>
      <c r="S134" s="133"/>
      <c r="T134" s="88"/>
      <c r="U134" s="88"/>
      <c r="V134" s="88"/>
      <c r="W134" s="88"/>
      <c r="X134" s="88"/>
      <c r="Y134" s="88"/>
      <c r="Z134" s="88"/>
      <c r="AA134" s="88"/>
      <c r="AB134" s="88"/>
    </row>
    <row r="135" spans="1:28" x14ac:dyDescent="0.25">
      <c r="A135" s="70" t="e">
        <f>'Actual Dates'!#REF!</f>
        <v>#REF!</v>
      </c>
      <c r="B135" s="71" t="e">
        <f>'Date Calcs'!#REF!</f>
        <v>#REF!</v>
      </c>
      <c r="C135" s="72" t="e">
        <f>'Date Calcs'!#REF!</f>
        <v>#REF!</v>
      </c>
      <c r="D135" s="73" t="e">
        <f t="shared" si="92"/>
        <v>#REF!</v>
      </c>
      <c r="E135" s="66" t="s">
        <v>67</v>
      </c>
      <c r="F135" s="73" t="e">
        <f>'Date Calcs'!#REF!</f>
        <v>#REF!</v>
      </c>
      <c r="G135" s="73" t="e">
        <f>IF(VLOOKUP(A135,'Actual Dates'!A4:AF263,8,),'Actual Dates'!#REF!,"")</f>
        <v>#REF!</v>
      </c>
      <c r="H135" s="73" t="e">
        <f t="shared" si="93"/>
        <v>#REF!</v>
      </c>
      <c r="I135" s="73" t="e">
        <f>IF(VLOOKUP(A135,'Actual Dates'!A4:AF258,25,),'Actual Dates'!#REF!,"")</f>
        <v>#REF!</v>
      </c>
      <c r="J135" s="73" t="e">
        <f t="shared" si="94"/>
        <v>#REF!</v>
      </c>
      <c r="K135" s="73" t="e">
        <f>IF(VLOOKUP(A135,'Actual Dates'!A4:AF286,26,),'Actual Dates'!#REF!,"")</f>
        <v>#REF!</v>
      </c>
      <c r="L135" s="73" t="e">
        <f>IF(VLOOKUP(A135,'Actual Dates'!A4:AF286,21,),'Actual Dates'!#REF!,"")</f>
        <v>#REF!</v>
      </c>
      <c r="M135" s="73" t="e">
        <f>'Date Calcs'!#REF!</f>
        <v>#REF!</v>
      </c>
      <c r="N135" s="73" t="e">
        <f>IF(VLOOKUP(A135,'Actual Dates'!A4:AF286,27,),'Actual Dates'!#REF!,"")</f>
        <v>#REF!</v>
      </c>
      <c r="O135" s="74" t="e">
        <f t="shared" si="59"/>
        <v>#REF!</v>
      </c>
      <c r="P135" s="75" t="e">
        <f t="shared" si="95"/>
        <v>#REF!</v>
      </c>
      <c r="Q135" s="75" t="e">
        <f t="shared" si="96"/>
        <v>#REF!</v>
      </c>
      <c r="R135" s="132"/>
      <c r="S135" s="133"/>
      <c r="T135" s="88"/>
      <c r="U135" s="88"/>
      <c r="V135" s="88"/>
      <c r="W135" s="88"/>
      <c r="X135" s="88"/>
      <c r="Y135" s="88"/>
      <c r="Z135" s="88"/>
      <c r="AA135" s="88"/>
      <c r="AB135" s="88"/>
    </row>
    <row r="136" spans="1:28" x14ac:dyDescent="0.25">
      <c r="A136" s="70" t="e">
        <f>'Actual Dates'!#REF!</f>
        <v>#REF!</v>
      </c>
      <c r="B136" s="71" t="e">
        <f>'Date Calcs'!#REF!</f>
        <v>#REF!</v>
      </c>
      <c r="C136" s="72" t="e">
        <f>'Date Calcs'!#REF!</f>
        <v>#REF!</v>
      </c>
      <c r="D136" s="73" t="e">
        <f t="shared" si="92"/>
        <v>#REF!</v>
      </c>
      <c r="E136" s="66" t="s">
        <v>67</v>
      </c>
      <c r="F136" s="73" t="e">
        <f>'Date Calcs'!#REF!</f>
        <v>#REF!</v>
      </c>
      <c r="G136" s="73" t="e">
        <f>IF(VLOOKUP(A136,'Actual Dates'!A4:AF264,8,),'Actual Dates'!#REF!,"")</f>
        <v>#REF!</v>
      </c>
      <c r="H136" s="73" t="e">
        <f t="shared" si="93"/>
        <v>#REF!</v>
      </c>
      <c r="I136" s="73" t="e">
        <f>IF(VLOOKUP(A136,'Actual Dates'!A4:AF259,25,),'Actual Dates'!#REF!,"")</f>
        <v>#REF!</v>
      </c>
      <c r="J136" s="73" t="e">
        <f t="shared" si="94"/>
        <v>#REF!</v>
      </c>
      <c r="K136" s="73" t="e">
        <f>IF(VLOOKUP(A136,'Actual Dates'!A4:AF287,26,),'Actual Dates'!#REF!,"")</f>
        <v>#REF!</v>
      </c>
      <c r="L136" s="73" t="e">
        <f>IF(VLOOKUP(A136,'Actual Dates'!A4:AF287,21,),'Actual Dates'!#REF!,"")</f>
        <v>#REF!</v>
      </c>
      <c r="M136" s="73" t="e">
        <f>'Date Calcs'!#REF!</f>
        <v>#REF!</v>
      </c>
      <c r="N136" s="73" t="e">
        <f>IF(VLOOKUP(A136,'Actual Dates'!A4:AF287,27,),'Actual Dates'!#REF!,"")</f>
        <v>#REF!</v>
      </c>
      <c r="O136" s="74" t="e">
        <f t="shared" si="59"/>
        <v>#REF!</v>
      </c>
      <c r="P136" s="75" t="e">
        <f t="shared" si="95"/>
        <v>#REF!</v>
      </c>
      <c r="Q136" s="75" t="e">
        <f t="shared" si="96"/>
        <v>#REF!</v>
      </c>
      <c r="R136" s="132"/>
      <c r="S136" s="133"/>
      <c r="T136" s="88"/>
      <c r="U136" s="88"/>
      <c r="V136" s="88"/>
      <c r="W136" s="88"/>
      <c r="X136" s="88"/>
      <c r="Y136" s="88"/>
      <c r="Z136" s="88"/>
      <c r="AA136" s="88"/>
      <c r="AB136" s="88"/>
    </row>
    <row r="137" spans="1:28" x14ac:dyDescent="0.25">
      <c r="A137" s="70" t="e">
        <f>'Actual Dates'!#REF!</f>
        <v>#REF!</v>
      </c>
      <c r="B137" s="71" t="e">
        <f>'Date Calcs'!#REF!</f>
        <v>#REF!</v>
      </c>
      <c r="C137" s="72" t="e">
        <f>'Date Calcs'!#REF!</f>
        <v>#REF!</v>
      </c>
      <c r="D137" s="73" t="e">
        <f t="shared" si="92"/>
        <v>#REF!</v>
      </c>
      <c r="E137" s="66" t="s">
        <v>67</v>
      </c>
      <c r="F137" s="73" t="e">
        <f>'Date Calcs'!#REF!</f>
        <v>#REF!</v>
      </c>
      <c r="G137" s="73" t="e">
        <f>IF(VLOOKUP(A137,'Actual Dates'!A4:AF265,8,),'Actual Dates'!#REF!,"")</f>
        <v>#REF!</v>
      </c>
      <c r="H137" s="73" t="e">
        <f t="shared" si="93"/>
        <v>#REF!</v>
      </c>
      <c r="I137" s="73" t="e">
        <f>IF(VLOOKUP(A137,'Actual Dates'!A4:AF260,25,),'Actual Dates'!#REF!,"")</f>
        <v>#REF!</v>
      </c>
      <c r="J137" s="73" t="e">
        <f t="shared" si="94"/>
        <v>#REF!</v>
      </c>
      <c r="K137" s="73" t="e">
        <f>IF(VLOOKUP(A137,'Actual Dates'!A4:AF288,26,),'Actual Dates'!#REF!,"")</f>
        <v>#REF!</v>
      </c>
      <c r="L137" s="73" t="e">
        <f>IF(VLOOKUP(A137,'Actual Dates'!A4:AF288,21,),'Actual Dates'!#REF!,"")</f>
        <v>#REF!</v>
      </c>
      <c r="M137" s="73" t="e">
        <f>'Date Calcs'!#REF!</f>
        <v>#REF!</v>
      </c>
      <c r="N137" s="73" t="e">
        <f>IF(VLOOKUP(A137,'Actual Dates'!A4:AF288,27,),'Actual Dates'!#REF!,"")</f>
        <v>#REF!</v>
      </c>
      <c r="O137" s="74" t="e">
        <f t="shared" si="59"/>
        <v>#REF!</v>
      </c>
      <c r="P137" s="75" t="e">
        <f t="shared" si="95"/>
        <v>#REF!</v>
      </c>
      <c r="Q137" s="75" t="e">
        <f t="shared" si="96"/>
        <v>#REF!</v>
      </c>
      <c r="R137" s="132"/>
      <c r="S137" s="133"/>
      <c r="T137" s="88"/>
      <c r="U137" s="88"/>
      <c r="V137" s="88"/>
      <c r="W137" s="88"/>
      <c r="X137" s="88"/>
      <c r="Y137" s="88"/>
      <c r="Z137" s="88"/>
      <c r="AA137" s="88"/>
      <c r="AB137" s="88"/>
    </row>
    <row r="138" spans="1:28" x14ac:dyDescent="0.25">
      <c r="A138" s="70" t="e">
        <f>'Actual Dates'!#REF!</f>
        <v>#REF!</v>
      </c>
      <c r="B138" s="71" t="e">
        <f>'Date Calcs'!#REF!</f>
        <v>#REF!</v>
      </c>
      <c r="C138" s="72" t="e">
        <f>'Date Calcs'!#REF!</f>
        <v>#REF!</v>
      </c>
      <c r="D138" s="73" t="e">
        <f t="shared" si="92"/>
        <v>#REF!</v>
      </c>
      <c r="E138" s="66" t="s">
        <v>67</v>
      </c>
      <c r="F138" s="73" t="e">
        <f>'Date Calcs'!#REF!</f>
        <v>#REF!</v>
      </c>
      <c r="G138" s="73" t="e">
        <f>IF(VLOOKUP(A138,'Actual Dates'!A4:AF266,8,),'Actual Dates'!#REF!,"")</f>
        <v>#REF!</v>
      </c>
      <c r="H138" s="73" t="e">
        <f t="shared" si="93"/>
        <v>#REF!</v>
      </c>
      <c r="I138" s="73" t="e">
        <f>IF(VLOOKUP(A138,'Actual Dates'!A4:AF261,25,),'Actual Dates'!#REF!,"")</f>
        <v>#REF!</v>
      </c>
      <c r="J138" s="73" t="e">
        <f t="shared" si="94"/>
        <v>#REF!</v>
      </c>
      <c r="K138" s="73" t="e">
        <f>IF(VLOOKUP(A138,'Actual Dates'!A4:AF289,26,),'Actual Dates'!#REF!,"")</f>
        <v>#REF!</v>
      </c>
      <c r="L138" s="73" t="e">
        <f>IF(VLOOKUP(A138,'Actual Dates'!A4:AF289,21,),'Actual Dates'!#REF!,"")</f>
        <v>#REF!</v>
      </c>
      <c r="M138" s="73" t="e">
        <f>'Date Calcs'!#REF!</f>
        <v>#REF!</v>
      </c>
      <c r="N138" s="73" t="e">
        <f>IF(VLOOKUP(A138,'Actual Dates'!A4:AF289,27,),'Actual Dates'!#REF!,"")</f>
        <v>#REF!</v>
      </c>
      <c r="O138" s="74" t="e">
        <f t="shared" si="59"/>
        <v>#REF!</v>
      </c>
      <c r="P138" s="75" t="e">
        <f t="shared" si="95"/>
        <v>#REF!</v>
      </c>
      <c r="Q138" s="75" t="e">
        <f t="shared" si="96"/>
        <v>#REF!</v>
      </c>
      <c r="R138" s="132"/>
      <c r="S138" s="133"/>
      <c r="T138" s="88"/>
      <c r="U138" s="88"/>
      <c r="V138" s="88"/>
      <c r="W138" s="88"/>
      <c r="X138" s="88"/>
      <c r="Y138" s="88"/>
      <c r="Z138" s="88"/>
      <c r="AA138" s="88"/>
      <c r="AB138" s="88"/>
    </row>
    <row r="139" spans="1:28" x14ac:dyDescent="0.25">
      <c r="A139" s="70" t="e">
        <f>'Actual Dates'!#REF!</f>
        <v>#REF!</v>
      </c>
      <c r="B139" s="71" t="e">
        <f>'Date Calcs'!#REF!</f>
        <v>#REF!</v>
      </c>
      <c r="C139" s="72" t="e">
        <f>'Date Calcs'!#REF!</f>
        <v>#REF!</v>
      </c>
      <c r="D139" s="73" t="e">
        <f t="shared" si="92"/>
        <v>#REF!</v>
      </c>
      <c r="E139" s="66" t="s">
        <v>67</v>
      </c>
      <c r="F139" s="73" t="e">
        <f>'Date Calcs'!#REF!</f>
        <v>#REF!</v>
      </c>
      <c r="G139" s="73" t="e">
        <f>IF(VLOOKUP(A139,'Actual Dates'!A4:AF267,8,),'Actual Dates'!#REF!,"")</f>
        <v>#REF!</v>
      </c>
      <c r="H139" s="73" t="e">
        <f t="shared" si="93"/>
        <v>#REF!</v>
      </c>
      <c r="I139" s="73" t="e">
        <f>IF(VLOOKUP(A139,'Actual Dates'!A4:AF262,25,),'Actual Dates'!#REF!,"")</f>
        <v>#REF!</v>
      </c>
      <c r="J139" s="73" t="e">
        <f t="shared" si="94"/>
        <v>#REF!</v>
      </c>
      <c r="K139" s="73" t="e">
        <f>IF(VLOOKUP(A139,'Actual Dates'!A4:AF290,26,),'Actual Dates'!#REF!,"")</f>
        <v>#REF!</v>
      </c>
      <c r="L139" s="73" t="e">
        <f>IF(VLOOKUP(A139,'Actual Dates'!A4:AF290,21,),'Actual Dates'!#REF!,"")</f>
        <v>#REF!</v>
      </c>
      <c r="M139" s="73" t="e">
        <f>'Date Calcs'!#REF!</f>
        <v>#REF!</v>
      </c>
      <c r="N139" s="73" t="e">
        <f>IF(VLOOKUP(A139,'Actual Dates'!A4:AF290,27,),'Actual Dates'!#REF!,"")</f>
        <v>#REF!</v>
      </c>
      <c r="O139" s="74" t="e">
        <f t="shared" si="59"/>
        <v>#REF!</v>
      </c>
      <c r="P139" s="75" t="e">
        <f t="shared" si="95"/>
        <v>#REF!</v>
      </c>
      <c r="Q139" s="75" t="e">
        <f t="shared" si="96"/>
        <v>#REF!</v>
      </c>
      <c r="R139" s="132"/>
      <c r="S139" s="133"/>
      <c r="T139" s="88"/>
      <c r="U139" s="88"/>
      <c r="V139" s="88"/>
      <c r="W139" s="88"/>
      <c r="X139" s="88"/>
      <c r="Y139" s="88"/>
      <c r="Z139" s="88"/>
      <c r="AA139" s="88"/>
      <c r="AB139" s="88"/>
    </row>
    <row r="140" spans="1:28" x14ac:dyDescent="0.25">
      <c r="A140" s="70" t="e">
        <f>'Actual Dates'!#REF!</f>
        <v>#REF!</v>
      </c>
      <c r="B140" s="71" t="e">
        <f>'Date Calcs'!#REF!</f>
        <v>#REF!</v>
      </c>
      <c r="C140" s="72" t="e">
        <f>'Date Calcs'!#REF!</f>
        <v>#REF!</v>
      </c>
      <c r="D140" s="73" t="e">
        <f t="shared" si="92"/>
        <v>#REF!</v>
      </c>
      <c r="E140" s="66" t="s">
        <v>67</v>
      </c>
      <c r="F140" s="73" t="e">
        <f>'Date Calcs'!#REF!</f>
        <v>#REF!</v>
      </c>
      <c r="G140" s="73" t="e">
        <f>IF(VLOOKUP(A140,'Actual Dates'!A4:AF268,8,),'Actual Dates'!#REF!,"")</f>
        <v>#REF!</v>
      </c>
      <c r="H140" s="73" t="e">
        <f t="shared" si="93"/>
        <v>#REF!</v>
      </c>
      <c r="I140" s="73" t="e">
        <f>IF(VLOOKUP(A140,'Actual Dates'!A4:AF263,25,),'Actual Dates'!#REF!,"")</f>
        <v>#REF!</v>
      </c>
      <c r="J140" s="73" t="e">
        <f t="shared" si="94"/>
        <v>#REF!</v>
      </c>
      <c r="K140" s="73" t="e">
        <f>IF(VLOOKUP(A140,'Actual Dates'!A4:AF291,26,),'Actual Dates'!#REF!,"")</f>
        <v>#REF!</v>
      </c>
      <c r="L140" s="73" t="e">
        <f>IF(VLOOKUP(A140,'Actual Dates'!A4:AF291,21,),'Actual Dates'!#REF!,"")</f>
        <v>#REF!</v>
      </c>
      <c r="M140" s="73" t="e">
        <f>'Date Calcs'!#REF!</f>
        <v>#REF!</v>
      </c>
      <c r="N140" s="73" t="e">
        <f>IF(VLOOKUP(A140,'Actual Dates'!A4:AF291,27,),'Actual Dates'!#REF!,"")</f>
        <v>#REF!</v>
      </c>
      <c r="O140" s="74" t="e">
        <f t="shared" si="59"/>
        <v>#REF!</v>
      </c>
      <c r="P140" s="75" t="e">
        <f t="shared" si="95"/>
        <v>#REF!</v>
      </c>
      <c r="Q140" s="75" t="e">
        <f t="shared" si="96"/>
        <v>#REF!</v>
      </c>
      <c r="R140" s="132"/>
      <c r="S140" s="133"/>
      <c r="T140" s="88"/>
      <c r="U140" s="88"/>
      <c r="V140" s="88"/>
      <c r="W140" s="88"/>
      <c r="X140" s="88"/>
      <c r="Y140" s="88"/>
      <c r="Z140" s="88"/>
      <c r="AA140" s="88"/>
      <c r="AB140" s="88"/>
    </row>
    <row r="141" spans="1:28" x14ac:dyDescent="0.25">
      <c r="A141" s="70" t="e">
        <f>'Actual Dates'!#REF!</f>
        <v>#REF!</v>
      </c>
      <c r="B141" s="71" t="e">
        <f>'Date Calcs'!#REF!</f>
        <v>#REF!</v>
      </c>
      <c r="C141" s="72" t="e">
        <f>'Date Calcs'!#REF!</f>
        <v>#REF!</v>
      </c>
      <c r="D141" s="73" t="e">
        <f t="shared" si="92"/>
        <v>#REF!</v>
      </c>
      <c r="E141" s="66" t="s">
        <v>67</v>
      </c>
      <c r="F141" s="73" t="e">
        <f>'Date Calcs'!#REF!</f>
        <v>#REF!</v>
      </c>
      <c r="G141" s="73" t="e">
        <f>IF(VLOOKUP(A141,'Actual Dates'!A4:AF269,8,),'Actual Dates'!#REF!,"")</f>
        <v>#REF!</v>
      </c>
      <c r="H141" s="73" t="e">
        <f t="shared" si="93"/>
        <v>#REF!</v>
      </c>
      <c r="I141" s="73" t="e">
        <f>IF(VLOOKUP(A141,'Actual Dates'!A4:AF264,25,),'Actual Dates'!#REF!,"")</f>
        <v>#REF!</v>
      </c>
      <c r="J141" s="73" t="e">
        <f t="shared" si="94"/>
        <v>#REF!</v>
      </c>
      <c r="K141" s="73" t="e">
        <f>IF(VLOOKUP(A141,'Actual Dates'!A4:AF292,26,),'Actual Dates'!#REF!,"")</f>
        <v>#REF!</v>
      </c>
      <c r="L141" s="73" t="e">
        <f>IF(VLOOKUP(A141,'Actual Dates'!A4:AF292,21,),'Actual Dates'!#REF!,"")</f>
        <v>#REF!</v>
      </c>
      <c r="M141" s="73" t="e">
        <f>'Date Calcs'!#REF!</f>
        <v>#REF!</v>
      </c>
      <c r="N141" s="73" t="e">
        <f>IF(VLOOKUP(A141,'Actual Dates'!A4:AF292,27,),'Actual Dates'!#REF!,"")</f>
        <v>#REF!</v>
      </c>
      <c r="O141" s="74" t="e">
        <f t="shared" si="59"/>
        <v>#REF!</v>
      </c>
      <c r="P141" s="75" t="e">
        <f t="shared" si="95"/>
        <v>#REF!</v>
      </c>
      <c r="Q141" s="75" t="e">
        <f t="shared" si="96"/>
        <v>#REF!</v>
      </c>
      <c r="R141" s="132"/>
      <c r="S141" s="133"/>
      <c r="T141" s="88"/>
      <c r="U141" s="88"/>
      <c r="V141" s="88"/>
      <c r="W141" s="88"/>
      <c r="X141" s="88"/>
      <c r="Y141" s="88"/>
      <c r="Z141" s="88"/>
      <c r="AA141" s="88"/>
      <c r="AB141" s="88"/>
    </row>
    <row r="142" spans="1:28" x14ac:dyDescent="0.25">
      <c r="A142" s="70" t="e">
        <f>'Actual Dates'!#REF!</f>
        <v>#REF!</v>
      </c>
      <c r="B142" s="71" t="e">
        <f>'Date Calcs'!#REF!</f>
        <v>#REF!</v>
      </c>
      <c r="C142" s="72" t="e">
        <f>'Date Calcs'!#REF!</f>
        <v>#REF!</v>
      </c>
      <c r="D142" s="73" t="e">
        <f t="shared" si="92"/>
        <v>#REF!</v>
      </c>
      <c r="E142" s="66" t="s">
        <v>67</v>
      </c>
      <c r="F142" s="73" t="e">
        <f>'Date Calcs'!#REF!</f>
        <v>#REF!</v>
      </c>
      <c r="G142" s="73" t="e">
        <f>IF(VLOOKUP(A142,'Actual Dates'!A4:AF270,8,),'Actual Dates'!#REF!,"")</f>
        <v>#REF!</v>
      </c>
      <c r="H142" s="73" t="e">
        <f t="shared" si="93"/>
        <v>#REF!</v>
      </c>
      <c r="I142" s="73" t="e">
        <f>IF(VLOOKUP(A142,'Actual Dates'!A4:AF265,25,),'Actual Dates'!#REF!,"")</f>
        <v>#REF!</v>
      </c>
      <c r="J142" s="73" t="e">
        <f t="shared" si="94"/>
        <v>#REF!</v>
      </c>
      <c r="K142" s="73" t="e">
        <f>IF(VLOOKUP(A142,'Actual Dates'!A4:AF293,26,),'Actual Dates'!#REF!,"")</f>
        <v>#REF!</v>
      </c>
      <c r="L142" s="73" t="e">
        <f>IF(VLOOKUP(A142,'Actual Dates'!A4:AF293,21,),'Actual Dates'!#REF!,"")</f>
        <v>#REF!</v>
      </c>
      <c r="M142" s="73" t="e">
        <f>'Date Calcs'!#REF!</f>
        <v>#REF!</v>
      </c>
      <c r="N142" s="73" t="e">
        <f>IF(VLOOKUP(A142,'Actual Dates'!A4:AF293,27,),'Actual Dates'!#REF!,"")</f>
        <v>#REF!</v>
      </c>
      <c r="O142" s="74" t="e">
        <f t="shared" si="59"/>
        <v>#REF!</v>
      </c>
      <c r="P142" s="75" t="e">
        <f t="shared" si="95"/>
        <v>#REF!</v>
      </c>
      <c r="Q142" s="75" t="e">
        <f t="shared" si="96"/>
        <v>#REF!</v>
      </c>
      <c r="R142" s="132"/>
      <c r="S142" s="133"/>
      <c r="T142" s="88"/>
      <c r="U142" s="88"/>
      <c r="V142" s="88"/>
      <c r="W142" s="88"/>
      <c r="X142" s="88"/>
      <c r="Y142" s="88"/>
      <c r="Z142" s="88"/>
      <c r="AA142" s="88"/>
      <c r="AB142" s="88"/>
    </row>
    <row r="143" spans="1:28" x14ac:dyDescent="0.25">
      <c r="A143" s="70" t="e">
        <f>'Actual Dates'!#REF!</f>
        <v>#REF!</v>
      </c>
      <c r="B143" s="71" t="e">
        <f>'Date Calcs'!#REF!</f>
        <v>#REF!</v>
      </c>
      <c r="C143" s="72" t="e">
        <f>'Date Calcs'!#REF!</f>
        <v>#REF!</v>
      </c>
      <c r="D143" s="73" t="e">
        <f t="shared" si="92"/>
        <v>#REF!</v>
      </c>
      <c r="E143" s="66" t="s">
        <v>67</v>
      </c>
      <c r="F143" s="73" t="e">
        <f>'Date Calcs'!#REF!</f>
        <v>#REF!</v>
      </c>
      <c r="G143" s="73" t="e">
        <f>IF(VLOOKUP(A143,'Actual Dates'!A4:AF271,8,),'Actual Dates'!#REF!,"")</f>
        <v>#REF!</v>
      </c>
      <c r="H143" s="73" t="e">
        <f t="shared" si="93"/>
        <v>#REF!</v>
      </c>
      <c r="I143" s="73" t="e">
        <f>IF(VLOOKUP(A143,'Actual Dates'!A4:AF266,25,),'Actual Dates'!#REF!,"")</f>
        <v>#REF!</v>
      </c>
      <c r="J143" s="73" t="e">
        <f t="shared" si="94"/>
        <v>#REF!</v>
      </c>
      <c r="K143" s="73" t="e">
        <f>IF(VLOOKUP(A143,'Actual Dates'!A4:AF294,26,),'Actual Dates'!#REF!,"")</f>
        <v>#REF!</v>
      </c>
      <c r="L143" s="73" t="e">
        <f>IF(VLOOKUP(A143,'Actual Dates'!A4:AF294,21,),'Actual Dates'!#REF!,"")</f>
        <v>#REF!</v>
      </c>
      <c r="M143" s="73" t="e">
        <f>'Date Calcs'!#REF!</f>
        <v>#REF!</v>
      </c>
      <c r="N143" s="73" t="e">
        <f>IF(VLOOKUP(A143,'Actual Dates'!A4:AF294,27,),'Actual Dates'!#REF!,"")</f>
        <v>#REF!</v>
      </c>
      <c r="O143" s="74" t="e">
        <f t="shared" si="59"/>
        <v>#REF!</v>
      </c>
      <c r="P143" s="75" t="e">
        <f t="shared" si="95"/>
        <v>#REF!</v>
      </c>
      <c r="Q143" s="75" t="e">
        <f t="shared" si="96"/>
        <v>#REF!</v>
      </c>
      <c r="R143" s="132"/>
      <c r="S143" s="133"/>
      <c r="T143" s="88"/>
      <c r="U143" s="88"/>
      <c r="V143" s="88"/>
      <c r="W143" s="88"/>
      <c r="X143" s="88"/>
      <c r="Y143" s="88"/>
      <c r="Z143" s="88"/>
      <c r="AA143" s="88"/>
      <c r="AB143" s="88"/>
    </row>
    <row r="144" spans="1:28" x14ac:dyDescent="0.25">
      <c r="A144" s="70" t="e">
        <f>'Actual Dates'!#REF!</f>
        <v>#REF!</v>
      </c>
      <c r="B144" s="71" t="e">
        <f>'Date Calcs'!#REF!</f>
        <v>#REF!</v>
      </c>
      <c r="C144" s="72" t="e">
        <f>'Date Calcs'!#REF!</f>
        <v>#REF!</v>
      </c>
      <c r="D144" s="73" t="e">
        <f t="shared" si="92"/>
        <v>#REF!</v>
      </c>
      <c r="E144" s="66" t="s">
        <v>67</v>
      </c>
      <c r="F144" s="73" t="e">
        <f>'Date Calcs'!#REF!</f>
        <v>#REF!</v>
      </c>
      <c r="G144" s="73" t="e">
        <f>IF(VLOOKUP(A144,'Actual Dates'!A4:AF272,8,),'Actual Dates'!#REF!,"")</f>
        <v>#REF!</v>
      </c>
      <c r="H144" s="73" t="e">
        <f t="shared" si="93"/>
        <v>#REF!</v>
      </c>
      <c r="I144" s="73" t="e">
        <f>IF(VLOOKUP(A144,'Actual Dates'!A4:AF267,25,),'Actual Dates'!#REF!,"")</f>
        <v>#REF!</v>
      </c>
      <c r="J144" s="73" t="e">
        <f t="shared" si="94"/>
        <v>#REF!</v>
      </c>
      <c r="K144" s="73" t="e">
        <f>IF(VLOOKUP(A144,'Actual Dates'!A4:AF295,26,),'Actual Dates'!#REF!,"")</f>
        <v>#REF!</v>
      </c>
      <c r="L144" s="73" t="e">
        <f>IF(VLOOKUP(A144,'Actual Dates'!A4:AF295,21,),'Actual Dates'!#REF!,"")</f>
        <v>#REF!</v>
      </c>
      <c r="M144" s="73" t="e">
        <f>'Date Calcs'!#REF!</f>
        <v>#REF!</v>
      </c>
      <c r="N144" s="73" t="e">
        <f>IF(VLOOKUP(A144,'Actual Dates'!A4:AF295,27,),'Actual Dates'!#REF!,"")</f>
        <v>#REF!</v>
      </c>
      <c r="O144" s="74" t="e">
        <f t="shared" si="59"/>
        <v>#REF!</v>
      </c>
      <c r="P144" s="75" t="e">
        <f t="shared" si="95"/>
        <v>#REF!</v>
      </c>
      <c r="Q144" s="75" t="e">
        <f t="shared" si="96"/>
        <v>#REF!</v>
      </c>
      <c r="R144" s="132"/>
      <c r="S144" s="133"/>
      <c r="T144" s="88"/>
      <c r="U144" s="88"/>
      <c r="V144" s="88"/>
      <c r="W144" s="88"/>
      <c r="X144" s="88"/>
      <c r="Y144" s="88"/>
      <c r="Z144" s="88"/>
      <c r="AA144" s="88"/>
      <c r="AB144" s="88"/>
    </row>
    <row r="145" spans="1:28" x14ac:dyDescent="0.25">
      <c r="A145" s="70" t="e">
        <f>'Actual Dates'!#REF!</f>
        <v>#REF!</v>
      </c>
      <c r="B145" s="71" t="e">
        <f>'Date Calcs'!#REF!</f>
        <v>#REF!</v>
      </c>
      <c r="C145" s="72" t="e">
        <f>'Date Calcs'!#REF!</f>
        <v>#REF!</v>
      </c>
      <c r="D145" s="73" t="e">
        <f t="shared" si="92"/>
        <v>#REF!</v>
      </c>
      <c r="E145" s="66" t="s">
        <v>67</v>
      </c>
      <c r="F145" s="73" t="e">
        <f>'Date Calcs'!#REF!</f>
        <v>#REF!</v>
      </c>
      <c r="G145" s="73" t="e">
        <f>IF(VLOOKUP(A145,'Actual Dates'!A4:AF273,8,),'Actual Dates'!#REF!,"")</f>
        <v>#REF!</v>
      </c>
      <c r="H145" s="73" t="e">
        <f t="shared" si="93"/>
        <v>#REF!</v>
      </c>
      <c r="I145" s="73" t="e">
        <f>IF(VLOOKUP(A145,'Actual Dates'!A4:AF268,25,),'Actual Dates'!#REF!,"")</f>
        <v>#REF!</v>
      </c>
      <c r="J145" s="73" t="e">
        <f t="shared" si="94"/>
        <v>#REF!</v>
      </c>
      <c r="K145" s="73" t="e">
        <f>IF(VLOOKUP(A145,'Actual Dates'!A4:AF296,26,),'Actual Dates'!#REF!,"")</f>
        <v>#REF!</v>
      </c>
      <c r="L145" s="73" t="e">
        <f>IF(VLOOKUP(A145,'Actual Dates'!A4:AF296,21,),'Actual Dates'!#REF!,"")</f>
        <v>#REF!</v>
      </c>
      <c r="M145" s="73" t="e">
        <f>'Date Calcs'!#REF!</f>
        <v>#REF!</v>
      </c>
      <c r="N145" s="73" t="e">
        <f>IF(VLOOKUP(A145,'Actual Dates'!A4:AF296,27,),'Actual Dates'!#REF!,"")</f>
        <v>#REF!</v>
      </c>
      <c r="O145" s="74" t="e">
        <f t="shared" ref="O145:O162" si="97">N145-C145</f>
        <v>#REF!</v>
      </c>
      <c r="P145" s="75" t="e">
        <f t="shared" si="95"/>
        <v>#REF!</v>
      </c>
      <c r="Q145" s="75" t="e">
        <f t="shared" si="96"/>
        <v>#REF!</v>
      </c>
      <c r="R145" s="132"/>
      <c r="S145" s="133"/>
      <c r="T145" s="88"/>
      <c r="U145" s="88"/>
      <c r="V145" s="88"/>
      <c r="W145" s="88"/>
      <c r="X145" s="88"/>
      <c r="Y145" s="88"/>
      <c r="Z145" s="88"/>
      <c r="AA145" s="88"/>
      <c r="AB145" s="88"/>
    </row>
    <row r="146" spans="1:28" x14ac:dyDescent="0.25">
      <c r="A146" s="70" t="e">
        <f>'Actual Dates'!#REF!</f>
        <v>#REF!</v>
      </c>
      <c r="B146" s="71" t="e">
        <f>'Date Calcs'!#REF!</f>
        <v>#REF!</v>
      </c>
      <c r="C146" s="72" t="e">
        <f>'Date Calcs'!#REF!</f>
        <v>#REF!</v>
      </c>
      <c r="D146" s="73" t="e">
        <f t="shared" si="92"/>
        <v>#REF!</v>
      </c>
      <c r="E146" s="66" t="s">
        <v>67</v>
      </c>
      <c r="F146" s="73" t="e">
        <f>'Date Calcs'!#REF!</f>
        <v>#REF!</v>
      </c>
      <c r="G146" s="73" t="e">
        <f>IF(VLOOKUP(A146,'Actual Dates'!A4:AF274,8,),'Actual Dates'!#REF!,"")</f>
        <v>#REF!</v>
      </c>
      <c r="H146" s="73" t="e">
        <f t="shared" si="93"/>
        <v>#REF!</v>
      </c>
      <c r="I146" s="73" t="e">
        <f>IF(VLOOKUP(A146,'Actual Dates'!A4:AF269,25,),'Actual Dates'!#REF!,"")</f>
        <v>#REF!</v>
      </c>
      <c r="J146" s="73" t="e">
        <f t="shared" si="94"/>
        <v>#REF!</v>
      </c>
      <c r="K146" s="73" t="e">
        <f>IF(VLOOKUP(A146,'Actual Dates'!A4:AF297,26,),'Actual Dates'!#REF!,"")</f>
        <v>#REF!</v>
      </c>
      <c r="L146" s="73" t="e">
        <f>IF(VLOOKUP(A146,'Actual Dates'!A4:AF297,21,),'Actual Dates'!#REF!,"")</f>
        <v>#REF!</v>
      </c>
      <c r="M146" s="73" t="e">
        <f>'Date Calcs'!#REF!</f>
        <v>#REF!</v>
      </c>
      <c r="N146" s="73" t="e">
        <f>IF(VLOOKUP(A146,'Actual Dates'!A4:AF297,27,),'Actual Dates'!#REF!,"")</f>
        <v>#REF!</v>
      </c>
      <c r="O146" s="74" t="e">
        <f t="shared" si="97"/>
        <v>#REF!</v>
      </c>
      <c r="P146" s="75" t="e">
        <f t="shared" si="95"/>
        <v>#REF!</v>
      </c>
      <c r="Q146" s="75" t="e">
        <f t="shared" si="96"/>
        <v>#REF!</v>
      </c>
      <c r="R146" s="132"/>
      <c r="S146" s="133"/>
      <c r="T146" s="88"/>
      <c r="U146" s="88"/>
      <c r="V146" s="88"/>
      <c r="W146" s="88"/>
      <c r="X146" s="88"/>
      <c r="Y146" s="88"/>
      <c r="Z146" s="88"/>
      <c r="AA146" s="88"/>
      <c r="AB146" s="88"/>
    </row>
    <row r="147" spans="1:28" x14ac:dyDescent="0.25">
      <c r="A147" s="70" t="e">
        <f>'Actual Dates'!#REF!</f>
        <v>#REF!</v>
      </c>
      <c r="B147" s="71" t="e">
        <f>'Date Calcs'!#REF!</f>
        <v>#REF!</v>
      </c>
      <c r="C147" s="72" t="e">
        <f>'Date Calcs'!#REF!</f>
        <v>#REF!</v>
      </c>
      <c r="D147" s="73" t="e">
        <f t="shared" ref="D147:D162" si="98">WORKDAY(F147,-1,)</f>
        <v>#REF!</v>
      </c>
      <c r="E147" s="66" t="s">
        <v>67</v>
      </c>
      <c r="F147" s="73" t="e">
        <f>'Date Calcs'!#REF!</f>
        <v>#REF!</v>
      </c>
      <c r="G147" s="73" t="e">
        <f>IF(VLOOKUP(A147,'Actual Dates'!A4:AF275,8,),'Actual Dates'!#REF!,"")</f>
        <v>#REF!</v>
      </c>
      <c r="H147" s="73" t="e">
        <f t="shared" si="93"/>
        <v>#REF!</v>
      </c>
      <c r="I147" s="73" t="e">
        <f>IF(VLOOKUP(A147,'Actual Dates'!A4:AF270,25,),'Actual Dates'!#REF!,"")</f>
        <v>#REF!</v>
      </c>
      <c r="J147" s="73" t="e">
        <f t="shared" si="94"/>
        <v>#REF!</v>
      </c>
      <c r="K147" s="73" t="e">
        <f>IF(VLOOKUP(A147,'Actual Dates'!A4:AF298,26,),'Actual Dates'!#REF!,"")</f>
        <v>#REF!</v>
      </c>
      <c r="L147" s="73" t="e">
        <f>IF(VLOOKUP(A147,'Actual Dates'!A4:AF298,21,),'Actual Dates'!#REF!,"")</f>
        <v>#REF!</v>
      </c>
      <c r="M147" s="73" t="e">
        <f>'Date Calcs'!#REF!</f>
        <v>#REF!</v>
      </c>
      <c r="N147" s="73" t="e">
        <f>IF(VLOOKUP(A147,'Actual Dates'!A4:AF298,27,),'Actual Dates'!#REF!,"")</f>
        <v>#REF!</v>
      </c>
      <c r="O147" s="74" t="e">
        <f t="shared" si="97"/>
        <v>#REF!</v>
      </c>
      <c r="P147" s="75" t="e">
        <f t="shared" ref="P147:P162" si="99">F147-G147</f>
        <v>#REF!</v>
      </c>
      <c r="Q147" s="75" t="e">
        <f t="shared" ref="Q147:Q162" si="100">M147-N147</f>
        <v>#REF!</v>
      </c>
      <c r="R147" s="132"/>
      <c r="S147" s="133"/>
      <c r="T147" s="88"/>
      <c r="U147" s="88"/>
      <c r="V147" s="88"/>
      <c r="W147" s="88"/>
      <c r="X147" s="88"/>
      <c r="Y147" s="88"/>
      <c r="Z147" s="88"/>
      <c r="AA147" s="88"/>
      <c r="AB147" s="88"/>
    </row>
    <row r="148" spans="1:28" x14ac:dyDescent="0.25">
      <c r="A148" s="70" t="e">
        <f>'Actual Dates'!#REF!</f>
        <v>#REF!</v>
      </c>
      <c r="B148" s="71" t="e">
        <f>'Date Calcs'!#REF!</f>
        <v>#REF!</v>
      </c>
      <c r="C148" s="72" t="e">
        <f>'Date Calcs'!#REF!</f>
        <v>#REF!</v>
      </c>
      <c r="D148" s="73" t="e">
        <f t="shared" si="98"/>
        <v>#REF!</v>
      </c>
      <c r="E148" s="66" t="s">
        <v>67</v>
      </c>
      <c r="F148" s="73" t="e">
        <f>'Date Calcs'!#REF!</f>
        <v>#REF!</v>
      </c>
      <c r="G148" s="73" t="e">
        <f>IF(VLOOKUP(A148,'Actual Dates'!A4:AF276,8,),'Actual Dates'!#REF!,"")</f>
        <v>#REF!</v>
      </c>
      <c r="H148" s="73" t="e">
        <f t="shared" si="93"/>
        <v>#REF!</v>
      </c>
      <c r="I148" s="73" t="e">
        <f>IF(VLOOKUP(A148,'Actual Dates'!A4:AF271,25,),'Actual Dates'!#REF!,"")</f>
        <v>#REF!</v>
      </c>
      <c r="J148" s="73" t="e">
        <f t="shared" si="94"/>
        <v>#REF!</v>
      </c>
      <c r="K148" s="73" t="e">
        <f>IF(VLOOKUP(A148,'Actual Dates'!A4:AF299,26,),'Actual Dates'!#REF!,"")</f>
        <v>#REF!</v>
      </c>
      <c r="L148" s="73" t="e">
        <f>IF(VLOOKUP(A148,'Actual Dates'!A4:AF299,21,),'Actual Dates'!#REF!,"")</f>
        <v>#REF!</v>
      </c>
      <c r="M148" s="73" t="e">
        <f>'Date Calcs'!#REF!</f>
        <v>#REF!</v>
      </c>
      <c r="N148" s="73" t="e">
        <f>IF(VLOOKUP(A148,'Actual Dates'!A4:AF299,27,),'Actual Dates'!#REF!,"")</f>
        <v>#REF!</v>
      </c>
      <c r="O148" s="74" t="e">
        <f t="shared" si="97"/>
        <v>#REF!</v>
      </c>
      <c r="P148" s="75" t="e">
        <f t="shared" si="99"/>
        <v>#REF!</v>
      </c>
      <c r="Q148" s="75" t="e">
        <f t="shared" si="100"/>
        <v>#REF!</v>
      </c>
      <c r="R148" s="132"/>
      <c r="S148" s="133"/>
      <c r="T148" s="88"/>
      <c r="U148" s="88"/>
      <c r="V148" s="88"/>
      <c r="W148" s="88"/>
      <c r="X148" s="88"/>
      <c r="Y148" s="88"/>
      <c r="Z148" s="88"/>
      <c r="AA148" s="88"/>
      <c r="AB148" s="88"/>
    </row>
    <row r="149" spans="1:28" x14ac:dyDescent="0.25">
      <c r="A149" s="70" t="e">
        <f>'Actual Dates'!#REF!</f>
        <v>#REF!</v>
      </c>
      <c r="B149" s="71" t="e">
        <f>'Date Calcs'!#REF!</f>
        <v>#REF!</v>
      </c>
      <c r="C149" s="72" t="e">
        <f>'Date Calcs'!#REF!</f>
        <v>#REF!</v>
      </c>
      <c r="D149" s="73" t="e">
        <f t="shared" si="98"/>
        <v>#REF!</v>
      </c>
      <c r="E149" s="66" t="s">
        <v>67</v>
      </c>
      <c r="F149" s="73" t="e">
        <f>'Date Calcs'!#REF!</f>
        <v>#REF!</v>
      </c>
      <c r="G149" s="73" t="e">
        <f>IF(VLOOKUP(A149,'Actual Dates'!A4:AF277,8,),'Actual Dates'!#REF!,"")</f>
        <v>#REF!</v>
      </c>
      <c r="H149" s="73" t="e">
        <f t="shared" si="93"/>
        <v>#REF!</v>
      </c>
      <c r="I149" s="73" t="e">
        <f>IF(VLOOKUP(A149,'Actual Dates'!A4:AF272,25,),'Actual Dates'!#REF!,"")</f>
        <v>#REF!</v>
      </c>
      <c r="J149" s="73" t="e">
        <f t="shared" si="94"/>
        <v>#REF!</v>
      </c>
      <c r="K149" s="73" t="e">
        <f>IF(VLOOKUP(A149,'Actual Dates'!A4:AF300,26,),'Actual Dates'!#REF!,"")</f>
        <v>#REF!</v>
      </c>
      <c r="L149" s="73" t="e">
        <f>IF(VLOOKUP(A149,'Actual Dates'!A4:AF300,21,),'Actual Dates'!#REF!,"")</f>
        <v>#REF!</v>
      </c>
      <c r="M149" s="73" t="e">
        <f>'Date Calcs'!#REF!</f>
        <v>#REF!</v>
      </c>
      <c r="N149" s="73" t="e">
        <f>IF(VLOOKUP(A149,'Actual Dates'!A4:AF300,27,),'Actual Dates'!#REF!,"")</f>
        <v>#REF!</v>
      </c>
      <c r="O149" s="74" t="e">
        <f t="shared" si="97"/>
        <v>#REF!</v>
      </c>
      <c r="P149" s="75" t="e">
        <f t="shared" si="99"/>
        <v>#REF!</v>
      </c>
      <c r="Q149" s="75" t="e">
        <f t="shared" si="100"/>
        <v>#REF!</v>
      </c>
      <c r="R149" s="132"/>
      <c r="S149" s="133"/>
      <c r="T149" s="88"/>
      <c r="U149" s="88"/>
      <c r="V149" s="88"/>
      <c r="W149" s="88"/>
      <c r="X149" s="88"/>
      <c r="Y149" s="88"/>
      <c r="Z149" s="88"/>
      <c r="AA149" s="88"/>
      <c r="AB149" s="88"/>
    </row>
    <row r="150" spans="1:28" x14ac:dyDescent="0.25">
      <c r="A150" s="70" t="e">
        <f>'Actual Dates'!#REF!</f>
        <v>#REF!</v>
      </c>
      <c r="B150" s="71" t="e">
        <f>'Date Calcs'!#REF!</f>
        <v>#REF!</v>
      </c>
      <c r="C150" s="72" t="e">
        <f>'Date Calcs'!#REF!</f>
        <v>#REF!</v>
      </c>
      <c r="D150" s="73" t="e">
        <f t="shared" si="98"/>
        <v>#REF!</v>
      </c>
      <c r="E150" s="66" t="s">
        <v>67</v>
      </c>
      <c r="F150" s="73" t="e">
        <f>'Date Calcs'!#REF!</f>
        <v>#REF!</v>
      </c>
      <c r="G150" s="73" t="e">
        <f>IF(VLOOKUP(A150,'Actual Dates'!A4:AF278,8,),'Actual Dates'!#REF!,"")</f>
        <v>#REF!</v>
      </c>
      <c r="H150" s="73" t="e">
        <f t="shared" si="93"/>
        <v>#REF!</v>
      </c>
      <c r="I150" s="73" t="e">
        <f>IF(VLOOKUP(A150,'Actual Dates'!A4:AF273,25,),'Actual Dates'!#REF!,"")</f>
        <v>#REF!</v>
      </c>
      <c r="J150" s="73" t="e">
        <f t="shared" si="94"/>
        <v>#REF!</v>
      </c>
      <c r="K150" s="73" t="e">
        <f>IF(VLOOKUP(A150,'Actual Dates'!A4:AF301,26,),'Actual Dates'!#REF!,"")</f>
        <v>#REF!</v>
      </c>
      <c r="L150" s="73" t="e">
        <f>IF(VLOOKUP(A150,'Actual Dates'!A4:AF301,21,),'Actual Dates'!#REF!,"")</f>
        <v>#REF!</v>
      </c>
      <c r="M150" s="73" t="e">
        <f>'Date Calcs'!#REF!</f>
        <v>#REF!</v>
      </c>
      <c r="N150" s="73" t="e">
        <f>IF(VLOOKUP(A150,'Actual Dates'!A4:AF301,27,),'Actual Dates'!#REF!,"")</f>
        <v>#REF!</v>
      </c>
      <c r="O150" s="74" t="e">
        <f t="shared" si="97"/>
        <v>#REF!</v>
      </c>
      <c r="P150" s="75" t="e">
        <f t="shared" si="99"/>
        <v>#REF!</v>
      </c>
      <c r="Q150" s="75" t="e">
        <f t="shared" si="100"/>
        <v>#REF!</v>
      </c>
      <c r="R150" s="132"/>
      <c r="S150" s="133"/>
      <c r="T150" s="88"/>
      <c r="U150" s="88"/>
      <c r="V150" s="88"/>
      <c r="W150" s="88"/>
      <c r="X150" s="88"/>
      <c r="Y150" s="88"/>
      <c r="Z150" s="88"/>
      <c r="AA150" s="88"/>
      <c r="AB150" s="88"/>
    </row>
    <row r="151" spans="1:28" x14ac:dyDescent="0.25">
      <c r="A151" s="70" t="e">
        <f>'Actual Dates'!#REF!</f>
        <v>#REF!</v>
      </c>
      <c r="B151" s="71" t="e">
        <f>'Date Calcs'!#REF!</f>
        <v>#REF!</v>
      </c>
      <c r="C151" s="72" t="e">
        <f>'Date Calcs'!#REF!</f>
        <v>#REF!</v>
      </c>
      <c r="D151" s="73" t="e">
        <f t="shared" si="98"/>
        <v>#REF!</v>
      </c>
      <c r="E151" s="66" t="s">
        <v>67</v>
      </c>
      <c r="F151" s="73" t="e">
        <f>'Date Calcs'!#REF!</f>
        <v>#REF!</v>
      </c>
      <c r="G151" s="73" t="e">
        <f>IF(VLOOKUP(A151,'Actual Dates'!A4:AF279,8,),'Actual Dates'!#REF!,"")</f>
        <v>#REF!</v>
      </c>
      <c r="H151" s="73" t="e">
        <f t="shared" si="93"/>
        <v>#REF!</v>
      </c>
      <c r="I151" s="73" t="e">
        <f>IF(VLOOKUP(A151,'Actual Dates'!A4:AF274,25,),'Actual Dates'!#REF!,"")</f>
        <v>#REF!</v>
      </c>
      <c r="J151" s="73" t="e">
        <f t="shared" si="94"/>
        <v>#REF!</v>
      </c>
      <c r="K151" s="73" t="e">
        <f>IF(VLOOKUP(A151,'Actual Dates'!A4:AF302,26,),'Actual Dates'!#REF!,"")</f>
        <v>#REF!</v>
      </c>
      <c r="L151" s="73" t="e">
        <f>IF(VLOOKUP(A151,'Actual Dates'!A4:AF302,21,),'Actual Dates'!#REF!,"")</f>
        <v>#REF!</v>
      </c>
      <c r="M151" s="73" t="e">
        <f>'Date Calcs'!#REF!</f>
        <v>#REF!</v>
      </c>
      <c r="N151" s="73" t="e">
        <f>IF(VLOOKUP(A151,'Actual Dates'!A4:AF302,27,),'Actual Dates'!#REF!,"")</f>
        <v>#REF!</v>
      </c>
      <c r="O151" s="74" t="e">
        <f t="shared" si="97"/>
        <v>#REF!</v>
      </c>
      <c r="P151" s="75" t="e">
        <f t="shared" si="99"/>
        <v>#REF!</v>
      </c>
      <c r="Q151" s="75" t="e">
        <f t="shared" si="100"/>
        <v>#REF!</v>
      </c>
      <c r="R151" s="132"/>
      <c r="S151" s="133"/>
      <c r="T151" s="88"/>
      <c r="U151" s="88"/>
      <c r="V151" s="88"/>
      <c r="W151" s="88"/>
      <c r="X151" s="88"/>
      <c r="Y151" s="88"/>
      <c r="Z151" s="88"/>
      <c r="AA151" s="88"/>
      <c r="AB151" s="88"/>
    </row>
    <row r="152" spans="1:28" x14ac:dyDescent="0.25">
      <c r="A152" s="70" t="e">
        <f>'Actual Dates'!#REF!</f>
        <v>#REF!</v>
      </c>
      <c r="B152" s="71" t="e">
        <f>'Date Calcs'!#REF!</f>
        <v>#REF!</v>
      </c>
      <c r="C152" s="72" t="e">
        <f>'Date Calcs'!#REF!</f>
        <v>#REF!</v>
      </c>
      <c r="D152" s="73" t="e">
        <f t="shared" si="98"/>
        <v>#REF!</v>
      </c>
      <c r="E152" s="66" t="s">
        <v>67</v>
      </c>
      <c r="F152" s="73" t="e">
        <f>'Date Calcs'!#REF!</f>
        <v>#REF!</v>
      </c>
      <c r="G152" s="73" t="e">
        <f>IF(VLOOKUP(A152,'Actual Dates'!A4:AF280,8,),'Actual Dates'!#REF!,"")</f>
        <v>#REF!</v>
      </c>
      <c r="H152" s="73" t="e">
        <f t="shared" si="93"/>
        <v>#REF!</v>
      </c>
      <c r="I152" s="73" t="e">
        <f>IF(VLOOKUP(A152,'Actual Dates'!A4:AF275,25,),'Actual Dates'!#REF!,"")</f>
        <v>#REF!</v>
      </c>
      <c r="J152" s="73" t="e">
        <f t="shared" si="94"/>
        <v>#REF!</v>
      </c>
      <c r="K152" s="73" t="e">
        <f>IF(VLOOKUP(A152,'Actual Dates'!A4:AF303,26,),'Actual Dates'!#REF!,"")</f>
        <v>#REF!</v>
      </c>
      <c r="L152" s="73" t="e">
        <f>IF(VLOOKUP(A152,'Actual Dates'!A4:AF303,21,),'Actual Dates'!#REF!,"")</f>
        <v>#REF!</v>
      </c>
      <c r="M152" s="73" t="e">
        <f>'Date Calcs'!#REF!</f>
        <v>#REF!</v>
      </c>
      <c r="N152" s="73" t="e">
        <f>IF(VLOOKUP(A152,'Actual Dates'!A4:AF303,27,),'Actual Dates'!#REF!,"")</f>
        <v>#REF!</v>
      </c>
      <c r="O152" s="74" t="e">
        <f t="shared" si="97"/>
        <v>#REF!</v>
      </c>
      <c r="P152" s="75" t="e">
        <f t="shared" si="99"/>
        <v>#REF!</v>
      </c>
      <c r="Q152" s="75" t="e">
        <f t="shared" si="100"/>
        <v>#REF!</v>
      </c>
      <c r="R152" s="132"/>
      <c r="S152" s="133"/>
      <c r="T152" s="88"/>
      <c r="U152" s="88"/>
      <c r="V152" s="88"/>
      <c r="W152" s="88"/>
      <c r="X152" s="88"/>
      <c r="Y152" s="88"/>
      <c r="Z152" s="88"/>
      <c r="AA152" s="88"/>
      <c r="AB152" s="88"/>
    </row>
    <row r="153" spans="1:28" x14ac:dyDescent="0.25">
      <c r="A153" s="70" t="e">
        <f>'Actual Dates'!#REF!</f>
        <v>#REF!</v>
      </c>
      <c r="B153" s="71" t="e">
        <f>'Date Calcs'!#REF!</f>
        <v>#REF!</v>
      </c>
      <c r="C153" s="72" t="e">
        <f>'Date Calcs'!#REF!</f>
        <v>#REF!</v>
      </c>
      <c r="D153" s="73" t="e">
        <f t="shared" si="98"/>
        <v>#REF!</v>
      </c>
      <c r="E153" s="66">
        <v>43896</v>
      </c>
      <c r="F153" s="73" t="e">
        <f>'Date Calcs'!#REF!</f>
        <v>#REF!</v>
      </c>
      <c r="G153" s="73" t="e">
        <f>IF(VLOOKUP(A153,'Actual Dates'!A4:AF281,8,),'Actual Dates'!#REF!,"")</f>
        <v>#REF!</v>
      </c>
      <c r="H153" s="73" t="e">
        <f t="shared" si="93"/>
        <v>#REF!</v>
      </c>
      <c r="I153" s="73" t="e">
        <f>IF(VLOOKUP(A153,'Actual Dates'!A4:AF276,25,),'Actual Dates'!#REF!,"")</f>
        <v>#REF!</v>
      </c>
      <c r="J153" s="73" t="e">
        <f t="shared" si="94"/>
        <v>#REF!</v>
      </c>
      <c r="K153" s="73" t="e">
        <f>IF(VLOOKUP(A153,'Actual Dates'!A4:AF304,26,),'Actual Dates'!#REF!,"")</f>
        <v>#REF!</v>
      </c>
      <c r="L153" s="73" t="e">
        <f>IF(VLOOKUP(A153,'Actual Dates'!A4:AF304,21,),'Actual Dates'!#REF!,"")</f>
        <v>#REF!</v>
      </c>
      <c r="M153" s="73" t="e">
        <f>'Date Calcs'!#REF!</f>
        <v>#REF!</v>
      </c>
      <c r="N153" s="73" t="e">
        <f>IF(VLOOKUP(A153,'Actual Dates'!A4:AF304,27,),'Actual Dates'!#REF!,"")</f>
        <v>#REF!</v>
      </c>
      <c r="O153" s="74" t="e">
        <f t="shared" si="97"/>
        <v>#REF!</v>
      </c>
      <c r="P153" s="75" t="e">
        <f t="shared" si="99"/>
        <v>#REF!</v>
      </c>
      <c r="Q153" s="75" t="e">
        <f t="shared" si="100"/>
        <v>#REF!</v>
      </c>
      <c r="R153" s="132"/>
      <c r="S153" s="133"/>
      <c r="T153" s="88"/>
      <c r="U153" s="88"/>
      <c r="V153" s="88"/>
      <c r="W153" s="88"/>
      <c r="X153" s="88"/>
      <c r="Y153" s="88"/>
      <c r="Z153" s="88"/>
      <c r="AA153" s="88"/>
      <c r="AB153" s="88"/>
    </row>
    <row r="154" spans="1:28" x14ac:dyDescent="0.25">
      <c r="A154" s="70" t="e">
        <f>'Actual Dates'!#REF!</f>
        <v>#REF!</v>
      </c>
      <c r="B154" s="71" t="e">
        <f>'Date Calcs'!#REF!</f>
        <v>#REF!</v>
      </c>
      <c r="C154" s="72" t="e">
        <f>'Date Calcs'!#REF!</f>
        <v>#REF!</v>
      </c>
      <c r="D154" s="73" t="e">
        <f t="shared" si="98"/>
        <v>#REF!</v>
      </c>
      <c r="E154" s="66">
        <v>43896</v>
      </c>
      <c r="F154" s="73" t="e">
        <f>'Date Calcs'!#REF!</f>
        <v>#REF!</v>
      </c>
      <c r="G154" s="73" t="e">
        <f>IF(VLOOKUP(A154,'Actual Dates'!A4:AF282,8,),'Actual Dates'!#REF!,"")</f>
        <v>#REF!</v>
      </c>
      <c r="H154" s="73" t="e">
        <f t="shared" si="93"/>
        <v>#REF!</v>
      </c>
      <c r="I154" s="73" t="e">
        <f>IF(VLOOKUP(A154,'Actual Dates'!A4:AF277,25,),'Actual Dates'!#REF!,"")</f>
        <v>#REF!</v>
      </c>
      <c r="J154" s="73" t="e">
        <f t="shared" si="94"/>
        <v>#REF!</v>
      </c>
      <c r="K154" s="73" t="e">
        <f>IF(VLOOKUP(A154,'Actual Dates'!A4:AF305,26,),'Actual Dates'!#REF!,"")</f>
        <v>#REF!</v>
      </c>
      <c r="L154" s="73" t="e">
        <f>IF(VLOOKUP(A154,'Actual Dates'!A4:AF305,21,),'Actual Dates'!#REF!,"")</f>
        <v>#REF!</v>
      </c>
      <c r="M154" s="73" t="e">
        <f>'Date Calcs'!#REF!</f>
        <v>#REF!</v>
      </c>
      <c r="N154" s="73" t="e">
        <f>IF(VLOOKUP(A154,'Actual Dates'!A4:AF305,27,),'Actual Dates'!#REF!,"")</f>
        <v>#REF!</v>
      </c>
      <c r="O154" s="74" t="e">
        <f t="shared" si="97"/>
        <v>#REF!</v>
      </c>
      <c r="P154" s="75" t="e">
        <f t="shared" si="99"/>
        <v>#REF!</v>
      </c>
      <c r="Q154" s="75" t="e">
        <f t="shared" si="100"/>
        <v>#REF!</v>
      </c>
      <c r="R154" s="132"/>
      <c r="S154" s="133"/>
      <c r="T154" s="88"/>
      <c r="U154" s="88"/>
      <c r="V154" s="88"/>
      <c r="W154" s="88"/>
      <c r="X154" s="88"/>
      <c r="Y154" s="88"/>
      <c r="Z154" s="88"/>
      <c r="AA154" s="88"/>
      <c r="AB154" s="88"/>
    </row>
    <row r="155" spans="1:28" x14ac:dyDescent="0.25">
      <c r="A155" s="70" t="e">
        <f>'Actual Dates'!#REF!</f>
        <v>#REF!</v>
      </c>
      <c r="B155" s="71" t="e">
        <f>'Date Calcs'!#REF!</f>
        <v>#REF!</v>
      </c>
      <c r="C155" s="72" t="e">
        <f>'Date Calcs'!#REF!</f>
        <v>#REF!</v>
      </c>
      <c r="D155" s="73" t="e">
        <f t="shared" si="98"/>
        <v>#REF!</v>
      </c>
      <c r="E155" s="66" t="s">
        <v>67</v>
      </c>
      <c r="F155" s="73" t="e">
        <f>'Date Calcs'!#REF!</f>
        <v>#REF!</v>
      </c>
      <c r="G155" s="73" t="e">
        <f>IF(VLOOKUP(A155,'Actual Dates'!A4:AF283,8,),'Actual Dates'!#REF!,"")</f>
        <v>#REF!</v>
      </c>
      <c r="H155" s="73" t="e">
        <f t="shared" si="93"/>
        <v>#REF!</v>
      </c>
      <c r="I155" s="73" t="e">
        <f>IF(VLOOKUP(A155,'Actual Dates'!A4:AF278,25,),'Actual Dates'!#REF!,"")</f>
        <v>#REF!</v>
      </c>
      <c r="J155" s="73" t="e">
        <f t="shared" si="94"/>
        <v>#REF!</v>
      </c>
      <c r="K155" s="73" t="e">
        <f>IF(VLOOKUP(A155,'Actual Dates'!A4:AF306,26,),'Actual Dates'!#REF!,"")</f>
        <v>#REF!</v>
      </c>
      <c r="L155" s="73" t="e">
        <f>IF(VLOOKUP(A155,'Actual Dates'!A4:AF306,21,),'Actual Dates'!#REF!,"")</f>
        <v>#REF!</v>
      </c>
      <c r="M155" s="73" t="e">
        <f>'Date Calcs'!#REF!</f>
        <v>#REF!</v>
      </c>
      <c r="N155" s="73" t="e">
        <f>IF(VLOOKUP(A155,'Actual Dates'!A4:AF306,27,),'Actual Dates'!#REF!,"")</f>
        <v>#REF!</v>
      </c>
      <c r="O155" s="74" t="e">
        <f t="shared" si="97"/>
        <v>#REF!</v>
      </c>
      <c r="P155" s="75" t="e">
        <f t="shared" si="99"/>
        <v>#REF!</v>
      </c>
      <c r="Q155" s="75" t="e">
        <f t="shared" si="100"/>
        <v>#REF!</v>
      </c>
      <c r="R155" s="132"/>
      <c r="S155" s="133"/>
      <c r="T155" s="88"/>
      <c r="U155" s="88"/>
      <c r="V155" s="88"/>
      <c r="W155" s="88"/>
      <c r="X155" s="88"/>
      <c r="Y155" s="88"/>
      <c r="Z155" s="88"/>
      <c r="AA155" s="88"/>
      <c r="AB155" s="88"/>
    </row>
    <row r="156" spans="1:28" x14ac:dyDescent="0.25">
      <c r="A156" s="70" t="e">
        <f>'Actual Dates'!#REF!</f>
        <v>#REF!</v>
      </c>
      <c r="B156" s="71" t="e">
        <f>'Date Calcs'!#REF!</f>
        <v>#REF!</v>
      </c>
      <c r="C156" s="72" t="e">
        <f>'Date Calcs'!#REF!</f>
        <v>#REF!</v>
      </c>
      <c r="D156" s="73" t="e">
        <f t="shared" si="98"/>
        <v>#REF!</v>
      </c>
      <c r="E156" s="66">
        <v>43902</v>
      </c>
      <c r="F156" s="73" t="e">
        <f>'Date Calcs'!#REF!</f>
        <v>#REF!</v>
      </c>
      <c r="G156" s="73" t="e">
        <f>IF(VLOOKUP(A156,'Actual Dates'!A4:AF284,8,),'Actual Dates'!#REF!,"")</f>
        <v>#REF!</v>
      </c>
      <c r="H156" s="73" t="e">
        <f t="shared" si="93"/>
        <v>#REF!</v>
      </c>
      <c r="I156" s="73" t="e">
        <f>IF(VLOOKUP(A156,'Actual Dates'!A4:AF279,25,),'Actual Dates'!#REF!,"")</f>
        <v>#REF!</v>
      </c>
      <c r="J156" s="73" t="e">
        <f t="shared" si="94"/>
        <v>#REF!</v>
      </c>
      <c r="K156" s="73" t="e">
        <f>IF(VLOOKUP(A156,'Actual Dates'!A4:AF307,26,),'Actual Dates'!#REF!,"")</f>
        <v>#REF!</v>
      </c>
      <c r="L156" s="73" t="e">
        <f>IF(VLOOKUP(A156,'Actual Dates'!A4:AF307,21,),'Actual Dates'!#REF!,"")</f>
        <v>#REF!</v>
      </c>
      <c r="M156" s="73" t="e">
        <f>'Date Calcs'!#REF!</f>
        <v>#REF!</v>
      </c>
      <c r="N156" s="73" t="e">
        <f>IF(VLOOKUP(A156,'Actual Dates'!A4:AF307,27,),'Actual Dates'!#REF!,"")</f>
        <v>#REF!</v>
      </c>
      <c r="O156" s="74" t="e">
        <f t="shared" si="97"/>
        <v>#REF!</v>
      </c>
      <c r="P156" s="75" t="e">
        <f t="shared" si="99"/>
        <v>#REF!</v>
      </c>
      <c r="Q156" s="75" t="e">
        <f t="shared" si="100"/>
        <v>#REF!</v>
      </c>
      <c r="R156" s="132"/>
      <c r="S156" s="133"/>
      <c r="T156" s="88"/>
      <c r="U156" s="88"/>
      <c r="V156" s="88"/>
      <c r="W156" s="88"/>
      <c r="X156" s="88"/>
      <c r="Y156" s="88"/>
      <c r="Z156" s="88"/>
      <c r="AA156" s="88"/>
      <c r="AB156" s="88"/>
    </row>
    <row r="157" spans="1:28" x14ac:dyDescent="0.25">
      <c r="A157" s="70" t="e">
        <f>'Actual Dates'!#REF!</f>
        <v>#REF!</v>
      </c>
      <c r="B157" s="71" t="e">
        <f>'Date Calcs'!#REF!</f>
        <v>#REF!</v>
      </c>
      <c r="C157" s="72" t="e">
        <f>'Date Calcs'!#REF!</f>
        <v>#REF!</v>
      </c>
      <c r="D157" s="73" t="e">
        <f t="shared" si="98"/>
        <v>#REF!</v>
      </c>
      <c r="E157" s="66">
        <v>43906</v>
      </c>
      <c r="F157" s="73" t="e">
        <f>'Date Calcs'!#REF!</f>
        <v>#REF!</v>
      </c>
      <c r="G157" s="73" t="e">
        <f>IF(VLOOKUP(A157,'Actual Dates'!A4:AF285,8,),'Actual Dates'!#REF!,"")</f>
        <v>#REF!</v>
      </c>
      <c r="H157" s="73" t="e">
        <f t="shared" si="93"/>
        <v>#REF!</v>
      </c>
      <c r="I157" s="73" t="e">
        <f>IF(VLOOKUP(A157,'Actual Dates'!A4:AF280,25,),'Actual Dates'!#REF!,"")</f>
        <v>#REF!</v>
      </c>
      <c r="J157" s="73" t="e">
        <f t="shared" si="94"/>
        <v>#REF!</v>
      </c>
      <c r="K157" s="73" t="e">
        <f>IF(VLOOKUP(A157,'Actual Dates'!A4:AF308,26,),'Actual Dates'!#REF!,"")</f>
        <v>#REF!</v>
      </c>
      <c r="L157" s="73" t="e">
        <f>IF(VLOOKUP(A157,'Actual Dates'!A4:AF308,21,),'Actual Dates'!#REF!,"")</f>
        <v>#REF!</v>
      </c>
      <c r="M157" s="73" t="e">
        <f>'Date Calcs'!#REF!</f>
        <v>#REF!</v>
      </c>
      <c r="N157" s="73" t="e">
        <f>IF(VLOOKUP(A157,'Actual Dates'!A4:AF308,27,),'Actual Dates'!#REF!,"")</f>
        <v>#REF!</v>
      </c>
      <c r="O157" s="74" t="e">
        <f t="shared" si="97"/>
        <v>#REF!</v>
      </c>
      <c r="P157" s="75" t="e">
        <f t="shared" si="99"/>
        <v>#REF!</v>
      </c>
      <c r="Q157" s="75" t="e">
        <f t="shared" si="100"/>
        <v>#REF!</v>
      </c>
      <c r="R157" s="132"/>
      <c r="S157" s="133"/>
      <c r="T157" s="88"/>
      <c r="U157" s="88"/>
      <c r="V157" s="88"/>
      <c r="W157" s="88"/>
      <c r="X157" s="88"/>
      <c r="Y157" s="88"/>
      <c r="Z157" s="88"/>
      <c r="AA157" s="88"/>
      <c r="AB157" s="88"/>
    </row>
    <row r="158" spans="1:28" x14ac:dyDescent="0.25">
      <c r="A158" s="70" t="e">
        <f>'Actual Dates'!#REF!</f>
        <v>#REF!</v>
      </c>
      <c r="B158" s="71" t="e">
        <f>'Date Calcs'!#REF!</f>
        <v>#REF!</v>
      </c>
      <c r="C158" s="72" t="e">
        <f>'Date Calcs'!#REF!</f>
        <v>#REF!</v>
      </c>
      <c r="D158" s="73" t="e">
        <f t="shared" si="98"/>
        <v>#REF!</v>
      </c>
      <c r="E158" s="66">
        <v>43909</v>
      </c>
      <c r="F158" s="73" t="e">
        <f>'Date Calcs'!#REF!</f>
        <v>#REF!</v>
      </c>
      <c r="G158" s="73" t="e">
        <f>IF(VLOOKUP(A158,'Actual Dates'!A4:AF286,8,),'Actual Dates'!#REF!,"")</f>
        <v>#REF!</v>
      </c>
      <c r="H158" s="73" t="e">
        <f t="shared" si="93"/>
        <v>#REF!</v>
      </c>
      <c r="I158" s="73" t="e">
        <f>IF(VLOOKUP(A158,'Actual Dates'!A4:AF281,25,),'Actual Dates'!#REF!,"")</f>
        <v>#REF!</v>
      </c>
      <c r="J158" s="73" t="e">
        <f t="shared" si="94"/>
        <v>#REF!</v>
      </c>
      <c r="K158" s="73" t="e">
        <f>IF(VLOOKUP(A158,'Actual Dates'!A4:AF309,26,),'Actual Dates'!#REF!,"")</f>
        <v>#REF!</v>
      </c>
      <c r="L158" s="73" t="e">
        <f>IF(VLOOKUP(A158,'Actual Dates'!A4:AF309,21,),'Actual Dates'!#REF!,"")</f>
        <v>#REF!</v>
      </c>
      <c r="M158" s="73" t="e">
        <f>'Date Calcs'!#REF!</f>
        <v>#REF!</v>
      </c>
      <c r="N158" s="73" t="e">
        <f>IF(VLOOKUP(A158,'Actual Dates'!A4:AF309,27,),'Actual Dates'!#REF!,"")</f>
        <v>#REF!</v>
      </c>
      <c r="O158" s="74" t="e">
        <f t="shared" si="97"/>
        <v>#REF!</v>
      </c>
      <c r="P158" s="75" t="e">
        <f t="shared" si="99"/>
        <v>#REF!</v>
      </c>
      <c r="Q158" s="75" t="e">
        <f t="shared" si="100"/>
        <v>#REF!</v>
      </c>
      <c r="R158" s="132"/>
      <c r="S158" s="133"/>
      <c r="T158" s="88"/>
      <c r="U158" s="88"/>
      <c r="V158" s="88"/>
      <c r="W158" s="88"/>
      <c r="X158" s="88"/>
      <c r="Y158" s="88"/>
      <c r="Z158" s="88"/>
      <c r="AA158" s="88"/>
      <c r="AB158" s="88"/>
    </row>
    <row r="159" spans="1:28" x14ac:dyDescent="0.25">
      <c r="A159" s="70" t="e">
        <f>'Actual Dates'!#REF!</f>
        <v>#REF!</v>
      </c>
      <c r="B159" s="71" t="e">
        <f>'Date Calcs'!#REF!</f>
        <v>#REF!</v>
      </c>
      <c r="C159" s="72" t="e">
        <f>'Date Calcs'!#REF!</f>
        <v>#REF!</v>
      </c>
      <c r="D159" s="73" t="e">
        <f t="shared" si="98"/>
        <v>#REF!</v>
      </c>
      <c r="E159" s="66" t="s">
        <v>67</v>
      </c>
      <c r="F159" s="73" t="e">
        <f>'Date Calcs'!#REF!</f>
        <v>#REF!</v>
      </c>
      <c r="G159" s="73" t="e">
        <f>IF(VLOOKUP(A159,'Actual Dates'!A4:AF287,8,),'Actual Dates'!#REF!,"")</f>
        <v>#REF!</v>
      </c>
      <c r="H159" s="73" t="e">
        <f t="shared" si="93"/>
        <v>#REF!</v>
      </c>
      <c r="I159" s="73" t="e">
        <f>IF(VLOOKUP(A159,'Actual Dates'!A4:AF282,25,),'Actual Dates'!#REF!,"")</f>
        <v>#REF!</v>
      </c>
      <c r="J159" s="73" t="e">
        <f t="shared" si="94"/>
        <v>#REF!</v>
      </c>
      <c r="K159" s="73" t="e">
        <f>IF(VLOOKUP(A159,'Actual Dates'!A4:AF310,26,),'Actual Dates'!#REF!,"")</f>
        <v>#REF!</v>
      </c>
      <c r="L159" s="73" t="e">
        <f>IF(VLOOKUP(A159,'Actual Dates'!A4:AF310,21,),'Actual Dates'!#REF!,"")</f>
        <v>#REF!</v>
      </c>
      <c r="M159" s="73" t="e">
        <f>'Date Calcs'!#REF!</f>
        <v>#REF!</v>
      </c>
      <c r="N159" s="73" t="e">
        <f>IF(VLOOKUP(A159,'Actual Dates'!A4:AF310,27,),'Actual Dates'!#REF!,"")</f>
        <v>#REF!</v>
      </c>
      <c r="O159" s="74" t="e">
        <f t="shared" si="97"/>
        <v>#REF!</v>
      </c>
      <c r="P159" s="75" t="e">
        <f t="shared" si="99"/>
        <v>#REF!</v>
      </c>
      <c r="Q159" s="75" t="e">
        <f t="shared" si="100"/>
        <v>#REF!</v>
      </c>
      <c r="R159" s="132"/>
      <c r="S159" s="133"/>
      <c r="T159" s="88"/>
      <c r="U159" s="88"/>
      <c r="V159" s="88"/>
      <c r="W159" s="88"/>
      <c r="X159" s="88"/>
      <c r="Y159" s="88"/>
      <c r="Z159" s="88"/>
      <c r="AA159" s="88"/>
      <c r="AB159" s="88"/>
    </row>
    <row r="160" spans="1:28" x14ac:dyDescent="0.25">
      <c r="A160" s="70" t="e">
        <f>'Actual Dates'!#REF!</f>
        <v>#REF!</v>
      </c>
      <c r="B160" s="71" t="e">
        <f>'Date Calcs'!#REF!</f>
        <v>#REF!</v>
      </c>
      <c r="C160" s="72" t="e">
        <f>'Date Calcs'!#REF!</f>
        <v>#REF!</v>
      </c>
      <c r="D160" s="73" t="e">
        <f t="shared" si="98"/>
        <v>#REF!</v>
      </c>
      <c r="E160" s="66">
        <v>43913</v>
      </c>
      <c r="F160" s="73" t="e">
        <f>'Date Calcs'!#REF!</f>
        <v>#REF!</v>
      </c>
      <c r="G160" s="73" t="e">
        <f>IF(VLOOKUP(A160,'Actual Dates'!A4:AF288,8,),'Actual Dates'!#REF!,"")</f>
        <v>#REF!</v>
      </c>
      <c r="H160" s="73" t="e">
        <f t="shared" si="93"/>
        <v>#REF!</v>
      </c>
      <c r="I160" s="73" t="e">
        <f>IF(VLOOKUP(A160,'Actual Dates'!A4:AF283,25,),'Actual Dates'!#REF!,"")</f>
        <v>#REF!</v>
      </c>
      <c r="J160" s="73" t="e">
        <f t="shared" si="94"/>
        <v>#REF!</v>
      </c>
      <c r="K160" s="73" t="e">
        <f>IF(VLOOKUP(A160,'Actual Dates'!A4:AF311,26,),'Actual Dates'!#REF!,"")</f>
        <v>#REF!</v>
      </c>
      <c r="L160" s="73" t="e">
        <f>IF(VLOOKUP(A160,'Actual Dates'!A4:AF311,21,),'Actual Dates'!#REF!,"")</f>
        <v>#REF!</v>
      </c>
      <c r="M160" s="73" t="e">
        <f>'Date Calcs'!#REF!</f>
        <v>#REF!</v>
      </c>
      <c r="N160" s="73" t="e">
        <f>IF(VLOOKUP(A160,'Actual Dates'!A4:AF311,27,),'Actual Dates'!#REF!,"")</f>
        <v>#REF!</v>
      </c>
      <c r="O160" s="74" t="e">
        <f t="shared" si="97"/>
        <v>#REF!</v>
      </c>
      <c r="P160" s="75" t="e">
        <f t="shared" si="99"/>
        <v>#REF!</v>
      </c>
      <c r="Q160" s="75" t="e">
        <f t="shared" si="100"/>
        <v>#REF!</v>
      </c>
      <c r="R160" s="132"/>
      <c r="S160" s="133"/>
      <c r="T160" s="88"/>
      <c r="U160" s="88"/>
      <c r="V160" s="88"/>
      <c r="W160" s="88"/>
      <c r="X160" s="88"/>
      <c r="Y160" s="88"/>
      <c r="Z160" s="88"/>
      <c r="AA160" s="88"/>
      <c r="AB160" s="88"/>
    </row>
    <row r="161" spans="1:28" x14ac:dyDescent="0.25">
      <c r="A161" s="70" t="e">
        <f>'Actual Dates'!#REF!</f>
        <v>#REF!</v>
      </c>
      <c r="B161" s="71" t="e">
        <f>'Date Calcs'!#REF!</f>
        <v>#REF!</v>
      </c>
      <c r="C161" s="72" t="e">
        <f>'Date Calcs'!#REF!</f>
        <v>#REF!</v>
      </c>
      <c r="D161" s="73" t="e">
        <f t="shared" si="98"/>
        <v>#REF!</v>
      </c>
      <c r="E161" s="66" t="s">
        <v>67</v>
      </c>
      <c r="F161" s="73" t="e">
        <f>'Date Calcs'!#REF!</f>
        <v>#REF!</v>
      </c>
      <c r="G161" s="73" t="s">
        <v>67</v>
      </c>
      <c r="H161" s="73" t="e">
        <f t="shared" si="93"/>
        <v>#REF!</v>
      </c>
      <c r="I161" s="73" t="e">
        <f>IF(VLOOKUP(A161,'Actual Dates'!A4:AF284,25,),'Actual Dates'!#REF!,"")</f>
        <v>#REF!</v>
      </c>
      <c r="J161" s="73" t="e">
        <f t="shared" si="94"/>
        <v>#REF!</v>
      </c>
      <c r="K161" s="73" t="e">
        <f>IF(VLOOKUP(A161,'Actual Dates'!A4:AF312,26,),'Actual Dates'!#REF!,"")</f>
        <v>#REF!</v>
      </c>
      <c r="L161" s="73" t="e">
        <f>IF(VLOOKUP(A161,'Actual Dates'!A4:AF312,21,),'Actual Dates'!#REF!,"")</f>
        <v>#REF!</v>
      </c>
      <c r="M161" s="73" t="e">
        <f>'Date Calcs'!#REF!</f>
        <v>#REF!</v>
      </c>
      <c r="N161" s="73" t="e">
        <f>IF(VLOOKUP(A161,'Actual Dates'!A4:AF312,27,),'Actual Dates'!#REF!,"")</f>
        <v>#REF!</v>
      </c>
      <c r="O161" s="74" t="e">
        <f t="shared" si="97"/>
        <v>#REF!</v>
      </c>
      <c r="P161" s="75" t="e">
        <f t="shared" si="99"/>
        <v>#REF!</v>
      </c>
      <c r="Q161" s="75" t="e">
        <f t="shared" si="100"/>
        <v>#REF!</v>
      </c>
      <c r="R161" s="132"/>
      <c r="S161" s="133"/>
      <c r="T161" s="88"/>
      <c r="U161" s="88"/>
      <c r="V161" s="88"/>
      <c r="W161" s="88"/>
      <c r="X161" s="88"/>
      <c r="Y161" s="88"/>
      <c r="Z161" s="88"/>
      <c r="AA161" s="88"/>
      <c r="AB161" s="88"/>
    </row>
    <row r="162" spans="1:28" x14ac:dyDescent="0.25">
      <c r="A162" s="70" t="e">
        <f>'Actual Dates'!#REF!</f>
        <v>#REF!</v>
      </c>
      <c r="B162" s="71" t="e">
        <f>'Date Calcs'!#REF!</f>
        <v>#REF!</v>
      </c>
      <c r="C162" s="72" t="e">
        <f>'Date Calcs'!#REF!</f>
        <v>#REF!</v>
      </c>
      <c r="D162" s="73" t="e">
        <f t="shared" si="98"/>
        <v>#REF!</v>
      </c>
      <c r="E162" s="66">
        <v>43913</v>
      </c>
      <c r="F162" s="73" t="e">
        <f>'Date Calcs'!#REF!</f>
        <v>#REF!</v>
      </c>
      <c r="G162" s="73" t="e">
        <f>IF(VLOOKUP(A162,'Actual Dates'!A4:AF290,8,),'Actual Dates'!#REF!,"")</f>
        <v>#REF!</v>
      </c>
      <c r="H162" s="73" t="e">
        <f t="shared" si="93"/>
        <v>#REF!</v>
      </c>
      <c r="I162" s="73" t="e">
        <f>IF(VLOOKUP(A162,'Actual Dates'!A4:AF285,25,),'Actual Dates'!#REF!,"")</f>
        <v>#REF!</v>
      </c>
      <c r="J162" s="73" t="e">
        <f t="shared" si="94"/>
        <v>#REF!</v>
      </c>
      <c r="K162" s="73" t="e">
        <f>IF(VLOOKUP(A162,'Actual Dates'!A4:AF313,26,),'Actual Dates'!#REF!,"")</f>
        <v>#REF!</v>
      </c>
      <c r="L162" s="73" t="e">
        <f>IF(VLOOKUP(A162,'Actual Dates'!A4:AF313,21,),'Actual Dates'!#REF!,"")</f>
        <v>#REF!</v>
      </c>
      <c r="M162" s="73" t="e">
        <f>'Date Calcs'!#REF!</f>
        <v>#REF!</v>
      </c>
      <c r="N162" s="73" t="e">
        <f>IF(VLOOKUP(A162,'Actual Dates'!A4:AF313,27,),'Actual Dates'!#REF!,"")</f>
        <v>#REF!</v>
      </c>
      <c r="O162" s="74" t="e">
        <f t="shared" si="97"/>
        <v>#REF!</v>
      </c>
      <c r="P162" s="75" t="e">
        <f t="shared" si="99"/>
        <v>#REF!</v>
      </c>
      <c r="Q162" s="75" t="e">
        <f t="shared" si="100"/>
        <v>#REF!</v>
      </c>
      <c r="R162" s="132"/>
      <c r="S162" s="133"/>
      <c r="T162" s="88"/>
      <c r="U162" s="88"/>
      <c r="V162" s="88"/>
      <c r="W162" s="88"/>
      <c r="X162" s="88"/>
      <c r="Y162" s="88"/>
      <c r="Z162" s="88"/>
      <c r="AA162" s="88"/>
      <c r="AB162" s="88"/>
    </row>
    <row r="163" spans="1:28" x14ac:dyDescent="0.25">
      <c r="A163" s="70" t="e">
        <f>'Actual Dates'!#REF!</f>
        <v>#REF!</v>
      </c>
      <c r="B163" s="71" t="e">
        <f>'Date Calcs'!#REF!</f>
        <v>#REF!</v>
      </c>
      <c r="C163" s="72" t="e">
        <f>'Date Calcs'!#REF!</f>
        <v>#REF!</v>
      </c>
      <c r="D163" s="73" t="e">
        <f t="shared" ref="D163:D173" si="101">WORKDAY(F163,-1,)</f>
        <v>#REF!</v>
      </c>
      <c r="E163" s="66">
        <v>43908</v>
      </c>
      <c r="F163" s="73" t="e">
        <f>'Date Calcs'!#REF!</f>
        <v>#REF!</v>
      </c>
      <c r="G163" s="73" t="e">
        <f>IF(VLOOKUP(A163,'Actual Dates'!A4:AF291,8,),'Actual Dates'!#REF!,"")</f>
        <v>#REF!</v>
      </c>
      <c r="H163" s="73" t="e">
        <f t="shared" ref="H163:H173" si="102">WORKDAY(L163,3,)</f>
        <v>#REF!</v>
      </c>
      <c r="I163" s="73" t="e">
        <f>IF(VLOOKUP(A163,'Actual Dates'!A4:AF286,25,),'Actual Dates'!#REF!,"")</f>
        <v>#REF!</v>
      </c>
      <c r="J163" s="73" t="e">
        <f t="shared" ref="J163:J173" si="103">WORKDAY(L163,4,)</f>
        <v>#REF!</v>
      </c>
      <c r="K163" s="73" t="e">
        <f>IF(VLOOKUP(A163,'Actual Dates'!A4:AF314,26,),'Actual Dates'!#REF!,"")</f>
        <v>#REF!</v>
      </c>
      <c r="L163" s="73" t="e">
        <f>IF(VLOOKUP(A163,'Actual Dates'!A4:AF314,21,),'Actual Dates'!#REF!,"")</f>
        <v>#REF!</v>
      </c>
      <c r="M163" s="73" t="e">
        <f>'Date Calcs'!#REF!</f>
        <v>#REF!</v>
      </c>
      <c r="N163" s="73" t="e">
        <f>IF(VLOOKUP(A163,'Actual Dates'!A4:AF314,27,),'Actual Dates'!#REF!,"")</f>
        <v>#REF!</v>
      </c>
      <c r="O163" s="74" t="e">
        <f t="shared" ref="O163:O173" si="104">N163-C163</f>
        <v>#REF!</v>
      </c>
      <c r="P163" s="75" t="e">
        <f t="shared" ref="P163:P173" si="105">F163-G163</f>
        <v>#REF!</v>
      </c>
      <c r="Q163" s="75" t="e">
        <f t="shared" ref="Q163:Q173" si="106">M163-N163</f>
        <v>#REF!</v>
      </c>
      <c r="R163" s="132"/>
      <c r="S163" s="133"/>
      <c r="T163" s="88"/>
      <c r="U163" s="88"/>
      <c r="V163" s="88"/>
      <c r="W163" s="88"/>
      <c r="X163" s="88"/>
      <c r="Y163" s="88"/>
      <c r="Z163" s="88"/>
      <c r="AA163" s="88"/>
      <c r="AB163" s="88"/>
    </row>
    <row r="164" spans="1:28" x14ac:dyDescent="0.25">
      <c r="A164" s="70" t="e">
        <f>'Actual Dates'!#REF!</f>
        <v>#REF!</v>
      </c>
      <c r="B164" s="71" t="e">
        <f>'Date Calcs'!#REF!</f>
        <v>#REF!</v>
      </c>
      <c r="C164" s="72" t="e">
        <f>'Date Calcs'!#REF!</f>
        <v>#REF!</v>
      </c>
      <c r="D164" s="73" t="e">
        <f t="shared" si="101"/>
        <v>#REF!</v>
      </c>
      <c r="E164" s="66">
        <v>43942</v>
      </c>
      <c r="F164" s="73" t="e">
        <f>'Date Calcs'!#REF!</f>
        <v>#REF!</v>
      </c>
      <c r="G164" s="73" t="e">
        <f>IF(VLOOKUP(A164,'Actual Dates'!A4:AF292,8,),'Actual Dates'!#REF!,"")</f>
        <v>#REF!</v>
      </c>
      <c r="H164" s="73" t="e">
        <f t="shared" si="102"/>
        <v>#REF!</v>
      </c>
      <c r="I164" s="73" t="e">
        <f>IF(VLOOKUP(A164,'Actual Dates'!A4:AF287,25,),'Actual Dates'!#REF!,"")</f>
        <v>#REF!</v>
      </c>
      <c r="J164" s="73" t="e">
        <f t="shared" si="103"/>
        <v>#REF!</v>
      </c>
      <c r="K164" s="73" t="e">
        <f>IF(VLOOKUP(A164,'Actual Dates'!A4:AF315,26,),'Actual Dates'!#REF!,"")</f>
        <v>#REF!</v>
      </c>
      <c r="L164" s="73" t="e">
        <f>IF(VLOOKUP(A164,'Actual Dates'!A4:AF315,21,),'Actual Dates'!#REF!,"")</f>
        <v>#REF!</v>
      </c>
      <c r="M164" s="73" t="e">
        <f>'Date Calcs'!#REF!</f>
        <v>#REF!</v>
      </c>
      <c r="N164" s="73" t="e">
        <f>IF(VLOOKUP(A164,'Actual Dates'!A4:AF315,27,),'Actual Dates'!#REF!,"")</f>
        <v>#REF!</v>
      </c>
      <c r="O164" s="74" t="e">
        <f t="shared" si="104"/>
        <v>#REF!</v>
      </c>
      <c r="P164" s="75" t="e">
        <f t="shared" si="105"/>
        <v>#REF!</v>
      </c>
      <c r="Q164" s="75" t="e">
        <f t="shared" si="106"/>
        <v>#REF!</v>
      </c>
      <c r="R164" s="132"/>
      <c r="S164" s="133"/>
      <c r="T164" s="88"/>
      <c r="U164" s="88"/>
      <c r="V164" s="88"/>
      <c r="W164" s="88"/>
      <c r="X164" s="88"/>
      <c r="Y164" s="88"/>
      <c r="Z164" s="88"/>
      <c r="AA164" s="88"/>
      <c r="AB164" s="88"/>
    </row>
    <row r="165" spans="1:28" x14ac:dyDescent="0.25">
      <c r="A165" s="70" t="e">
        <f>'Actual Dates'!#REF!</f>
        <v>#REF!</v>
      </c>
      <c r="B165" s="71" t="e">
        <f>'Date Calcs'!#REF!</f>
        <v>#REF!</v>
      </c>
      <c r="C165" s="72" t="e">
        <f>'Date Calcs'!#REF!</f>
        <v>#REF!</v>
      </c>
      <c r="D165" s="73" t="e">
        <f t="shared" si="101"/>
        <v>#REF!</v>
      </c>
      <c r="E165" s="66">
        <v>43927</v>
      </c>
      <c r="F165" s="73" t="e">
        <f>'Date Calcs'!#REF!</f>
        <v>#REF!</v>
      </c>
      <c r="G165" s="73" t="e">
        <f>IF(VLOOKUP(A165,'Actual Dates'!A4:AF293,8,),'Actual Dates'!#REF!,"")</f>
        <v>#REF!</v>
      </c>
      <c r="H165" s="73" t="e">
        <f t="shared" si="102"/>
        <v>#REF!</v>
      </c>
      <c r="I165" s="73" t="e">
        <f>IF(VLOOKUP(A165,'Actual Dates'!A4:AF288,25,),'Actual Dates'!#REF!,"")</f>
        <v>#REF!</v>
      </c>
      <c r="J165" s="73" t="e">
        <f t="shared" si="103"/>
        <v>#REF!</v>
      </c>
      <c r="K165" s="73" t="e">
        <f>IF(VLOOKUP(A165,'Actual Dates'!A4:AF316,26,),'Actual Dates'!#REF!,"")</f>
        <v>#REF!</v>
      </c>
      <c r="L165" s="73" t="e">
        <f>IF(VLOOKUP(A165,'Actual Dates'!A4:AF316,21,),'Actual Dates'!#REF!,"")</f>
        <v>#REF!</v>
      </c>
      <c r="M165" s="73" t="e">
        <f>'Date Calcs'!#REF!</f>
        <v>#REF!</v>
      </c>
      <c r="N165" s="73" t="e">
        <f>IF(VLOOKUP(A165,'Actual Dates'!A4:AF316,27,),'Actual Dates'!#REF!,"")</f>
        <v>#REF!</v>
      </c>
      <c r="O165" s="74" t="e">
        <f t="shared" si="104"/>
        <v>#REF!</v>
      </c>
      <c r="P165" s="75" t="e">
        <f t="shared" si="105"/>
        <v>#REF!</v>
      </c>
      <c r="Q165" s="75" t="e">
        <f t="shared" si="106"/>
        <v>#REF!</v>
      </c>
      <c r="R165" s="132"/>
      <c r="S165" s="133"/>
      <c r="T165" s="88"/>
      <c r="U165" s="88"/>
      <c r="V165" s="88"/>
      <c r="W165" s="88"/>
      <c r="X165" s="88"/>
      <c r="Y165" s="88"/>
      <c r="Z165" s="88"/>
      <c r="AA165" s="88"/>
      <c r="AB165" s="88"/>
    </row>
    <row r="166" spans="1:28" x14ac:dyDescent="0.25">
      <c r="A166" s="70" t="e">
        <f>'Actual Dates'!#REF!</f>
        <v>#REF!</v>
      </c>
      <c r="B166" s="71" t="e">
        <f>'Date Calcs'!#REF!</f>
        <v>#REF!</v>
      </c>
      <c r="C166" s="72" t="e">
        <f>'Date Calcs'!#REF!</f>
        <v>#REF!</v>
      </c>
      <c r="D166" s="73" t="e">
        <f t="shared" si="101"/>
        <v>#REF!</v>
      </c>
      <c r="E166" s="66">
        <v>43927</v>
      </c>
      <c r="F166" s="73" t="e">
        <f>'Date Calcs'!#REF!</f>
        <v>#REF!</v>
      </c>
      <c r="G166" s="73" t="e">
        <f>IF(VLOOKUP(A166,'Actual Dates'!A4:AF294,8,),'Actual Dates'!#REF!,"")</f>
        <v>#REF!</v>
      </c>
      <c r="H166" s="73" t="e">
        <f t="shared" si="102"/>
        <v>#REF!</v>
      </c>
      <c r="I166" s="73" t="e">
        <f>IF(VLOOKUP(A166,'Actual Dates'!A4:AF289,25,),'Actual Dates'!#REF!,"")</f>
        <v>#REF!</v>
      </c>
      <c r="J166" s="73" t="e">
        <f t="shared" si="103"/>
        <v>#REF!</v>
      </c>
      <c r="K166" s="73" t="e">
        <f>IF(VLOOKUP(A166,'Actual Dates'!A4:AF317,26,),'Actual Dates'!#REF!,"")</f>
        <v>#REF!</v>
      </c>
      <c r="L166" s="73" t="e">
        <f>IF(VLOOKUP(A166,'Actual Dates'!A4:AF317,21,),'Actual Dates'!#REF!,"")</f>
        <v>#REF!</v>
      </c>
      <c r="M166" s="73" t="e">
        <f>'Date Calcs'!#REF!</f>
        <v>#REF!</v>
      </c>
      <c r="N166" s="73" t="e">
        <f>IF(VLOOKUP(A166,'Actual Dates'!A4:AF317,27,),'Actual Dates'!#REF!,"")</f>
        <v>#REF!</v>
      </c>
      <c r="O166" s="74" t="e">
        <f t="shared" si="104"/>
        <v>#REF!</v>
      </c>
      <c r="P166" s="75" t="e">
        <f t="shared" si="105"/>
        <v>#REF!</v>
      </c>
      <c r="Q166" s="75" t="e">
        <f t="shared" si="106"/>
        <v>#REF!</v>
      </c>
      <c r="R166" s="132"/>
      <c r="S166" s="133"/>
      <c r="T166" s="88"/>
      <c r="U166" s="88"/>
      <c r="V166" s="88"/>
      <c r="W166" s="88"/>
      <c r="X166" s="88"/>
      <c r="Y166" s="88"/>
      <c r="Z166" s="88"/>
      <c r="AA166" s="88"/>
      <c r="AB166" s="88"/>
    </row>
    <row r="167" spans="1:28" x14ac:dyDescent="0.25">
      <c r="A167" s="70" t="e">
        <f>'Actual Dates'!#REF!</f>
        <v>#REF!</v>
      </c>
      <c r="B167" s="71" t="e">
        <f>'Date Calcs'!#REF!</f>
        <v>#REF!</v>
      </c>
      <c r="C167" s="72" t="e">
        <f>'Date Calcs'!#REF!</f>
        <v>#REF!</v>
      </c>
      <c r="D167" s="73" t="e">
        <f t="shared" si="101"/>
        <v>#REF!</v>
      </c>
      <c r="E167" s="66">
        <v>43916</v>
      </c>
      <c r="F167" s="73" t="e">
        <f>'Date Calcs'!#REF!</f>
        <v>#REF!</v>
      </c>
      <c r="G167" s="73" t="e">
        <f>IF(VLOOKUP(A167,'Actual Dates'!A4:AF295,8,),'Actual Dates'!#REF!,"")</f>
        <v>#REF!</v>
      </c>
      <c r="H167" s="73" t="e">
        <f t="shared" si="102"/>
        <v>#REF!</v>
      </c>
      <c r="I167" s="73" t="e">
        <f>IF(VLOOKUP(A167,'Actual Dates'!A4:AF290,25,),'Actual Dates'!#REF!,"")</f>
        <v>#REF!</v>
      </c>
      <c r="J167" s="73" t="e">
        <f t="shared" si="103"/>
        <v>#REF!</v>
      </c>
      <c r="K167" s="73" t="e">
        <f>IF(VLOOKUP(A167,'Actual Dates'!A4:AF318,26,),'Actual Dates'!#REF!,"")</f>
        <v>#REF!</v>
      </c>
      <c r="L167" s="73" t="e">
        <f>IF(VLOOKUP(A167,'Actual Dates'!A4:AF318,21,),'Actual Dates'!#REF!,"")</f>
        <v>#REF!</v>
      </c>
      <c r="M167" s="73" t="e">
        <f>'Date Calcs'!#REF!</f>
        <v>#REF!</v>
      </c>
      <c r="N167" s="73" t="e">
        <f>IF(VLOOKUP(A167,'Actual Dates'!A4:AF318,27,),'Actual Dates'!#REF!,"")</f>
        <v>#REF!</v>
      </c>
      <c r="O167" s="74" t="e">
        <f t="shared" si="104"/>
        <v>#REF!</v>
      </c>
      <c r="P167" s="75" t="e">
        <f t="shared" si="105"/>
        <v>#REF!</v>
      </c>
      <c r="Q167" s="75" t="e">
        <f t="shared" si="106"/>
        <v>#REF!</v>
      </c>
      <c r="R167" s="132"/>
      <c r="S167" s="133"/>
      <c r="T167" s="88"/>
      <c r="U167" s="88"/>
      <c r="V167" s="88"/>
      <c r="W167" s="88"/>
      <c r="X167" s="88"/>
      <c r="Y167" s="88"/>
      <c r="Z167" s="88"/>
      <c r="AA167" s="88"/>
      <c r="AB167" s="88"/>
    </row>
    <row r="168" spans="1:28" x14ac:dyDescent="0.25">
      <c r="A168" s="70" t="e">
        <f>'Actual Dates'!#REF!</f>
        <v>#REF!</v>
      </c>
      <c r="B168" s="71" t="e">
        <f>'Date Calcs'!#REF!</f>
        <v>#REF!</v>
      </c>
      <c r="C168" s="72" t="e">
        <f>'Date Calcs'!#REF!</f>
        <v>#REF!</v>
      </c>
      <c r="D168" s="73" t="e">
        <f t="shared" si="101"/>
        <v>#REF!</v>
      </c>
      <c r="E168" s="66">
        <v>43916</v>
      </c>
      <c r="F168" s="73" t="e">
        <f>'Date Calcs'!#REF!</f>
        <v>#REF!</v>
      </c>
      <c r="G168" s="73" t="e">
        <f>IF(VLOOKUP(A168,'Actual Dates'!A4:AF296,8,),'Actual Dates'!#REF!,"")</f>
        <v>#REF!</v>
      </c>
      <c r="H168" s="73" t="e">
        <f t="shared" si="102"/>
        <v>#REF!</v>
      </c>
      <c r="I168" s="73" t="e">
        <f>IF(VLOOKUP(A168,'Actual Dates'!A4:AF291,25,),'Actual Dates'!#REF!,"")</f>
        <v>#REF!</v>
      </c>
      <c r="J168" s="73" t="e">
        <f t="shared" si="103"/>
        <v>#REF!</v>
      </c>
      <c r="K168" s="73" t="e">
        <f>IF(VLOOKUP(A168,'Actual Dates'!A4:AF319,26,),'Actual Dates'!#REF!,"")</f>
        <v>#REF!</v>
      </c>
      <c r="L168" s="73" t="e">
        <f>IF(VLOOKUP(A168,'Actual Dates'!A4:AF319,21,),'Actual Dates'!#REF!,"")</f>
        <v>#REF!</v>
      </c>
      <c r="M168" s="73" t="e">
        <f>'Date Calcs'!#REF!</f>
        <v>#REF!</v>
      </c>
      <c r="N168" s="73" t="e">
        <f>IF(VLOOKUP(A168,'Actual Dates'!A4:AF319,27,),'Actual Dates'!#REF!,"")</f>
        <v>#REF!</v>
      </c>
      <c r="O168" s="74" t="e">
        <f t="shared" si="104"/>
        <v>#REF!</v>
      </c>
      <c r="P168" s="75" t="e">
        <f t="shared" si="105"/>
        <v>#REF!</v>
      </c>
      <c r="Q168" s="75" t="e">
        <f t="shared" si="106"/>
        <v>#REF!</v>
      </c>
      <c r="R168" s="132"/>
      <c r="S168" s="133"/>
      <c r="T168" s="88"/>
      <c r="U168" s="88"/>
      <c r="V168" s="88"/>
      <c r="W168" s="88"/>
      <c r="X168" s="88"/>
      <c r="Y168" s="88"/>
      <c r="Z168" s="88"/>
      <c r="AA168" s="88"/>
      <c r="AB168" s="88"/>
    </row>
    <row r="169" spans="1:28" x14ac:dyDescent="0.25">
      <c r="A169" s="70" t="e">
        <f>'Actual Dates'!#REF!</f>
        <v>#REF!</v>
      </c>
      <c r="B169" s="71" t="e">
        <f>'Date Calcs'!#REF!</f>
        <v>#REF!</v>
      </c>
      <c r="C169" s="72" t="e">
        <f>'Date Calcs'!#REF!</f>
        <v>#REF!</v>
      </c>
      <c r="D169" s="73" t="e">
        <f t="shared" si="101"/>
        <v>#REF!</v>
      </c>
      <c r="E169" s="66">
        <v>43922</v>
      </c>
      <c r="F169" s="73" t="e">
        <f>'Date Calcs'!#REF!</f>
        <v>#REF!</v>
      </c>
      <c r="G169" s="73" t="e">
        <f>IF(VLOOKUP(A169,'Actual Dates'!A4:AF297,8,),'Actual Dates'!#REF!,"")</f>
        <v>#REF!</v>
      </c>
      <c r="H169" s="73" t="e">
        <f t="shared" si="102"/>
        <v>#REF!</v>
      </c>
      <c r="I169" s="73" t="e">
        <f>IF(VLOOKUP(A169,'Actual Dates'!A4:AF292,25,),'Actual Dates'!#REF!,"")</f>
        <v>#REF!</v>
      </c>
      <c r="J169" s="73" t="e">
        <f t="shared" si="103"/>
        <v>#REF!</v>
      </c>
      <c r="K169" s="73" t="e">
        <f>IF(VLOOKUP(A169,'Actual Dates'!A4:AF320,26,),'Actual Dates'!#REF!,"")</f>
        <v>#REF!</v>
      </c>
      <c r="L169" s="73" t="e">
        <f>IF(VLOOKUP(A169,'Actual Dates'!A4:AF320,21,),'Actual Dates'!#REF!,"")</f>
        <v>#REF!</v>
      </c>
      <c r="M169" s="73" t="e">
        <f>'Date Calcs'!#REF!</f>
        <v>#REF!</v>
      </c>
      <c r="N169" s="73" t="e">
        <f>IF(VLOOKUP(A169,'Actual Dates'!A4:AF320,27,),'Actual Dates'!#REF!,"")</f>
        <v>#REF!</v>
      </c>
      <c r="O169" s="74" t="e">
        <f t="shared" si="104"/>
        <v>#REF!</v>
      </c>
      <c r="P169" s="75" t="e">
        <f t="shared" si="105"/>
        <v>#REF!</v>
      </c>
      <c r="Q169" s="75" t="e">
        <f t="shared" si="106"/>
        <v>#REF!</v>
      </c>
      <c r="R169" s="132"/>
      <c r="S169" s="133"/>
      <c r="T169" s="88"/>
      <c r="U169" s="88"/>
      <c r="V169" s="88"/>
      <c r="W169" s="88"/>
      <c r="X169" s="88"/>
      <c r="Y169" s="88"/>
      <c r="Z169" s="88"/>
      <c r="AA169" s="88"/>
      <c r="AB169" s="88"/>
    </row>
    <row r="170" spans="1:28" x14ac:dyDescent="0.25">
      <c r="A170" s="70" t="e">
        <f>'Actual Dates'!#REF!</f>
        <v>#REF!</v>
      </c>
      <c r="B170" s="71" t="e">
        <f>'Date Calcs'!#REF!</f>
        <v>#REF!</v>
      </c>
      <c r="C170" s="72" t="e">
        <f>'Date Calcs'!#REF!</f>
        <v>#REF!</v>
      </c>
      <c r="D170" s="73" t="e">
        <f t="shared" si="101"/>
        <v>#REF!</v>
      </c>
      <c r="E170" s="66">
        <v>43922</v>
      </c>
      <c r="F170" s="73" t="e">
        <f>'Date Calcs'!#REF!</f>
        <v>#REF!</v>
      </c>
      <c r="G170" s="73" t="e">
        <f>IF(VLOOKUP(A170,'Actual Dates'!A4:AF298,8,),'Actual Dates'!#REF!,"")</f>
        <v>#REF!</v>
      </c>
      <c r="H170" s="73" t="e">
        <f t="shared" si="102"/>
        <v>#REF!</v>
      </c>
      <c r="I170" s="73" t="e">
        <f>IF(VLOOKUP(A170,'Actual Dates'!A4:AF293,25,),'Actual Dates'!#REF!,"")</f>
        <v>#REF!</v>
      </c>
      <c r="J170" s="73" t="e">
        <f t="shared" si="103"/>
        <v>#REF!</v>
      </c>
      <c r="K170" s="73" t="e">
        <f>IF(VLOOKUP(A170,'Actual Dates'!A4:AF321,26,),'Actual Dates'!#REF!,"")</f>
        <v>#REF!</v>
      </c>
      <c r="L170" s="73" t="e">
        <f>IF(VLOOKUP(A170,'Actual Dates'!A4:AF321,21,),'Actual Dates'!#REF!,"")</f>
        <v>#REF!</v>
      </c>
      <c r="M170" s="73" t="e">
        <f>'Date Calcs'!#REF!</f>
        <v>#REF!</v>
      </c>
      <c r="N170" s="73" t="e">
        <f>IF(VLOOKUP(A170,'Actual Dates'!A4:AF321,27,),'Actual Dates'!#REF!,"")</f>
        <v>#REF!</v>
      </c>
      <c r="O170" s="74" t="e">
        <f t="shared" si="104"/>
        <v>#REF!</v>
      </c>
      <c r="P170" s="75" t="e">
        <f t="shared" si="105"/>
        <v>#REF!</v>
      </c>
      <c r="Q170" s="75" t="e">
        <f t="shared" si="106"/>
        <v>#REF!</v>
      </c>
      <c r="R170" s="132"/>
      <c r="S170" s="133"/>
      <c r="T170" s="88"/>
      <c r="U170" s="88"/>
      <c r="V170" s="88"/>
      <c r="W170" s="88"/>
      <c r="X170" s="88"/>
      <c r="Y170" s="88"/>
      <c r="Z170" s="88"/>
      <c r="AA170" s="88"/>
      <c r="AB170" s="88"/>
    </row>
    <row r="171" spans="1:28" x14ac:dyDescent="0.25">
      <c r="A171" s="70" t="e">
        <f>'Actual Dates'!#REF!</f>
        <v>#REF!</v>
      </c>
      <c r="B171" s="71" t="e">
        <f>'Date Calcs'!#REF!</f>
        <v>#REF!</v>
      </c>
      <c r="C171" s="72" t="e">
        <f>'Date Calcs'!#REF!</f>
        <v>#REF!</v>
      </c>
      <c r="D171" s="73" t="e">
        <f t="shared" si="101"/>
        <v>#REF!</v>
      </c>
      <c r="E171" s="66">
        <v>43927</v>
      </c>
      <c r="F171" s="73" t="e">
        <f>'Date Calcs'!#REF!</f>
        <v>#REF!</v>
      </c>
      <c r="G171" s="73" t="e">
        <f>IF(VLOOKUP(A171,'Actual Dates'!A4:AF299,8,),'Actual Dates'!#REF!,"")</f>
        <v>#REF!</v>
      </c>
      <c r="H171" s="73" t="e">
        <f t="shared" si="102"/>
        <v>#REF!</v>
      </c>
      <c r="I171" s="73" t="e">
        <f>IF(VLOOKUP(A171,'Actual Dates'!A4:AF294,25,),'Actual Dates'!#REF!,"")</f>
        <v>#REF!</v>
      </c>
      <c r="J171" s="73" t="e">
        <f t="shared" si="103"/>
        <v>#REF!</v>
      </c>
      <c r="K171" s="73" t="e">
        <f>IF(VLOOKUP(A171,'Actual Dates'!A4:AF322,26,),'Actual Dates'!#REF!,"")</f>
        <v>#REF!</v>
      </c>
      <c r="L171" s="73" t="e">
        <f>IF(VLOOKUP(A171,'Actual Dates'!A4:AF322,21,),'Actual Dates'!#REF!,"")</f>
        <v>#REF!</v>
      </c>
      <c r="M171" s="73" t="e">
        <f>'Date Calcs'!#REF!</f>
        <v>#REF!</v>
      </c>
      <c r="N171" s="73" t="e">
        <f>IF(VLOOKUP(A171,'Actual Dates'!A4:AF322,27,),'Actual Dates'!#REF!,"")</f>
        <v>#REF!</v>
      </c>
      <c r="O171" s="74" t="e">
        <f t="shared" si="104"/>
        <v>#REF!</v>
      </c>
      <c r="P171" s="75" t="e">
        <f t="shared" si="105"/>
        <v>#REF!</v>
      </c>
      <c r="Q171" s="75" t="e">
        <f t="shared" si="106"/>
        <v>#REF!</v>
      </c>
      <c r="R171" s="132"/>
      <c r="S171" s="133"/>
      <c r="T171" s="88"/>
      <c r="U171" s="88"/>
      <c r="V171" s="88"/>
      <c r="W171" s="88"/>
      <c r="X171" s="88"/>
      <c r="Y171" s="88"/>
      <c r="Z171" s="88"/>
      <c r="AA171" s="88"/>
      <c r="AB171" s="88"/>
    </row>
    <row r="172" spans="1:28" x14ac:dyDescent="0.25">
      <c r="A172" s="70" t="e">
        <f>'Actual Dates'!#REF!</f>
        <v>#REF!</v>
      </c>
      <c r="B172" s="71" t="e">
        <f>'Date Calcs'!#REF!</f>
        <v>#REF!</v>
      </c>
      <c r="C172" s="72" t="e">
        <f>'Date Calcs'!#REF!</f>
        <v>#REF!</v>
      </c>
      <c r="D172" s="73" t="e">
        <f t="shared" si="101"/>
        <v>#REF!</v>
      </c>
      <c r="E172" s="66">
        <v>43927</v>
      </c>
      <c r="F172" s="73" t="e">
        <f>'Date Calcs'!#REF!</f>
        <v>#REF!</v>
      </c>
      <c r="G172" s="73" t="e">
        <f>IF(VLOOKUP(A172,'Actual Dates'!A4:AF300,8,),'Actual Dates'!#REF!,"")</f>
        <v>#REF!</v>
      </c>
      <c r="H172" s="73" t="e">
        <f t="shared" si="102"/>
        <v>#REF!</v>
      </c>
      <c r="I172" s="73" t="e">
        <f>IF(VLOOKUP(A172,'Actual Dates'!A4:AF295,25,),'Actual Dates'!#REF!,"")</f>
        <v>#REF!</v>
      </c>
      <c r="J172" s="73" t="e">
        <f t="shared" si="103"/>
        <v>#REF!</v>
      </c>
      <c r="K172" s="73" t="e">
        <f>IF(VLOOKUP(A172,'Actual Dates'!A4:AF323,26,),'Actual Dates'!#REF!,"")</f>
        <v>#REF!</v>
      </c>
      <c r="L172" s="73" t="e">
        <f>IF(VLOOKUP(A172,'Actual Dates'!A4:AF323,21,),'Actual Dates'!#REF!,"")</f>
        <v>#REF!</v>
      </c>
      <c r="M172" s="73" t="e">
        <f>'Date Calcs'!#REF!</f>
        <v>#REF!</v>
      </c>
      <c r="N172" s="73" t="e">
        <f>IF(VLOOKUP(A172,'Actual Dates'!A4:AF323,27,),'Actual Dates'!#REF!,"")</f>
        <v>#REF!</v>
      </c>
      <c r="O172" s="74" t="e">
        <f t="shared" si="104"/>
        <v>#REF!</v>
      </c>
      <c r="P172" s="75" t="e">
        <f t="shared" si="105"/>
        <v>#REF!</v>
      </c>
      <c r="Q172" s="75" t="e">
        <f t="shared" si="106"/>
        <v>#REF!</v>
      </c>
      <c r="R172" s="132"/>
      <c r="S172" s="133"/>
      <c r="T172" s="88"/>
      <c r="U172" s="88"/>
      <c r="V172" s="88"/>
      <c r="W172" s="88"/>
      <c r="X172" s="88"/>
      <c r="Y172" s="88"/>
      <c r="Z172" s="88"/>
      <c r="AA172" s="88"/>
      <c r="AB172" s="88"/>
    </row>
    <row r="173" spans="1:28" x14ac:dyDescent="0.25">
      <c r="A173" s="70" t="e">
        <f>'Actual Dates'!#REF!</f>
        <v>#REF!</v>
      </c>
      <c r="B173" s="71" t="e">
        <f>'Date Calcs'!#REF!</f>
        <v>#REF!</v>
      </c>
      <c r="C173" s="72" t="e">
        <f>'Date Calcs'!#REF!</f>
        <v>#REF!</v>
      </c>
      <c r="D173" s="73" t="e">
        <f t="shared" si="101"/>
        <v>#REF!</v>
      </c>
      <c r="E173" s="66">
        <v>43917</v>
      </c>
      <c r="F173" s="73" t="e">
        <f>'Date Calcs'!#REF!</f>
        <v>#REF!</v>
      </c>
      <c r="G173" s="73" t="e">
        <f>IF(VLOOKUP(A173,'Actual Dates'!A4:AF301,8,),'Actual Dates'!#REF!,"")</f>
        <v>#REF!</v>
      </c>
      <c r="H173" s="73" t="e">
        <f t="shared" si="102"/>
        <v>#REF!</v>
      </c>
      <c r="I173" s="73" t="e">
        <f>IF(VLOOKUP(A173,'Actual Dates'!A4:AF296,25,),'Actual Dates'!#REF!,"")</f>
        <v>#REF!</v>
      </c>
      <c r="J173" s="73" t="e">
        <f t="shared" si="103"/>
        <v>#REF!</v>
      </c>
      <c r="K173" s="73" t="e">
        <f>IF(VLOOKUP(A173,'Actual Dates'!A4:AF324,26,),'Actual Dates'!#REF!,"")</f>
        <v>#REF!</v>
      </c>
      <c r="L173" s="73" t="e">
        <f>IF(VLOOKUP(A173,'Actual Dates'!A4:AF324,21,),'Actual Dates'!#REF!,"")</f>
        <v>#REF!</v>
      </c>
      <c r="M173" s="73" t="e">
        <f>'Date Calcs'!#REF!</f>
        <v>#REF!</v>
      </c>
      <c r="N173" s="73" t="e">
        <f>IF(VLOOKUP(A173,'Actual Dates'!A4:AF324,27,),'Actual Dates'!#REF!,"")</f>
        <v>#REF!</v>
      </c>
      <c r="O173" s="74" t="e">
        <f t="shared" si="104"/>
        <v>#REF!</v>
      </c>
      <c r="P173" s="75" t="e">
        <f t="shared" si="105"/>
        <v>#REF!</v>
      </c>
      <c r="Q173" s="75" t="e">
        <f t="shared" si="106"/>
        <v>#REF!</v>
      </c>
      <c r="R173" s="132"/>
      <c r="S173" s="133"/>
      <c r="T173" s="88"/>
      <c r="U173" s="88"/>
      <c r="V173" s="88"/>
      <c r="W173" s="88"/>
      <c r="X173" s="88"/>
      <c r="Y173" s="88"/>
      <c r="Z173" s="88"/>
      <c r="AA173" s="88"/>
      <c r="AB173" s="88"/>
    </row>
    <row r="174" spans="1:28" x14ac:dyDescent="0.25">
      <c r="A174" s="70" t="e">
        <f>'Actual Dates'!#REF!</f>
        <v>#REF!</v>
      </c>
      <c r="B174" s="71" t="e">
        <f>'Date Calcs'!#REF!</f>
        <v>#REF!</v>
      </c>
      <c r="C174" s="72" t="e">
        <f>'Date Calcs'!#REF!</f>
        <v>#REF!</v>
      </c>
      <c r="D174" s="73" t="e">
        <f t="shared" ref="D174:D180" si="107">WORKDAY(F174,-1,)</f>
        <v>#REF!</v>
      </c>
      <c r="E174" s="66">
        <v>43917</v>
      </c>
      <c r="F174" s="73" t="e">
        <f>'Date Calcs'!#REF!</f>
        <v>#REF!</v>
      </c>
      <c r="G174" s="73" t="e">
        <f>IF(VLOOKUP(A174,'Actual Dates'!A4:AF302,8,),'Actual Dates'!#REF!,"")</f>
        <v>#REF!</v>
      </c>
      <c r="H174" s="73" t="e">
        <f t="shared" ref="H174:H180" si="108">WORKDAY(L174,3,)</f>
        <v>#REF!</v>
      </c>
      <c r="I174" s="73" t="e">
        <f>IF(VLOOKUP(A174,'Actual Dates'!A4:AF297,25,),'Actual Dates'!#REF!,"")</f>
        <v>#REF!</v>
      </c>
      <c r="J174" s="73" t="e">
        <f t="shared" ref="J174:J180" si="109">WORKDAY(L174,4,)</f>
        <v>#REF!</v>
      </c>
      <c r="K174" s="73" t="e">
        <f>IF(VLOOKUP(A174,'Actual Dates'!A4:AF325,26,),'Actual Dates'!#REF!,"")</f>
        <v>#REF!</v>
      </c>
      <c r="L174" s="73" t="e">
        <f>IF(VLOOKUP(A174,'Actual Dates'!A4:AF325,21,),'Actual Dates'!#REF!,"")</f>
        <v>#REF!</v>
      </c>
      <c r="M174" s="73" t="e">
        <f>'Date Calcs'!#REF!</f>
        <v>#REF!</v>
      </c>
      <c r="N174" s="73" t="e">
        <f>IF(VLOOKUP(A174,'Actual Dates'!A4:AF325,27,),'Actual Dates'!#REF!,"")</f>
        <v>#REF!</v>
      </c>
      <c r="O174" s="74" t="e">
        <f t="shared" ref="O174:O180" si="110">N174-C174</f>
        <v>#REF!</v>
      </c>
      <c r="P174" s="75" t="e">
        <f t="shared" ref="P174:P180" si="111">F174-G174</f>
        <v>#REF!</v>
      </c>
      <c r="Q174" s="75" t="e">
        <f t="shared" ref="Q174:Q180" si="112">M174-N174</f>
        <v>#REF!</v>
      </c>
      <c r="R174" s="132"/>
      <c r="S174" s="133"/>
      <c r="T174" s="88"/>
      <c r="U174" s="88"/>
      <c r="V174" s="88"/>
      <c r="W174" s="88"/>
      <c r="X174" s="88"/>
      <c r="Y174" s="88"/>
      <c r="Z174" s="88"/>
      <c r="AA174" s="88"/>
      <c r="AB174" s="88"/>
    </row>
    <row r="175" spans="1:28" x14ac:dyDescent="0.25">
      <c r="A175" s="70" t="e">
        <f>'Actual Dates'!#REF!</f>
        <v>#REF!</v>
      </c>
      <c r="B175" s="71" t="e">
        <f>'Date Calcs'!#REF!</f>
        <v>#REF!</v>
      </c>
      <c r="C175" s="72" t="e">
        <f>'Date Calcs'!#REF!</f>
        <v>#REF!</v>
      </c>
      <c r="D175" s="73" t="e">
        <f t="shared" si="107"/>
        <v>#REF!</v>
      </c>
      <c r="E175" s="66">
        <v>43923</v>
      </c>
      <c r="F175" s="73" t="e">
        <f>'Date Calcs'!#REF!</f>
        <v>#REF!</v>
      </c>
      <c r="G175" s="73" t="e">
        <f>IF(VLOOKUP(A175,'Actual Dates'!A4:AF303,8,),'Actual Dates'!#REF!,"")</f>
        <v>#REF!</v>
      </c>
      <c r="H175" s="73" t="e">
        <f t="shared" si="108"/>
        <v>#REF!</v>
      </c>
      <c r="I175" s="73" t="e">
        <f>IF(VLOOKUP(A175,'Actual Dates'!A4:AF298,25,),'Actual Dates'!#REF!,"")</f>
        <v>#REF!</v>
      </c>
      <c r="J175" s="73" t="e">
        <f t="shared" si="109"/>
        <v>#REF!</v>
      </c>
      <c r="K175" s="73" t="e">
        <f>IF(VLOOKUP(A175,'Actual Dates'!A4:AF326,26,),'Actual Dates'!#REF!,"")</f>
        <v>#REF!</v>
      </c>
      <c r="L175" s="73" t="e">
        <f>IF(VLOOKUP(A175,'Actual Dates'!A4:AF326,21,),'Actual Dates'!#REF!,"")</f>
        <v>#REF!</v>
      </c>
      <c r="M175" s="73" t="e">
        <f>'Date Calcs'!#REF!</f>
        <v>#REF!</v>
      </c>
      <c r="N175" s="73" t="e">
        <f>IF(VLOOKUP(A175,'Actual Dates'!A4:AF326,27,),'Actual Dates'!#REF!,"")</f>
        <v>#REF!</v>
      </c>
      <c r="O175" s="74" t="e">
        <f t="shared" si="110"/>
        <v>#REF!</v>
      </c>
      <c r="P175" s="75" t="e">
        <f t="shared" si="111"/>
        <v>#REF!</v>
      </c>
      <c r="Q175" s="75" t="e">
        <f t="shared" si="112"/>
        <v>#REF!</v>
      </c>
      <c r="R175" s="132"/>
      <c r="S175" s="133"/>
      <c r="T175" s="88"/>
      <c r="U175" s="88"/>
      <c r="V175" s="88"/>
      <c r="W175" s="88"/>
      <c r="X175" s="88"/>
      <c r="Y175" s="88"/>
      <c r="Z175" s="88"/>
      <c r="AA175" s="88"/>
      <c r="AB175" s="88"/>
    </row>
    <row r="176" spans="1:28" x14ac:dyDescent="0.25">
      <c r="A176" s="70" t="e">
        <f>'Actual Dates'!#REF!</f>
        <v>#REF!</v>
      </c>
      <c r="B176" s="71" t="e">
        <f>'Date Calcs'!#REF!</f>
        <v>#REF!</v>
      </c>
      <c r="C176" s="72" t="e">
        <f>'Date Calcs'!#REF!</f>
        <v>#REF!</v>
      </c>
      <c r="D176" s="73" t="e">
        <f t="shared" si="107"/>
        <v>#REF!</v>
      </c>
      <c r="E176" s="66">
        <v>43923</v>
      </c>
      <c r="F176" s="73" t="e">
        <f>'Date Calcs'!#REF!</f>
        <v>#REF!</v>
      </c>
      <c r="G176" s="73" t="e">
        <f>IF(VLOOKUP(A176,'Actual Dates'!A4:AF304,8,),'Actual Dates'!#REF!,"")</f>
        <v>#REF!</v>
      </c>
      <c r="H176" s="73" t="e">
        <f t="shared" si="108"/>
        <v>#REF!</v>
      </c>
      <c r="I176" s="73" t="e">
        <f>IF(VLOOKUP(A176,'Actual Dates'!A4:AF299,25,),'Actual Dates'!#REF!,"")</f>
        <v>#REF!</v>
      </c>
      <c r="J176" s="73" t="e">
        <f t="shared" si="109"/>
        <v>#REF!</v>
      </c>
      <c r="K176" s="73" t="e">
        <f>IF(VLOOKUP(A176,'Actual Dates'!A4:AF327,26,),'Actual Dates'!#REF!,"")</f>
        <v>#REF!</v>
      </c>
      <c r="L176" s="73" t="e">
        <f>IF(VLOOKUP(A176,'Actual Dates'!A4:AF327,21,),'Actual Dates'!#REF!,"")</f>
        <v>#REF!</v>
      </c>
      <c r="M176" s="73" t="e">
        <f>'Date Calcs'!#REF!</f>
        <v>#REF!</v>
      </c>
      <c r="N176" s="73" t="e">
        <f>IF(VLOOKUP(A176,'Actual Dates'!A4:AF327,27,),'Actual Dates'!#REF!,"")</f>
        <v>#REF!</v>
      </c>
      <c r="O176" s="74" t="e">
        <f t="shared" si="110"/>
        <v>#REF!</v>
      </c>
      <c r="P176" s="75" t="e">
        <f t="shared" si="111"/>
        <v>#REF!</v>
      </c>
      <c r="Q176" s="75" t="e">
        <f t="shared" si="112"/>
        <v>#REF!</v>
      </c>
      <c r="R176" s="132"/>
      <c r="S176" s="133"/>
      <c r="T176" s="88"/>
      <c r="U176" s="88"/>
      <c r="V176" s="88"/>
      <c r="W176" s="88"/>
      <c r="X176" s="88"/>
      <c r="Y176" s="88"/>
      <c r="Z176" s="88"/>
      <c r="AA176" s="88"/>
      <c r="AB176" s="88"/>
    </row>
    <row r="177" spans="1:28" x14ac:dyDescent="0.25">
      <c r="A177" s="70" t="e">
        <f>'Actual Dates'!#REF!</f>
        <v>#REF!</v>
      </c>
      <c r="B177" s="71" t="e">
        <f>'Date Calcs'!#REF!</f>
        <v>#REF!</v>
      </c>
      <c r="C177" s="72" t="e">
        <f>'Date Calcs'!#REF!</f>
        <v>#REF!</v>
      </c>
      <c r="D177" s="73" t="e">
        <f t="shared" si="107"/>
        <v>#REF!</v>
      </c>
      <c r="E177" s="66">
        <v>43944</v>
      </c>
      <c r="F177" s="73" t="e">
        <f>'Date Calcs'!#REF!</f>
        <v>#REF!</v>
      </c>
      <c r="G177" s="73" t="e">
        <f>IF(VLOOKUP(A177,'Actual Dates'!A4:AF305,8,),'Actual Dates'!#REF!,"")</f>
        <v>#REF!</v>
      </c>
      <c r="H177" s="73" t="e">
        <f t="shared" si="108"/>
        <v>#REF!</v>
      </c>
      <c r="I177" s="73" t="e">
        <f>IF(VLOOKUP(A177,'Actual Dates'!A4:AF300,25,),'Actual Dates'!#REF!,"")</f>
        <v>#REF!</v>
      </c>
      <c r="J177" s="73" t="e">
        <f t="shared" si="109"/>
        <v>#REF!</v>
      </c>
      <c r="K177" s="73" t="e">
        <f>IF(VLOOKUP(A177,'Actual Dates'!A4:AF328,26,),'Actual Dates'!#REF!,"")</f>
        <v>#REF!</v>
      </c>
      <c r="L177" s="73" t="e">
        <f>IF(VLOOKUP(A177,'Actual Dates'!A4:AF328,21,),'Actual Dates'!#REF!,"")</f>
        <v>#REF!</v>
      </c>
      <c r="M177" s="73" t="e">
        <f>'Date Calcs'!#REF!</f>
        <v>#REF!</v>
      </c>
      <c r="N177" s="73" t="e">
        <f>IF(VLOOKUP(A177,'Actual Dates'!A4:AF328,27,),'Actual Dates'!#REF!,"")</f>
        <v>#REF!</v>
      </c>
      <c r="O177" s="74" t="e">
        <f t="shared" si="110"/>
        <v>#REF!</v>
      </c>
      <c r="P177" s="75" t="e">
        <f t="shared" si="111"/>
        <v>#REF!</v>
      </c>
      <c r="Q177" s="75" t="e">
        <f t="shared" si="112"/>
        <v>#REF!</v>
      </c>
      <c r="R177" s="132"/>
      <c r="S177" s="133"/>
      <c r="T177" s="88"/>
      <c r="U177" s="88"/>
      <c r="V177" s="88"/>
      <c r="W177" s="88"/>
      <c r="X177" s="88"/>
      <c r="Y177" s="88"/>
      <c r="Z177" s="88"/>
      <c r="AA177" s="88"/>
      <c r="AB177" s="88"/>
    </row>
    <row r="178" spans="1:28" x14ac:dyDescent="0.25">
      <c r="A178" s="70" t="e">
        <f>'Actual Dates'!#REF!</f>
        <v>#REF!</v>
      </c>
      <c r="B178" s="71" t="e">
        <f>'Date Calcs'!#REF!</f>
        <v>#REF!</v>
      </c>
      <c r="C178" s="72" t="e">
        <f>'Date Calcs'!#REF!</f>
        <v>#REF!</v>
      </c>
      <c r="D178" s="73" t="e">
        <f t="shared" si="107"/>
        <v>#REF!</v>
      </c>
      <c r="E178" s="66">
        <v>43962</v>
      </c>
      <c r="F178" s="73" t="e">
        <f>'Date Calcs'!#REF!</f>
        <v>#REF!</v>
      </c>
      <c r="G178" s="73" t="e">
        <f>IF(VLOOKUP(A178,'Actual Dates'!A4:AF306,8,),'Actual Dates'!#REF!,"")</f>
        <v>#REF!</v>
      </c>
      <c r="H178" s="73" t="e">
        <f t="shared" si="108"/>
        <v>#REF!</v>
      </c>
      <c r="I178" s="73" t="e">
        <f>IF(VLOOKUP(A178,'Actual Dates'!A4:AF301,25,),'Actual Dates'!#REF!,"")</f>
        <v>#REF!</v>
      </c>
      <c r="J178" s="73" t="e">
        <f t="shared" si="109"/>
        <v>#REF!</v>
      </c>
      <c r="K178" s="73" t="e">
        <f>IF(VLOOKUP(A178,'Actual Dates'!A4:AF329,26,),'Actual Dates'!#REF!,"")</f>
        <v>#REF!</v>
      </c>
      <c r="L178" s="73" t="e">
        <f>IF(VLOOKUP(A178,'Actual Dates'!A4:AF329,21,),'Actual Dates'!#REF!,"")</f>
        <v>#REF!</v>
      </c>
      <c r="M178" s="73" t="e">
        <f>'Date Calcs'!#REF!</f>
        <v>#REF!</v>
      </c>
      <c r="N178" s="73" t="e">
        <f>IF(VLOOKUP(A178,'Actual Dates'!A4:AF329,27,),'Actual Dates'!#REF!,"")</f>
        <v>#REF!</v>
      </c>
      <c r="O178" s="74" t="e">
        <f t="shared" si="110"/>
        <v>#REF!</v>
      </c>
      <c r="P178" s="75" t="e">
        <f t="shared" si="111"/>
        <v>#REF!</v>
      </c>
      <c r="Q178" s="75" t="e">
        <f t="shared" si="112"/>
        <v>#REF!</v>
      </c>
      <c r="R178" s="132"/>
      <c r="S178" s="133"/>
      <c r="T178" s="88"/>
      <c r="U178" s="88"/>
      <c r="V178" s="88"/>
      <c r="W178" s="88"/>
      <c r="X178" s="88"/>
      <c r="Y178" s="88"/>
      <c r="Z178" s="88"/>
      <c r="AA178" s="88"/>
      <c r="AB178" s="88"/>
    </row>
    <row r="179" spans="1:28" x14ac:dyDescent="0.25">
      <c r="A179" s="70" t="e">
        <f>'Date Calcs'!#REF!</f>
        <v>#REF!</v>
      </c>
      <c r="B179" s="71" t="e">
        <f>'Date Calcs'!#REF!</f>
        <v>#REF!</v>
      </c>
      <c r="C179" s="72" t="e">
        <f>'Date Calcs'!#REF!</f>
        <v>#REF!</v>
      </c>
      <c r="D179" s="73" t="e">
        <f t="shared" si="107"/>
        <v>#REF!</v>
      </c>
      <c r="E179" s="66">
        <v>43965</v>
      </c>
      <c r="F179" s="73" t="e">
        <f>'Date Calcs'!#REF!</f>
        <v>#REF!</v>
      </c>
      <c r="G179" s="73" t="e">
        <f>IF(VLOOKUP(A179,'Actual Dates'!A4:AF307,8,),'Actual Dates'!#REF!,"")</f>
        <v>#REF!</v>
      </c>
      <c r="H179" s="73" t="e">
        <f t="shared" si="108"/>
        <v>#REF!</v>
      </c>
      <c r="I179" s="73" t="e">
        <f>IF(VLOOKUP(A179,'Actual Dates'!A4:AF302,25,),'Actual Dates'!#REF!,"")</f>
        <v>#REF!</v>
      </c>
      <c r="J179" s="73" t="e">
        <f t="shared" si="109"/>
        <v>#REF!</v>
      </c>
      <c r="K179" s="73" t="e">
        <f>IF(VLOOKUP(A179,'Actual Dates'!A4:AF330,26,),'Actual Dates'!#REF!,"")</f>
        <v>#REF!</v>
      </c>
      <c r="L179" s="73" t="e">
        <f>IF(VLOOKUP(A179,'Actual Dates'!A4:AF330,21,),'Actual Dates'!#REF!,"")</f>
        <v>#REF!</v>
      </c>
      <c r="M179" s="73" t="e">
        <f>'Date Calcs'!#REF!</f>
        <v>#REF!</v>
      </c>
      <c r="N179" s="73" t="e">
        <f>IF(VLOOKUP(A179,'Actual Dates'!A4:AF330,27,),'Actual Dates'!#REF!,"")</f>
        <v>#REF!</v>
      </c>
      <c r="O179" s="74" t="e">
        <f t="shared" si="110"/>
        <v>#REF!</v>
      </c>
      <c r="P179" s="75" t="e">
        <f t="shared" si="111"/>
        <v>#REF!</v>
      </c>
      <c r="Q179" s="75" t="e">
        <f t="shared" si="112"/>
        <v>#REF!</v>
      </c>
      <c r="R179" s="132"/>
      <c r="S179" s="133"/>
      <c r="T179" s="88"/>
      <c r="U179" s="88"/>
      <c r="V179" s="88"/>
      <c r="W179" s="88"/>
      <c r="X179" s="88"/>
      <c r="Y179" s="88"/>
      <c r="Z179" s="88"/>
      <c r="AA179" s="88"/>
      <c r="AB179" s="88"/>
    </row>
    <row r="180" spans="1:28" x14ac:dyDescent="0.25">
      <c r="A180" s="70" t="e">
        <f>'Date Calcs'!#REF!</f>
        <v>#REF!</v>
      </c>
      <c r="B180" s="71" t="e">
        <f>'Date Calcs'!#REF!</f>
        <v>#REF!</v>
      </c>
      <c r="C180" s="72" t="e">
        <f>'Date Calcs'!#REF!</f>
        <v>#REF!</v>
      </c>
      <c r="D180" s="73" t="e">
        <f t="shared" si="107"/>
        <v>#REF!</v>
      </c>
      <c r="E180" s="66">
        <v>43965</v>
      </c>
      <c r="F180" s="73" t="e">
        <f>'Date Calcs'!#REF!</f>
        <v>#REF!</v>
      </c>
      <c r="G180" s="73" t="e">
        <f>IF(VLOOKUP(A180,'Actual Dates'!A4:AF308,8,),'Actual Dates'!#REF!,"")</f>
        <v>#REF!</v>
      </c>
      <c r="H180" s="73" t="e">
        <f t="shared" si="108"/>
        <v>#REF!</v>
      </c>
      <c r="I180" s="73" t="e">
        <f>IF(VLOOKUP(A180,'Actual Dates'!A4:AF303,25,),'Actual Dates'!#REF!,"")</f>
        <v>#REF!</v>
      </c>
      <c r="J180" s="73" t="e">
        <f t="shared" si="109"/>
        <v>#REF!</v>
      </c>
      <c r="K180" s="73" t="e">
        <f>IF(VLOOKUP(A180,'Actual Dates'!A4:AF331,26,),'Actual Dates'!#REF!,"")</f>
        <v>#REF!</v>
      </c>
      <c r="L180" s="73" t="e">
        <f>IF(VLOOKUP(A180,'Actual Dates'!A4:AF331,21,),'Actual Dates'!#REF!,"")</f>
        <v>#REF!</v>
      </c>
      <c r="M180" s="73" t="e">
        <f>'Date Calcs'!#REF!</f>
        <v>#REF!</v>
      </c>
      <c r="N180" s="73" t="e">
        <f>IF(VLOOKUP(A180,'Actual Dates'!A4:AF331,27,),'Actual Dates'!#REF!,"")</f>
        <v>#REF!</v>
      </c>
      <c r="O180" s="74" t="e">
        <f t="shared" si="110"/>
        <v>#REF!</v>
      </c>
      <c r="P180" s="75" t="e">
        <f t="shared" si="111"/>
        <v>#REF!</v>
      </c>
      <c r="Q180" s="75" t="e">
        <f t="shared" si="112"/>
        <v>#REF!</v>
      </c>
      <c r="R180" s="132"/>
      <c r="S180" s="133"/>
      <c r="T180" s="88"/>
      <c r="U180" s="88"/>
      <c r="V180" s="88"/>
      <c r="W180" s="88"/>
      <c r="X180" s="88"/>
      <c r="Y180" s="88"/>
      <c r="Z180" s="88"/>
      <c r="AA180" s="88"/>
      <c r="AB180" s="88"/>
    </row>
    <row r="181" spans="1:28" x14ac:dyDescent="0.25">
      <c r="A181" s="70" t="e">
        <f>'Date Calcs'!#REF!</f>
        <v>#REF!</v>
      </c>
      <c r="B181" s="71" t="e">
        <f>'Date Calcs'!#REF!</f>
        <v>#REF!</v>
      </c>
      <c r="C181" s="72" t="e">
        <f>'Date Calcs'!#REF!</f>
        <v>#REF!</v>
      </c>
      <c r="D181" s="73" t="e">
        <f t="shared" ref="D181:D205" si="113">WORKDAY(F181,-1,)</f>
        <v>#REF!</v>
      </c>
      <c r="E181" s="66">
        <v>43966</v>
      </c>
      <c r="F181" s="73" t="e">
        <f>'Date Calcs'!#REF!</f>
        <v>#REF!</v>
      </c>
      <c r="G181" s="73" t="e">
        <f>IF(VLOOKUP(A181,'Actual Dates'!A4:AF309,8,),'Actual Dates'!#REF!,"")</f>
        <v>#REF!</v>
      </c>
      <c r="H181" s="73" t="e">
        <f t="shared" ref="H181:H205" si="114">WORKDAY(L181,3,)</f>
        <v>#REF!</v>
      </c>
      <c r="I181" s="73" t="e">
        <f>IF(VLOOKUP(A181,'Actual Dates'!A4:AF304,25,),'Actual Dates'!#REF!,"")</f>
        <v>#REF!</v>
      </c>
      <c r="J181" s="73" t="e">
        <f t="shared" ref="J181:J205" si="115">WORKDAY(L181,4,)</f>
        <v>#REF!</v>
      </c>
      <c r="K181" s="73" t="e">
        <f>IF(VLOOKUP(A181,'Actual Dates'!A4:AF332,26,),'Actual Dates'!#REF!,"")</f>
        <v>#REF!</v>
      </c>
      <c r="L181" s="73" t="e">
        <f>IF(VLOOKUP(A181,'Actual Dates'!A4:AF332,21,),'Actual Dates'!#REF!,"")</f>
        <v>#REF!</v>
      </c>
      <c r="M181" s="73" t="e">
        <f>'Date Calcs'!#REF!</f>
        <v>#REF!</v>
      </c>
      <c r="N181" s="73" t="e">
        <f>IF(VLOOKUP(A181,'Actual Dates'!A4:AF332,27,),'Actual Dates'!#REF!,"")</f>
        <v>#REF!</v>
      </c>
      <c r="O181" s="74" t="e">
        <f t="shared" ref="O181:O205" si="116">N181-C181</f>
        <v>#REF!</v>
      </c>
      <c r="P181" s="75" t="e">
        <f t="shared" ref="P181:P205" si="117">F181-G181</f>
        <v>#REF!</v>
      </c>
      <c r="Q181" s="75" t="e">
        <f t="shared" ref="Q181:Q205" si="118">M181-N181</f>
        <v>#REF!</v>
      </c>
      <c r="R181" s="132"/>
      <c r="S181" s="133"/>
      <c r="T181" s="88"/>
      <c r="U181" s="88"/>
      <c r="V181" s="88"/>
      <c r="W181" s="88"/>
      <c r="X181" s="88"/>
      <c r="Y181" s="88"/>
      <c r="Z181" s="88"/>
      <c r="AA181" s="88"/>
      <c r="AB181" s="88"/>
    </row>
    <row r="182" spans="1:28" x14ac:dyDescent="0.25">
      <c r="A182" s="70" t="e">
        <f>'Date Calcs'!#REF!</f>
        <v>#REF!</v>
      </c>
      <c r="B182" s="71" t="e">
        <f>'Date Calcs'!#REF!</f>
        <v>#REF!</v>
      </c>
      <c r="C182" s="72" t="e">
        <f>'Date Calcs'!#REF!</f>
        <v>#REF!</v>
      </c>
      <c r="D182" s="73" t="e">
        <f t="shared" si="113"/>
        <v>#REF!</v>
      </c>
      <c r="E182" s="66">
        <v>43967</v>
      </c>
      <c r="F182" s="73" t="e">
        <f>'Date Calcs'!#REF!</f>
        <v>#REF!</v>
      </c>
      <c r="G182" s="73" t="e">
        <f>IF(VLOOKUP(A182,'Actual Dates'!A4:AF310,8,),'Actual Dates'!#REF!,"")</f>
        <v>#REF!</v>
      </c>
      <c r="H182" s="73" t="e">
        <f t="shared" si="114"/>
        <v>#REF!</v>
      </c>
      <c r="I182" s="73" t="e">
        <f>IF(VLOOKUP(A182,'Actual Dates'!A4:AF305,25,),'Actual Dates'!#REF!,"")</f>
        <v>#REF!</v>
      </c>
      <c r="J182" s="73" t="e">
        <f t="shared" si="115"/>
        <v>#REF!</v>
      </c>
      <c r="K182" s="73" t="e">
        <f>IF(VLOOKUP(A182,'Actual Dates'!A4:AF333,26,),'Actual Dates'!#REF!,"")</f>
        <v>#REF!</v>
      </c>
      <c r="L182" s="73" t="e">
        <f>IF(VLOOKUP(A182,'Actual Dates'!A4:AF333,21,),'Actual Dates'!#REF!,"")</f>
        <v>#REF!</v>
      </c>
      <c r="M182" s="73" t="e">
        <f>'Date Calcs'!#REF!</f>
        <v>#REF!</v>
      </c>
      <c r="N182" s="73" t="e">
        <f>IF(VLOOKUP(A182,'Actual Dates'!A4:AF333,27,),'Actual Dates'!#REF!,"")</f>
        <v>#REF!</v>
      </c>
      <c r="O182" s="74" t="e">
        <f t="shared" si="116"/>
        <v>#REF!</v>
      </c>
      <c r="P182" s="75" t="e">
        <f t="shared" si="117"/>
        <v>#REF!</v>
      </c>
      <c r="Q182" s="75" t="e">
        <f t="shared" si="118"/>
        <v>#REF!</v>
      </c>
      <c r="R182" s="132"/>
      <c r="S182" s="133"/>
      <c r="T182" s="88"/>
      <c r="U182" s="88"/>
      <c r="V182" s="88"/>
      <c r="W182" s="88"/>
      <c r="X182" s="88"/>
      <c r="Y182" s="88"/>
      <c r="Z182" s="88"/>
      <c r="AA182" s="88"/>
      <c r="AB182" s="88"/>
    </row>
    <row r="183" spans="1:28" x14ac:dyDescent="0.25">
      <c r="A183" s="70" t="e">
        <f>'Date Calcs'!#REF!</f>
        <v>#REF!</v>
      </c>
      <c r="B183" s="71" t="e">
        <f>'Date Calcs'!#REF!</f>
        <v>#REF!</v>
      </c>
      <c r="C183" s="72" t="e">
        <f>'Date Calcs'!#REF!</f>
        <v>#REF!</v>
      </c>
      <c r="D183" s="73" t="e">
        <f t="shared" si="113"/>
        <v>#REF!</v>
      </c>
      <c r="E183" s="66">
        <v>43968</v>
      </c>
      <c r="F183" s="73" t="e">
        <f>'Date Calcs'!#REF!</f>
        <v>#REF!</v>
      </c>
      <c r="G183" s="73" t="e">
        <f>IF(VLOOKUP(A183,'Actual Dates'!A4:AF311,8,),'Actual Dates'!#REF!,"")</f>
        <v>#REF!</v>
      </c>
      <c r="H183" s="73" t="e">
        <f t="shared" si="114"/>
        <v>#REF!</v>
      </c>
      <c r="I183" s="73" t="e">
        <f>IF(VLOOKUP(A183,'Actual Dates'!A4:AF306,25,),'Actual Dates'!#REF!,"")</f>
        <v>#REF!</v>
      </c>
      <c r="J183" s="73" t="e">
        <f t="shared" si="115"/>
        <v>#REF!</v>
      </c>
      <c r="K183" s="73" t="e">
        <f>IF(VLOOKUP(A183,'Actual Dates'!A4:AF334,26,),'Actual Dates'!#REF!,"")</f>
        <v>#REF!</v>
      </c>
      <c r="L183" s="73" t="e">
        <f>IF(VLOOKUP(A183,'Actual Dates'!A4:AF334,21,),'Actual Dates'!#REF!,"")</f>
        <v>#REF!</v>
      </c>
      <c r="M183" s="73" t="e">
        <f>'Date Calcs'!#REF!</f>
        <v>#REF!</v>
      </c>
      <c r="N183" s="73" t="e">
        <f>IF(VLOOKUP(A183,'Actual Dates'!A4:AF334,27,),'Actual Dates'!#REF!,"")</f>
        <v>#REF!</v>
      </c>
      <c r="O183" s="74" t="e">
        <f t="shared" si="116"/>
        <v>#REF!</v>
      </c>
      <c r="P183" s="75" t="e">
        <f t="shared" si="117"/>
        <v>#REF!</v>
      </c>
      <c r="Q183" s="75" t="e">
        <f t="shared" si="118"/>
        <v>#REF!</v>
      </c>
      <c r="R183" s="132"/>
      <c r="S183" s="133"/>
      <c r="T183" s="88"/>
      <c r="U183" s="88"/>
      <c r="V183" s="88"/>
      <c r="W183" s="88"/>
      <c r="X183" s="88"/>
      <c r="Y183" s="88"/>
      <c r="Z183" s="88"/>
      <c r="AA183" s="88"/>
      <c r="AB183" s="88"/>
    </row>
    <row r="184" spans="1:28" x14ac:dyDescent="0.25">
      <c r="A184" s="70" t="e">
        <f>'Date Calcs'!#REF!</f>
        <v>#REF!</v>
      </c>
      <c r="B184" s="71" t="e">
        <f>'Date Calcs'!#REF!</f>
        <v>#REF!</v>
      </c>
      <c r="C184" s="72" t="e">
        <f>'Date Calcs'!#REF!</f>
        <v>#REF!</v>
      </c>
      <c r="D184" s="73" t="e">
        <f t="shared" si="113"/>
        <v>#REF!</v>
      </c>
      <c r="E184" s="66">
        <v>43969</v>
      </c>
      <c r="F184" s="73" t="e">
        <f>'Date Calcs'!#REF!</f>
        <v>#REF!</v>
      </c>
      <c r="G184" s="73" t="e">
        <f>IF(VLOOKUP(A184,'Actual Dates'!A4:AF312,8,),'Actual Dates'!#REF!,"")</f>
        <v>#REF!</v>
      </c>
      <c r="H184" s="73" t="e">
        <f t="shared" si="114"/>
        <v>#REF!</v>
      </c>
      <c r="I184" s="73" t="e">
        <f>IF(VLOOKUP(A184,'Actual Dates'!A4:AF307,25,),'Actual Dates'!#REF!,"")</f>
        <v>#REF!</v>
      </c>
      <c r="J184" s="73" t="e">
        <f t="shared" si="115"/>
        <v>#REF!</v>
      </c>
      <c r="K184" s="73" t="e">
        <f>IF(VLOOKUP(A184,'Actual Dates'!A4:AF335,26,),'Actual Dates'!#REF!,"")</f>
        <v>#REF!</v>
      </c>
      <c r="L184" s="73" t="e">
        <f>IF(VLOOKUP(A184,'Actual Dates'!A4:AF335,21,),'Actual Dates'!#REF!,"")</f>
        <v>#REF!</v>
      </c>
      <c r="M184" s="73" t="e">
        <f>'Date Calcs'!#REF!</f>
        <v>#REF!</v>
      </c>
      <c r="N184" s="73" t="e">
        <f>IF(VLOOKUP(A184,'Actual Dates'!A4:AF335,27,),'Actual Dates'!#REF!,"")</f>
        <v>#REF!</v>
      </c>
      <c r="O184" s="74" t="e">
        <f t="shared" si="116"/>
        <v>#REF!</v>
      </c>
      <c r="P184" s="75" t="e">
        <f t="shared" si="117"/>
        <v>#REF!</v>
      </c>
      <c r="Q184" s="75" t="e">
        <f t="shared" si="118"/>
        <v>#REF!</v>
      </c>
      <c r="R184" s="132"/>
      <c r="S184" s="133"/>
      <c r="T184" s="88"/>
      <c r="U184" s="88"/>
      <c r="V184" s="88"/>
      <c r="W184" s="88"/>
      <c r="X184" s="88"/>
      <c r="Y184" s="88"/>
      <c r="Z184" s="88"/>
      <c r="AA184" s="88"/>
      <c r="AB184" s="88"/>
    </row>
    <row r="185" spans="1:28" x14ac:dyDescent="0.25">
      <c r="A185" s="70" t="e">
        <f>'Date Calcs'!#REF!</f>
        <v>#REF!</v>
      </c>
      <c r="B185" s="71" t="e">
        <f>'Date Calcs'!#REF!</f>
        <v>#REF!</v>
      </c>
      <c r="C185" s="72" t="e">
        <f>'Date Calcs'!#REF!</f>
        <v>#REF!</v>
      </c>
      <c r="D185" s="73" t="e">
        <f t="shared" si="113"/>
        <v>#REF!</v>
      </c>
      <c r="E185" s="66">
        <v>43970</v>
      </c>
      <c r="F185" s="73" t="e">
        <f>'Date Calcs'!#REF!</f>
        <v>#REF!</v>
      </c>
      <c r="G185" s="73" t="e">
        <f>IF(VLOOKUP(A185,'Actual Dates'!A4:AF313,8,),'Actual Dates'!#REF!,"")</f>
        <v>#REF!</v>
      </c>
      <c r="H185" s="73" t="e">
        <f t="shared" si="114"/>
        <v>#REF!</v>
      </c>
      <c r="I185" s="73" t="e">
        <f>IF(VLOOKUP(A185,'Actual Dates'!A4:AF308,25,),'Actual Dates'!#REF!,"")</f>
        <v>#REF!</v>
      </c>
      <c r="J185" s="73" t="e">
        <f t="shared" si="115"/>
        <v>#REF!</v>
      </c>
      <c r="K185" s="73" t="e">
        <f>IF(VLOOKUP(A185,'Actual Dates'!A4:AF336,26,),'Actual Dates'!#REF!,"")</f>
        <v>#REF!</v>
      </c>
      <c r="L185" s="73" t="e">
        <f>IF(VLOOKUP(A185,'Actual Dates'!A4:AF336,21,),'Actual Dates'!#REF!,"")</f>
        <v>#REF!</v>
      </c>
      <c r="M185" s="73" t="e">
        <f>'Date Calcs'!#REF!</f>
        <v>#REF!</v>
      </c>
      <c r="N185" s="73" t="e">
        <f>IF(VLOOKUP(A185,'Actual Dates'!A4:AF336,27,),'Actual Dates'!#REF!,"")</f>
        <v>#REF!</v>
      </c>
      <c r="O185" s="74" t="e">
        <f t="shared" si="116"/>
        <v>#REF!</v>
      </c>
      <c r="P185" s="75" t="e">
        <f t="shared" si="117"/>
        <v>#REF!</v>
      </c>
      <c r="Q185" s="75" t="e">
        <f t="shared" si="118"/>
        <v>#REF!</v>
      </c>
      <c r="R185" s="132"/>
      <c r="S185" s="133"/>
      <c r="T185" s="88"/>
      <c r="U185" s="88"/>
      <c r="V185" s="88"/>
      <c r="W185" s="88"/>
      <c r="X185" s="88"/>
      <c r="Y185" s="88"/>
      <c r="Z185" s="88"/>
      <c r="AA185" s="88"/>
      <c r="AB185" s="88"/>
    </row>
    <row r="186" spans="1:28" x14ac:dyDescent="0.25">
      <c r="A186" s="70" t="e">
        <f>'Date Calcs'!#REF!</f>
        <v>#REF!</v>
      </c>
      <c r="B186" s="71" t="e">
        <f>'Date Calcs'!#REF!</f>
        <v>#REF!</v>
      </c>
      <c r="C186" s="72" t="e">
        <f>'Date Calcs'!#REF!</f>
        <v>#REF!</v>
      </c>
      <c r="D186" s="73" t="e">
        <f t="shared" si="113"/>
        <v>#REF!</v>
      </c>
      <c r="E186" s="66">
        <v>43971</v>
      </c>
      <c r="F186" s="73" t="e">
        <f>'Date Calcs'!#REF!</f>
        <v>#REF!</v>
      </c>
      <c r="G186" s="73" t="e">
        <f>IF(VLOOKUP(A186,'Actual Dates'!A4:AF314,8,),'Actual Dates'!#REF!,"")</f>
        <v>#REF!</v>
      </c>
      <c r="H186" s="73" t="e">
        <f t="shared" si="114"/>
        <v>#REF!</v>
      </c>
      <c r="I186" s="73" t="e">
        <f>IF(VLOOKUP(A186,'Actual Dates'!A4:AF309,25,),'Actual Dates'!#REF!,"")</f>
        <v>#REF!</v>
      </c>
      <c r="J186" s="73" t="e">
        <f t="shared" si="115"/>
        <v>#REF!</v>
      </c>
      <c r="K186" s="73" t="e">
        <f>IF(VLOOKUP(A186,'Actual Dates'!A4:AF337,26,),'Actual Dates'!#REF!,"")</f>
        <v>#REF!</v>
      </c>
      <c r="L186" s="73" t="e">
        <f>IF(VLOOKUP(A186,'Actual Dates'!A4:AF337,21,),'Actual Dates'!#REF!,"")</f>
        <v>#REF!</v>
      </c>
      <c r="M186" s="73" t="e">
        <f>'Date Calcs'!#REF!</f>
        <v>#REF!</v>
      </c>
      <c r="N186" s="73" t="e">
        <f>IF(VLOOKUP(A186,'Actual Dates'!A4:AF337,27,),'Actual Dates'!#REF!,"")</f>
        <v>#REF!</v>
      </c>
      <c r="O186" s="74" t="e">
        <f t="shared" si="116"/>
        <v>#REF!</v>
      </c>
      <c r="P186" s="75" t="e">
        <f t="shared" si="117"/>
        <v>#REF!</v>
      </c>
      <c r="Q186" s="75" t="e">
        <f t="shared" si="118"/>
        <v>#REF!</v>
      </c>
      <c r="R186" s="132"/>
      <c r="S186" s="133"/>
      <c r="T186" s="88"/>
      <c r="U186" s="88"/>
      <c r="V186" s="88"/>
      <c r="W186" s="88"/>
      <c r="X186" s="88"/>
      <c r="Y186" s="88"/>
      <c r="Z186" s="88"/>
      <c r="AA186" s="88"/>
      <c r="AB186" s="88"/>
    </row>
    <row r="187" spans="1:28" x14ac:dyDescent="0.25">
      <c r="A187" s="70" t="e">
        <f>'Date Calcs'!#REF!</f>
        <v>#REF!</v>
      </c>
      <c r="B187" s="71" t="e">
        <f>'Date Calcs'!#REF!</f>
        <v>#REF!</v>
      </c>
      <c r="C187" s="72" t="e">
        <f>'Date Calcs'!#REF!</f>
        <v>#REF!</v>
      </c>
      <c r="D187" s="73" t="e">
        <f t="shared" si="113"/>
        <v>#REF!</v>
      </c>
      <c r="E187" s="66">
        <v>43972</v>
      </c>
      <c r="F187" s="73" t="e">
        <f>'Date Calcs'!#REF!</f>
        <v>#REF!</v>
      </c>
      <c r="G187" s="73" t="e">
        <f>IF(VLOOKUP(A187,'Actual Dates'!A4:AF315,8,),'Actual Dates'!#REF!,"")</f>
        <v>#REF!</v>
      </c>
      <c r="H187" s="73" t="e">
        <f t="shared" si="114"/>
        <v>#REF!</v>
      </c>
      <c r="I187" s="73" t="e">
        <f>IF(VLOOKUP(A187,'Actual Dates'!A4:AF310,25,),'Actual Dates'!#REF!,"")</f>
        <v>#REF!</v>
      </c>
      <c r="J187" s="73" t="e">
        <f t="shared" si="115"/>
        <v>#REF!</v>
      </c>
      <c r="K187" s="73" t="e">
        <f>IF(VLOOKUP(A187,'Actual Dates'!A4:AF338,26,),'Actual Dates'!#REF!,"")</f>
        <v>#REF!</v>
      </c>
      <c r="L187" s="73" t="e">
        <f>IF(VLOOKUP(A187,'Actual Dates'!A4:AF338,21,),'Actual Dates'!#REF!,"")</f>
        <v>#REF!</v>
      </c>
      <c r="M187" s="73" t="e">
        <f>'Date Calcs'!#REF!</f>
        <v>#REF!</v>
      </c>
      <c r="N187" s="73" t="e">
        <f>IF(VLOOKUP(A187,'Actual Dates'!A4:AF338,27,),'Actual Dates'!#REF!,"")</f>
        <v>#REF!</v>
      </c>
      <c r="O187" s="74" t="e">
        <f t="shared" si="116"/>
        <v>#REF!</v>
      </c>
      <c r="P187" s="75" t="e">
        <f t="shared" si="117"/>
        <v>#REF!</v>
      </c>
      <c r="Q187" s="75" t="e">
        <f t="shared" si="118"/>
        <v>#REF!</v>
      </c>
      <c r="R187" s="132"/>
      <c r="S187" s="133"/>
      <c r="T187" s="88"/>
      <c r="U187" s="88"/>
      <c r="V187" s="88"/>
      <c r="W187" s="88"/>
      <c r="X187" s="88"/>
      <c r="Y187" s="88"/>
      <c r="Z187" s="88"/>
      <c r="AA187" s="88"/>
      <c r="AB187" s="88"/>
    </row>
    <row r="188" spans="1:28" x14ac:dyDescent="0.25">
      <c r="A188" s="70" t="e">
        <f>'Date Calcs'!#REF!</f>
        <v>#REF!</v>
      </c>
      <c r="B188" s="71" t="e">
        <f>'Date Calcs'!#REF!</f>
        <v>#REF!</v>
      </c>
      <c r="C188" s="72" t="e">
        <f>'Date Calcs'!#REF!</f>
        <v>#REF!</v>
      </c>
      <c r="D188" s="73" t="e">
        <f t="shared" si="113"/>
        <v>#REF!</v>
      </c>
      <c r="E188" s="66">
        <v>43973</v>
      </c>
      <c r="F188" s="73" t="e">
        <f>'Date Calcs'!#REF!</f>
        <v>#REF!</v>
      </c>
      <c r="G188" s="73" t="e">
        <f>IF(VLOOKUP(A188,'Actual Dates'!A4:AF316,8,),'Actual Dates'!#REF!,"")</f>
        <v>#REF!</v>
      </c>
      <c r="H188" s="73" t="e">
        <f t="shared" si="114"/>
        <v>#REF!</v>
      </c>
      <c r="I188" s="73" t="e">
        <f>IF(VLOOKUP(A188,'Actual Dates'!A4:AF311,25,),'Actual Dates'!#REF!,"")</f>
        <v>#REF!</v>
      </c>
      <c r="J188" s="73" t="e">
        <f t="shared" si="115"/>
        <v>#REF!</v>
      </c>
      <c r="K188" s="73" t="e">
        <f>IF(VLOOKUP(A188,'Actual Dates'!A4:AF339,26,),'Actual Dates'!#REF!,"")</f>
        <v>#REF!</v>
      </c>
      <c r="L188" s="73" t="e">
        <f>IF(VLOOKUP(A188,'Actual Dates'!A4:AF339,21,),'Actual Dates'!#REF!,"")</f>
        <v>#REF!</v>
      </c>
      <c r="M188" s="73" t="e">
        <f>'Date Calcs'!#REF!</f>
        <v>#REF!</v>
      </c>
      <c r="N188" s="73" t="e">
        <f>IF(VLOOKUP(A188,'Actual Dates'!A4:AF339,27,),'Actual Dates'!#REF!,"")</f>
        <v>#REF!</v>
      </c>
      <c r="O188" s="74" t="e">
        <f t="shared" si="116"/>
        <v>#REF!</v>
      </c>
      <c r="P188" s="75" t="e">
        <f t="shared" si="117"/>
        <v>#REF!</v>
      </c>
      <c r="Q188" s="75" t="e">
        <f t="shared" si="118"/>
        <v>#REF!</v>
      </c>
      <c r="R188" s="132"/>
      <c r="S188" s="133"/>
      <c r="T188" s="88"/>
      <c r="U188" s="88"/>
      <c r="V188" s="88"/>
      <c r="W188" s="88"/>
      <c r="X188" s="88"/>
      <c r="Y188" s="88"/>
      <c r="Z188" s="88"/>
      <c r="AA188" s="88"/>
      <c r="AB188" s="88"/>
    </row>
    <row r="189" spans="1:28" x14ac:dyDescent="0.25">
      <c r="A189" s="70" t="e">
        <f>'Date Calcs'!#REF!</f>
        <v>#REF!</v>
      </c>
      <c r="B189" s="71" t="e">
        <f>'Date Calcs'!#REF!</f>
        <v>#REF!</v>
      </c>
      <c r="C189" s="72" t="e">
        <f>'Date Calcs'!#REF!</f>
        <v>#REF!</v>
      </c>
      <c r="D189" s="73" t="e">
        <f t="shared" si="113"/>
        <v>#REF!</v>
      </c>
      <c r="E189" s="66">
        <v>43974</v>
      </c>
      <c r="F189" s="73" t="e">
        <f>'Date Calcs'!#REF!</f>
        <v>#REF!</v>
      </c>
      <c r="G189" s="73" t="e">
        <f>IF(VLOOKUP(A189,'Actual Dates'!A4:AF317,8,),'Actual Dates'!#REF!,"")</f>
        <v>#REF!</v>
      </c>
      <c r="H189" s="73" t="e">
        <f t="shared" si="114"/>
        <v>#REF!</v>
      </c>
      <c r="I189" s="73" t="e">
        <f>IF(VLOOKUP(A189,'Actual Dates'!A4:AF312,25,),'Actual Dates'!#REF!,"")</f>
        <v>#REF!</v>
      </c>
      <c r="J189" s="73" t="e">
        <f t="shared" si="115"/>
        <v>#REF!</v>
      </c>
      <c r="K189" s="73" t="e">
        <f>IF(VLOOKUP(A189,'Actual Dates'!A4:AF340,26,),'Actual Dates'!#REF!,"")</f>
        <v>#REF!</v>
      </c>
      <c r="L189" s="73" t="e">
        <f>IF(VLOOKUP(A189,'Actual Dates'!A4:AF340,21,),'Actual Dates'!#REF!,"")</f>
        <v>#REF!</v>
      </c>
      <c r="M189" s="73" t="e">
        <f>'Date Calcs'!#REF!</f>
        <v>#REF!</v>
      </c>
      <c r="N189" s="73" t="e">
        <f>IF(VLOOKUP(A189,'Actual Dates'!A4:AF340,27,),'Actual Dates'!#REF!,"")</f>
        <v>#REF!</v>
      </c>
      <c r="O189" s="74" t="e">
        <f t="shared" si="116"/>
        <v>#REF!</v>
      </c>
      <c r="P189" s="75" t="e">
        <f t="shared" si="117"/>
        <v>#REF!</v>
      </c>
      <c r="Q189" s="75" t="e">
        <f t="shared" si="118"/>
        <v>#REF!</v>
      </c>
      <c r="R189" s="132"/>
      <c r="S189" s="133"/>
      <c r="T189" s="88"/>
      <c r="U189" s="88"/>
      <c r="V189" s="88"/>
      <c r="W189" s="88"/>
      <c r="X189" s="88"/>
      <c r="Y189" s="88"/>
      <c r="Z189" s="88"/>
      <c r="AA189" s="88"/>
      <c r="AB189" s="88"/>
    </row>
    <row r="190" spans="1:28" x14ac:dyDescent="0.25">
      <c r="A190" s="70" t="e">
        <f>'Date Calcs'!#REF!</f>
        <v>#REF!</v>
      </c>
      <c r="B190" s="71" t="e">
        <f>'Date Calcs'!#REF!</f>
        <v>#REF!</v>
      </c>
      <c r="C190" s="72" t="e">
        <f>'Date Calcs'!#REF!</f>
        <v>#REF!</v>
      </c>
      <c r="D190" s="73" t="e">
        <f t="shared" si="113"/>
        <v>#REF!</v>
      </c>
      <c r="E190" s="66">
        <v>43975</v>
      </c>
      <c r="F190" s="73" t="e">
        <f>'Date Calcs'!#REF!</f>
        <v>#REF!</v>
      </c>
      <c r="G190" s="73" t="e">
        <f>IF(VLOOKUP(A190,'Actual Dates'!A4:AF318,8,),'Actual Dates'!#REF!,"")</f>
        <v>#REF!</v>
      </c>
      <c r="H190" s="73" t="e">
        <f t="shared" si="114"/>
        <v>#REF!</v>
      </c>
      <c r="I190" s="73" t="e">
        <f>IF(VLOOKUP(A190,'Actual Dates'!A4:AF313,25,),'Actual Dates'!#REF!,"")</f>
        <v>#REF!</v>
      </c>
      <c r="J190" s="73" t="e">
        <f t="shared" si="115"/>
        <v>#REF!</v>
      </c>
      <c r="K190" s="73" t="e">
        <f>IF(VLOOKUP(A190,'Actual Dates'!A4:AF341,26,),'Actual Dates'!#REF!,"")</f>
        <v>#REF!</v>
      </c>
      <c r="L190" s="73" t="e">
        <f>IF(VLOOKUP(A190,'Actual Dates'!A4:AF341,21,),'Actual Dates'!#REF!,"")</f>
        <v>#REF!</v>
      </c>
      <c r="M190" s="73" t="e">
        <f>'Date Calcs'!#REF!</f>
        <v>#REF!</v>
      </c>
      <c r="N190" s="73" t="e">
        <f>IF(VLOOKUP(A190,'Actual Dates'!A4:AF341,27,),'Actual Dates'!#REF!,"")</f>
        <v>#REF!</v>
      </c>
      <c r="O190" s="74" t="e">
        <f t="shared" si="116"/>
        <v>#REF!</v>
      </c>
      <c r="P190" s="75" t="e">
        <f t="shared" si="117"/>
        <v>#REF!</v>
      </c>
      <c r="Q190" s="75" t="e">
        <f t="shared" si="118"/>
        <v>#REF!</v>
      </c>
      <c r="R190" s="132"/>
      <c r="S190" s="133"/>
      <c r="T190" s="88"/>
      <c r="U190" s="88"/>
      <c r="V190" s="88"/>
      <c r="W190" s="88"/>
      <c r="X190" s="88"/>
      <c r="Y190" s="88"/>
      <c r="Z190" s="88"/>
      <c r="AA190" s="88"/>
      <c r="AB190" s="88"/>
    </row>
    <row r="191" spans="1:28" x14ac:dyDescent="0.25">
      <c r="A191" s="70" t="e">
        <f>'Date Calcs'!#REF!</f>
        <v>#REF!</v>
      </c>
      <c r="B191" s="71" t="e">
        <f>'Date Calcs'!#REF!</f>
        <v>#REF!</v>
      </c>
      <c r="C191" s="72" t="e">
        <f>'Date Calcs'!#REF!</f>
        <v>#REF!</v>
      </c>
      <c r="D191" s="73" t="e">
        <f t="shared" si="113"/>
        <v>#REF!</v>
      </c>
      <c r="E191" s="66">
        <v>43976</v>
      </c>
      <c r="F191" s="73" t="e">
        <f>'Date Calcs'!#REF!</f>
        <v>#REF!</v>
      </c>
      <c r="G191" s="73" t="e">
        <f>IF(VLOOKUP(A191,'Actual Dates'!A4:AF319,8,),'Actual Dates'!#REF!,"")</f>
        <v>#REF!</v>
      </c>
      <c r="H191" s="73" t="e">
        <f t="shared" si="114"/>
        <v>#REF!</v>
      </c>
      <c r="I191" s="73" t="e">
        <f>IF(VLOOKUP(A191,'Actual Dates'!A4:AF314,25,),'Actual Dates'!#REF!,"")</f>
        <v>#REF!</v>
      </c>
      <c r="J191" s="73" t="e">
        <f t="shared" si="115"/>
        <v>#REF!</v>
      </c>
      <c r="K191" s="73" t="e">
        <f>IF(VLOOKUP(A191,'Actual Dates'!A4:AF342,26,),'Actual Dates'!#REF!,"")</f>
        <v>#REF!</v>
      </c>
      <c r="L191" s="73" t="e">
        <f>IF(VLOOKUP(A191,'Actual Dates'!A4:AF342,21,),'Actual Dates'!#REF!,"")</f>
        <v>#REF!</v>
      </c>
      <c r="M191" s="73" t="e">
        <f>'Date Calcs'!#REF!</f>
        <v>#REF!</v>
      </c>
      <c r="N191" s="73" t="e">
        <f>IF(VLOOKUP(A191,'Actual Dates'!A4:AF342,27,),'Actual Dates'!#REF!,"")</f>
        <v>#REF!</v>
      </c>
      <c r="O191" s="74" t="e">
        <f t="shared" si="116"/>
        <v>#REF!</v>
      </c>
      <c r="P191" s="75" t="e">
        <f t="shared" si="117"/>
        <v>#REF!</v>
      </c>
      <c r="Q191" s="75" t="e">
        <f t="shared" si="118"/>
        <v>#REF!</v>
      </c>
      <c r="R191" s="132"/>
      <c r="S191" s="133"/>
      <c r="T191" s="88"/>
      <c r="U191" s="88"/>
      <c r="V191" s="88"/>
      <c r="W191" s="88"/>
      <c r="X191" s="88"/>
      <c r="Y191" s="88"/>
      <c r="Z191" s="88"/>
      <c r="AA191" s="88"/>
      <c r="AB191" s="88"/>
    </row>
    <row r="192" spans="1:28" x14ac:dyDescent="0.25">
      <c r="A192" s="70" t="e">
        <f>'Date Calcs'!#REF!</f>
        <v>#REF!</v>
      </c>
      <c r="B192" s="71" t="e">
        <f>'Date Calcs'!#REF!</f>
        <v>#REF!</v>
      </c>
      <c r="C192" s="72" t="e">
        <f>'Date Calcs'!#REF!</f>
        <v>#REF!</v>
      </c>
      <c r="D192" s="73" t="e">
        <f t="shared" si="113"/>
        <v>#REF!</v>
      </c>
      <c r="E192" s="66">
        <v>43977</v>
      </c>
      <c r="F192" s="73" t="e">
        <f>'Date Calcs'!#REF!</f>
        <v>#REF!</v>
      </c>
      <c r="G192" s="73" t="e">
        <f>IF(VLOOKUP(A192,'Actual Dates'!A4:AF320,8,),'Actual Dates'!#REF!,"")</f>
        <v>#REF!</v>
      </c>
      <c r="H192" s="73" t="e">
        <f t="shared" si="114"/>
        <v>#REF!</v>
      </c>
      <c r="I192" s="73" t="e">
        <f>IF(VLOOKUP(A192,'Actual Dates'!A4:AF315,25,),'Actual Dates'!#REF!,"")</f>
        <v>#REF!</v>
      </c>
      <c r="J192" s="73" t="e">
        <f t="shared" si="115"/>
        <v>#REF!</v>
      </c>
      <c r="K192" s="73" t="e">
        <f>IF(VLOOKUP(A192,'Actual Dates'!A4:AF343,26,),'Actual Dates'!#REF!,"")</f>
        <v>#REF!</v>
      </c>
      <c r="L192" s="73" t="e">
        <f>IF(VLOOKUP(A192,'Actual Dates'!A4:AF343,21,),'Actual Dates'!#REF!,"")</f>
        <v>#REF!</v>
      </c>
      <c r="M192" s="73" t="e">
        <f>'Date Calcs'!#REF!</f>
        <v>#REF!</v>
      </c>
      <c r="N192" s="73" t="e">
        <f>IF(VLOOKUP(A192,'Actual Dates'!A4:AF343,27,),'Actual Dates'!#REF!,"")</f>
        <v>#REF!</v>
      </c>
      <c r="O192" s="74" t="e">
        <f t="shared" si="116"/>
        <v>#REF!</v>
      </c>
      <c r="P192" s="75" t="e">
        <f t="shared" si="117"/>
        <v>#REF!</v>
      </c>
      <c r="Q192" s="75" t="e">
        <f t="shared" si="118"/>
        <v>#REF!</v>
      </c>
      <c r="R192" s="132"/>
      <c r="S192" s="133"/>
      <c r="T192" s="88"/>
      <c r="U192" s="88"/>
      <c r="V192" s="88"/>
      <c r="W192" s="88"/>
      <c r="X192" s="88"/>
      <c r="Y192" s="88"/>
      <c r="Z192" s="88"/>
      <c r="AA192" s="88"/>
      <c r="AB192" s="88"/>
    </row>
    <row r="193" spans="1:28" x14ac:dyDescent="0.25">
      <c r="A193" s="70" t="e">
        <f>'Date Calcs'!#REF!</f>
        <v>#REF!</v>
      </c>
      <c r="B193" s="71" t="e">
        <f>'Date Calcs'!#REF!</f>
        <v>#REF!</v>
      </c>
      <c r="C193" s="72" t="e">
        <f>'Date Calcs'!#REF!</f>
        <v>#REF!</v>
      </c>
      <c r="D193" s="73" t="e">
        <f t="shared" si="113"/>
        <v>#REF!</v>
      </c>
      <c r="E193" s="66">
        <v>43978</v>
      </c>
      <c r="F193" s="73" t="e">
        <f>'Date Calcs'!#REF!</f>
        <v>#REF!</v>
      </c>
      <c r="G193" s="73" t="e">
        <f>IF(VLOOKUP(A193,'Actual Dates'!A4:AF321,8,),'Actual Dates'!#REF!,"")</f>
        <v>#REF!</v>
      </c>
      <c r="H193" s="73" t="e">
        <f t="shared" si="114"/>
        <v>#REF!</v>
      </c>
      <c r="I193" s="73" t="e">
        <f>IF(VLOOKUP(A193,'Actual Dates'!A4:AF316,25,),'Actual Dates'!#REF!,"")</f>
        <v>#REF!</v>
      </c>
      <c r="J193" s="73" t="e">
        <f t="shared" si="115"/>
        <v>#REF!</v>
      </c>
      <c r="K193" s="73" t="e">
        <f>IF(VLOOKUP(A193,'Actual Dates'!A4:AF344,26,),'Actual Dates'!#REF!,"")</f>
        <v>#REF!</v>
      </c>
      <c r="L193" s="73" t="e">
        <f>IF(VLOOKUP(A193,'Actual Dates'!A4:AF344,21,),'Actual Dates'!#REF!,"")</f>
        <v>#REF!</v>
      </c>
      <c r="M193" s="73" t="e">
        <f>'Date Calcs'!#REF!</f>
        <v>#REF!</v>
      </c>
      <c r="N193" s="73" t="e">
        <f>IF(VLOOKUP(A193,'Actual Dates'!A4:AF344,27,),'Actual Dates'!#REF!,"")</f>
        <v>#REF!</v>
      </c>
      <c r="O193" s="74" t="e">
        <f t="shared" si="116"/>
        <v>#REF!</v>
      </c>
      <c r="P193" s="75" t="e">
        <f t="shared" si="117"/>
        <v>#REF!</v>
      </c>
      <c r="Q193" s="75" t="e">
        <f t="shared" si="118"/>
        <v>#REF!</v>
      </c>
      <c r="R193" s="132"/>
      <c r="S193" s="133"/>
      <c r="T193" s="88"/>
      <c r="U193" s="88"/>
      <c r="V193" s="88"/>
      <c r="W193" s="88"/>
      <c r="X193" s="88"/>
      <c r="Y193" s="88"/>
      <c r="Z193" s="88"/>
      <c r="AA193" s="88"/>
      <c r="AB193" s="88"/>
    </row>
    <row r="194" spans="1:28" x14ac:dyDescent="0.25">
      <c r="A194" s="70" t="e">
        <f>'Date Calcs'!#REF!</f>
        <v>#REF!</v>
      </c>
      <c r="B194" s="71" t="e">
        <f>'Date Calcs'!#REF!</f>
        <v>#REF!</v>
      </c>
      <c r="C194" s="72" t="e">
        <f>'Date Calcs'!#REF!</f>
        <v>#REF!</v>
      </c>
      <c r="D194" s="73" t="e">
        <f t="shared" si="113"/>
        <v>#REF!</v>
      </c>
      <c r="E194" s="66">
        <v>43979</v>
      </c>
      <c r="F194" s="73" t="e">
        <f>'Date Calcs'!#REF!</f>
        <v>#REF!</v>
      </c>
      <c r="G194" s="73" t="e">
        <f>IF(VLOOKUP(A194,'Actual Dates'!A4:AF322,8,),'Actual Dates'!#REF!,"")</f>
        <v>#REF!</v>
      </c>
      <c r="H194" s="73" t="e">
        <f t="shared" si="114"/>
        <v>#REF!</v>
      </c>
      <c r="I194" s="73" t="e">
        <f>IF(VLOOKUP(A194,'Actual Dates'!A4:AF317,25,),'Actual Dates'!#REF!,"")</f>
        <v>#REF!</v>
      </c>
      <c r="J194" s="73" t="e">
        <f t="shared" si="115"/>
        <v>#REF!</v>
      </c>
      <c r="K194" s="73" t="e">
        <f>IF(VLOOKUP(A194,'Actual Dates'!A4:AF345,26,),'Actual Dates'!#REF!,"")</f>
        <v>#REF!</v>
      </c>
      <c r="L194" s="73" t="e">
        <f>IF(VLOOKUP(A194,'Actual Dates'!A4:AF345,21,),'Actual Dates'!#REF!,"")</f>
        <v>#REF!</v>
      </c>
      <c r="M194" s="73" t="e">
        <f>'Date Calcs'!#REF!</f>
        <v>#REF!</v>
      </c>
      <c r="N194" s="73" t="e">
        <f>IF(VLOOKUP(A194,'Actual Dates'!A4:AF345,27,),'Actual Dates'!#REF!,"")</f>
        <v>#REF!</v>
      </c>
      <c r="O194" s="74" t="e">
        <f t="shared" si="116"/>
        <v>#REF!</v>
      </c>
      <c r="P194" s="75" t="e">
        <f t="shared" si="117"/>
        <v>#REF!</v>
      </c>
      <c r="Q194" s="75" t="e">
        <f t="shared" si="118"/>
        <v>#REF!</v>
      </c>
      <c r="R194" s="132"/>
      <c r="S194" s="133"/>
      <c r="T194" s="88"/>
      <c r="U194" s="88"/>
      <c r="V194" s="88"/>
      <c r="W194" s="88"/>
      <c r="X194" s="88"/>
      <c r="Y194" s="88"/>
      <c r="Z194" s="88"/>
      <c r="AA194" s="88"/>
      <c r="AB194" s="88"/>
    </row>
    <row r="195" spans="1:28" x14ac:dyDescent="0.25">
      <c r="A195" s="70" t="e">
        <f>'Date Calcs'!#REF!</f>
        <v>#REF!</v>
      </c>
      <c r="B195" s="71" t="e">
        <f>'Date Calcs'!#REF!</f>
        <v>#REF!</v>
      </c>
      <c r="C195" s="72" t="e">
        <f>'Date Calcs'!#REF!</f>
        <v>#REF!</v>
      </c>
      <c r="D195" s="73" t="e">
        <f t="shared" si="113"/>
        <v>#REF!</v>
      </c>
      <c r="E195" s="66">
        <v>43980</v>
      </c>
      <c r="F195" s="73" t="e">
        <f>'Date Calcs'!#REF!</f>
        <v>#REF!</v>
      </c>
      <c r="G195" s="73" t="e">
        <f>IF(VLOOKUP(A195,'Actual Dates'!A4:AF323,8,),'Actual Dates'!#REF!,"")</f>
        <v>#REF!</v>
      </c>
      <c r="H195" s="73" t="e">
        <f t="shared" si="114"/>
        <v>#REF!</v>
      </c>
      <c r="I195" s="73" t="e">
        <f>IF(VLOOKUP(A195,'Actual Dates'!A4:AF318,25,),'Actual Dates'!#REF!,"")</f>
        <v>#REF!</v>
      </c>
      <c r="J195" s="73" t="e">
        <f t="shared" si="115"/>
        <v>#REF!</v>
      </c>
      <c r="K195" s="73" t="e">
        <f>IF(VLOOKUP(A195,'Actual Dates'!A4:AF346,26,),'Actual Dates'!#REF!,"")</f>
        <v>#REF!</v>
      </c>
      <c r="L195" s="73" t="e">
        <f>IF(VLOOKUP(A195,'Actual Dates'!A4:AF346,21,),'Actual Dates'!#REF!,"")</f>
        <v>#REF!</v>
      </c>
      <c r="M195" s="73" t="e">
        <f>'Date Calcs'!#REF!</f>
        <v>#REF!</v>
      </c>
      <c r="N195" s="73" t="e">
        <f>IF(VLOOKUP(A195,'Actual Dates'!A4:AF346,27,),'Actual Dates'!#REF!,"")</f>
        <v>#REF!</v>
      </c>
      <c r="O195" s="74" t="e">
        <f t="shared" si="116"/>
        <v>#REF!</v>
      </c>
      <c r="P195" s="75" t="e">
        <f t="shared" si="117"/>
        <v>#REF!</v>
      </c>
      <c r="Q195" s="75" t="e">
        <f t="shared" si="118"/>
        <v>#REF!</v>
      </c>
      <c r="R195" s="132"/>
      <c r="S195" s="133"/>
      <c r="T195" s="88"/>
      <c r="U195" s="88"/>
      <c r="V195" s="88"/>
      <c r="W195" s="88"/>
      <c r="X195" s="88"/>
      <c r="Y195" s="88"/>
      <c r="Z195" s="88"/>
      <c r="AA195" s="88"/>
      <c r="AB195" s="88"/>
    </row>
    <row r="196" spans="1:28" x14ac:dyDescent="0.25">
      <c r="A196" s="70" t="e">
        <f>'Date Calcs'!#REF!</f>
        <v>#REF!</v>
      </c>
      <c r="B196" s="71" t="e">
        <f>'Date Calcs'!#REF!</f>
        <v>#REF!</v>
      </c>
      <c r="C196" s="72" t="e">
        <f>'Date Calcs'!#REF!</f>
        <v>#REF!</v>
      </c>
      <c r="D196" s="73" t="e">
        <f t="shared" si="113"/>
        <v>#REF!</v>
      </c>
      <c r="E196" s="66">
        <v>43981</v>
      </c>
      <c r="F196" s="73" t="e">
        <f>'Date Calcs'!#REF!</f>
        <v>#REF!</v>
      </c>
      <c r="G196" s="73" t="e">
        <f>IF(VLOOKUP(A196,'Actual Dates'!A4:AF324,8,),'Actual Dates'!#REF!,"")</f>
        <v>#REF!</v>
      </c>
      <c r="H196" s="73" t="e">
        <f t="shared" si="114"/>
        <v>#REF!</v>
      </c>
      <c r="I196" s="73" t="e">
        <f>IF(VLOOKUP(A196,'Actual Dates'!A4:AF319,25,),'Actual Dates'!#REF!,"")</f>
        <v>#REF!</v>
      </c>
      <c r="J196" s="73" t="e">
        <f t="shared" si="115"/>
        <v>#REF!</v>
      </c>
      <c r="K196" s="73" t="e">
        <f>IF(VLOOKUP(A196,'Actual Dates'!A4:AF347,26,),'Actual Dates'!#REF!,"")</f>
        <v>#REF!</v>
      </c>
      <c r="L196" s="73" t="e">
        <f>IF(VLOOKUP(A196,'Actual Dates'!A4:AF347,21,),'Actual Dates'!#REF!,"")</f>
        <v>#REF!</v>
      </c>
      <c r="M196" s="73" t="e">
        <f>'Date Calcs'!#REF!</f>
        <v>#REF!</v>
      </c>
      <c r="N196" s="73" t="e">
        <f>IF(VLOOKUP(A196,'Actual Dates'!A4:AF347,27,),'Actual Dates'!#REF!,"")</f>
        <v>#REF!</v>
      </c>
      <c r="O196" s="74" t="e">
        <f t="shared" si="116"/>
        <v>#REF!</v>
      </c>
      <c r="P196" s="75" t="e">
        <f t="shared" si="117"/>
        <v>#REF!</v>
      </c>
      <c r="Q196" s="75" t="e">
        <f t="shared" si="118"/>
        <v>#REF!</v>
      </c>
      <c r="R196" s="132"/>
      <c r="S196" s="133"/>
      <c r="T196" s="88"/>
      <c r="U196" s="88"/>
      <c r="V196" s="88"/>
      <c r="W196" s="88"/>
      <c r="X196" s="88"/>
      <c r="Y196" s="88"/>
      <c r="Z196" s="88"/>
      <c r="AA196" s="88"/>
      <c r="AB196" s="88"/>
    </row>
    <row r="197" spans="1:28" x14ac:dyDescent="0.25">
      <c r="A197" s="70" t="e">
        <f>'Date Calcs'!#REF!</f>
        <v>#REF!</v>
      </c>
      <c r="B197" s="71" t="e">
        <f>'Date Calcs'!#REF!</f>
        <v>#REF!</v>
      </c>
      <c r="C197" s="72" t="e">
        <f>'Date Calcs'!#REF!</f>
        <v>#REF!</v>
      </c>
      <c r="D197" s="73" t="e">
        <f t="shared" si="113"/>
        <v>#REF!</v>
      </c>
      <c r="E197" s="66">
        <v>43982</v>
      </c>
      <c r="F197" s="73" t="e">
        <f>'Date Calcs'!#REF!</f>
        <v>#REF!</v>
      </c>
      <c r="G197" s="73" t="e">
        <f>IF(VLOOKUP(A197,'Actual Dates'!A4:AF325,8,),'Actual Dates'!#REF!,"")</f>
        <v>#REF!</v>
      </c>
      <c r="H197" s="73" t="e">
        <f t="shared" si="114"/>
        <v>#REF!</v>
      </c>
      <c r="I197" s="73" t="e">
        <f>IF(VLOOKUP(A197,'Actual Dates'!A4:AF320,25,),'Actual Dates'!#REF!,"")</f>
        <v>#REF!</v>
      </c>
      <c r="J197" s="73" t="e">
        <f t="shared" si="115"/>
        <v>#REF!</v>
      </c>
      <c r="K197" s="73" t="e">
        <f>IF(VLOOKUP(A197,'Actual Dates'!A4:AF348,26,),'Actual Dates'!#REF!,"")</f>
        <v>#REF!</v>
      </c>
      <c r="L197" s="73" t="e">
        <f>IF(VLOOKUP(A197,'Actual Dates'!A4:AF348,21,),'Actual Dates'!#REF!,"")</f>
        <v>#REF!</v>
      </c>
      <c r="M197" s="73" t="e">
        <f>'Date Calcs'!#REF!</f>
        <v>#REF!</v>
      </c>
      <c r="N197" s="73" t="e">
        <f>IF(VLOOKUP(A197,'Actual Dates'!A4:AF348,27,),'Actual Dates'!#REF!,"")</f>
        <v>#REF!</v>
      </c>
      <c r="O197" s="74" t="e">
        <f t="shared" si="116"/>
        <v>#REF!</v>
      </c>
      <c r="P197" s="75" t="e">
        <f t="shared" si="117"/>
        <v>#REF!</v>
      </c>
      <c r="Q197" s="75" t="e">
        <f t="shared" si="118"/>
        <v>#REF!</v>
      </c>
      <c r="R197" s="132"/>
      <c r="S197" s="133"/>
      <c r="T197" s="88"/>
      <c r="U197" s="88"/>
      <c r="V197" s="88"/>
      <c r="W197" s="88"/>
      <c r="X197" s="88"/>
      <c r="Y197" s="88"/>
      <c r="Z197" s="88"/>
      <c r="AA197" s="88"/>
      <c r="AB197" s="88"/>
    </row>
    <row r="198" spans="1:28" x14ac:dyDescent="0.25">
      <c r="A198" s="70" t="e">
        <f>'Date Calcs'!#REF!</f>
        <v>#REF!</v>
      </c>
      <c r="B198" s="71" t="e">
        <f>'Date Calcs'!#REF!</f>
        <v>#REF!</v>
      </c>
      <c r="C198" s="72" t="e">
        <f>'Date Calcs'!#REF!</f>
        <v>#REF!</v>
      </c>
      <c r="D198" s="73" t="e">
        <f t="shared" si="113"/>
        <v>#REF!</v>
      </c>
      <c r="E198" s="66">
        <v>43983</v>
      </c>
      <c r="F198" s="73" t="e">
        <f>'Date Calcs'!#REF!</f>
        <v>#REF!</v>
      </c>
      <c r="G198" s="73" t="e">
        <f>IF(VLOOKUP(A198,'Actual Dates'!A4:AF326,8,),'Actual Dates'!#REF!,"")</f>
        <v>#REF!</v>
      </c>
      <c r="H198" s="73" t="e">
        <f t="shared" si="114"/>
        <v>#REF!</v>
      </c>
      <c r="I198" s="73" t="e">
        <f>IF(VLOOKUP(A198,'Actual Dates'!A4:AF321,25,),'Actual Dates'!#REF!,"")</f>
        <v>#REF!</v>
      </c>
      <c r="J198" s="73" t="e">
        <f t="shared" si="115"/>
        <v>#REF!</v>
      </c>
      <c r="K198" s="73" t="e">
        <f>IF(VLOOKUP(A198,'Actual Dates'!A4:AF349,26,),'Actual Dates'!#REF!,"")</f>
        <v>#REF!</v>
      </c>
      <c r="L198" s="73" t="e">
        <f>IF(VLOOKUP(A198,'Actual Dates'!A4:AF349,21,),'Actual Dates'!#REF!,"")</f>
        <v>#REF!</v>
      </c>
      <c r="M198" s="73" t="e">
        <f>'Date Calcs'!#REF!</f>
        <v>#REF!</v>
      </c>
      <c r="N198" s="73" t="e">
        <f>IF(VLOOKUP(A198,'Actual Dates'!A4:AF349,27,),'Actual Dates'!#REF!,"")</f>
        <v>#REF!</v>
      </c>
      <c r="O198" s="74" t="e">
        <f t="shared" si="116"/>
        <v>#REF!</v>
      </c>
      <c r="P198" s="75" t="e">
        <f t="shared" si="117"/>
        <v>#REF!</v>
      </c>
      <c r="Q198" s="75" t="e">
        <f t="shared" si="118"/>
        <v>#REF!</v>
      </c>
      <c r="R198" s="132"/>
      <c r="S198" s="133"/>
      <c r="T198" s="88"/>
      <c r="U198" s="88"/>
      <c r="V198" s="88"/>
      <c r="W198" s="88"/>
      <c r="X198" s="88"/>
      <c r="Y198" s="88"/>
      <c r="Z198" s="88"/>
      <c r="AA198" s="88"/>
      <c r="AB198" s="88"/>
    </row>
    <row r="199" spans="1:28" x14ac:dyDescent="0.25">
      <c r="A199" s="70" t="e">
        <f>'Date Calcs'!#REF!</f>
        <v>#REF!</v>
      </c>
      <c r="B199" s="71" t="e">
        <f>'Date Calcs'!#REF!</f>
        <v>#REF!</v>
      </c>
      <c r="C199" s="72" t="e">
        <f>'Date Calcs'!#REF!</f>
        <v>#REF!</v>
      </c>
      <c r="D199" s="73" t="e">
        <f t="shared" si="113"/>
        <v>#REF!</v>
      </c>
      <c r="E199" s="66">
        <v>43984</v>
      </c>
      <c r="F199" s="73" t="e">
        <f>'Date Calcs'!#REF!</f>
        <v>#REF!</v>
      </c>
      <c r="G199" s="73" t="e">
        <f>IF(VLOOKUP(A199,'Actual Dates'!A4:AF327,8,),'Actual Dates'!#REF!,"")</f>
        <v>#REF!</v>
      </c>
      <c r="H199" s="73" t="e">
        <f t="shared" si="114"/>
        <v>#REF!</v>
      </c>
      <c r="I199" s="73" t="e">
        <f>IF(VLOOKUP(A199,'Actual Dates'!A4:AF322,25,),'Actual Dates'!#REF!,"")</f>
        <v>#REF!</v>
      </c>
      <c r="J199" s="73" t="e">
        <f t="shared" si="115"/>
        <v>#REF!</v>
      </c>
      <c r="K199" s="73" t="e">
        <f>IF(VLOOKUP(A199,'Actual Dates'!A4:AF350,26,),'Actual Dates'!#REF!,"")</f>
        <v>#REF!</v>
      </c>
      <c r="L199" s="73" t="e">
        <f>IF(VLOOKUP(A199,'Actual Dates'!A4:AF350,21,),'Actual Dates'!#REF!,"")</f>
        <v>#REF!</v>
      </c>
      <c r="M199" s="73" t="e">
        <f>'Date Calcs'!#REF!</f>
        <v>#REF!</v>
      </c>
      <c r="N199" s="73" t="e">
        <f>IF(VLOOKUP(A199,'Actual Dates'!A4:AF350,27,),'Actual Dates'!#REF!,"")</f>
        <v>#REF!</v>
      </c>
      <c r="O199" s="74" t="e">
        <f t="shared" si="116"/>
        <v>#REF!</v>
      </c>
      <c r="P199" s="75" t="e">
        <f t="shared" si="117"/>
        <v>#REF!</v>
      </c>
      <c r="Q199" s="75" t="e">
        <f t="shared" si="118"/>
        <v>#REF!</v>
      </c>
      <c r="R199" s="132"/>
      <c r="S199" s="133"/>
      <c r="T199" s="88"/>
      <c r="U199" s="88"/>
      <c r="V199" s="88"/>
      <c r="W199" s="88"/>
      <c r="X199" s="88"/>
      <c r="Y199" s="88"/>
      <c r="Z199" s="88"/>
      <c r="AA199" s="88"/>
      <c r="AB199" s="88"/>
    </row>
    <row r="200" spans="1:28" x14ac:dyDescent="0.25">
      <c r="A200" s="70" t="e">
        <f>'Date Calcs'!#REF!</f>
        <v>#REF!</v>
      </c>
      <c r="B200" s="71" t="e">
        <f>'Date Calcs'!#REF!</f>
        <v>#REF!</v>
      </c>
      <c r="C200" s="72" t="e">
        <f>'Date Calcs'!#REF!</f>
        <v>#REF!</v>
      </c>
      <c r="D200" s="73" t="e">
        <f t="shared" si="113"/>
        <v>#REF!</v>
      </c>
      <c r="E200" s="66">
        <v>43985</v>
      </c>
      <c r="F200" s="73" t="e">
        <f>'Date Calcs'!#REF!</f>
        <v>#REF!</v>
      </c>
      <c r="G200" s="73" t="e">
        <f>IF(VLOOKUP(A200,'Actual Dates'!A4:AF328,8,),'Actual Dates'!#REF!,"")</f>
        <v>#REF!</v>
      </c>
      <c r="H200" s="73" t="e">
        <f t="shared" si="114"/>
        <v>#REF!</v>
      </c>
      <c r="I200" s="73" t="e">
        <f>IF(VLOOKUP(A200,'Actual Dates'!A4:AF323,25,),'Actual Dates'!#REF!,"")</f>
        <v>#REF!</v>
      </c>
      <c r="J200" s="73" t="e">
        <f t="shared" si="115"/>
        <v>#REF!</v>
      </c>
      <c r="K200" s="73" t="e">
        <f>IF(VLOOKUP(A200,'Actual Dates'!A4:AF351,26,),'Actual Dates'!#REF!,"")</f>
        <v>#REF!</v>
      </c>
      <c r="L200" s="73" t="e">
        <f>IF(VLOOKUP(A200,'Actual Dates'!A4:AF351,21,),'Actual Dates'!#REF!,"")</f>
        <v>#REF!</v>
      </c>
      <c r="M200" s="73" t="e">
        <f>'Date Calcs'!#REF!</f>
        <v>#REF!</v>
      </c>
      <c r="N200" s="73" t="e">
        <f>IF(VLOOKUP(A200,'Actual Dates'!A4:AF351,27,),'Actual Dates'!#REF!,"")</f>
        <v>#REF!</v>
      </c>
      <c r="O200" s="74" t="e">
        <f t="shared" si="116"/>
        <v>#REF!</v>
      </c>
      <c r="P200" s="75" t="e">
        <f t="shared" si="117"/>
        <v>#REF!</v>
      </c>
      <c r="Q200" s="75" t="e">
        <f t="shared" si="118"/>
        <v>#REF!</v>
      </c>
      <c r="R200" s="132"/>
      <c r="S200" s="133"/>
      <c r="T200" s="88"/>
      <c r="U200" s="88"/>
      <c r="V200" s="88"/>
      <c r="W200" s="88"/>
      <c r="X200" s="88"/>
      <c r="Y200" s="88"/>
      <c r="Z200" s="88"/>
      <c r="AA200" s="88"/>
      <c r="AB200" s="88"/>
    </row>
    <row r="201" spans="1:28" x14ac:dyDescent="0.25">
      <c r="A201" s="70" t="e">
        <f>'Date Calcs'!#REF!</f>
        <v>#REF!</v>
      </c>
      <c r="B201" s="71" t="e">
        <f>'Date Calcs'!#REF!</f>
        <v>#REF!</v>
      </c>
      <c r="C201" s="72" t="e">
        <f>'Date Calcs'!#REF!</f>
        <v>#REF!</v>
      </c>
      <c r="D201" s="73" t="e">
        <f t="shared" si="113"/>
        <v>#REF!</v>
      </c>
      <c r="E201" s="66">
        <v>43986</v>
      </c>
      <c r="F201" s="73" t="e">
        <f>'Date Calcs'!#REF!</f>
        <v>#REF!</v>
      </c>
      <c r="G201" s="73" t="e">
        <f>IF(VLOOKUP(A201,'Actual Dates'!A4:AF329,8,),'Actual Dates'!#REF!,"")</f>
        <v>#REF!</v>
      </c>
      <c r="H201" s="73" t="e">
        <f t="shared" si="114"/>
        <v>#REF!</v>
      </c>
      <c r="I201" s="73" t="e">
        <f>IF(VLOOKUP(A201,'Actual Dates'!A4:AF324,25,),'Actual Dates'!#REF!,"")</f>
        <v>#REF!</v>
      </c>
      <c r="J201" s="73" t="e">
        <f t="shared" si="115"/>
        <v>#REF!</v>
      </c>
      <c r="K201" s="73" t="e">
        <f>IF(VLOOKUP(A201,'Actual Dates'!A4:AF352,26,),'Actual Dates'!#REF!,"")</f>
        <v>#REF!</v>
      </c>
      <c r="L201" s="73" t="e">
        <f>IF(VLOOKUP(A201,'Actual Dates'!A4:AF352,21,),'Actual Dates'!#REF!,"")</f>
        <v>#REF!</v>
      </c>
      <c r="M201" s="73" t="e">
        <f>'Date Calcs'!#REF!</f>
        <v>#REF!</v>
      </c>
      <c r="N201" s="73" t="e">
        <f>IF(VLOOKUP(A201,'Actual Dates'!A4:AF352,27,),'Actual Dates'!#REF!,"")</f>
        <v>#REF!</v>
      </c>
      <c r="O201" s="74" t="e">
        <f t="shared" si="116"/>
        <v>#REF!</v>
      </c>
      <c r="P201" s="75" t="e">
        <f t="shared" si="117"/>
        <v>#REF!</v>
      </c>
      <c r="Q201" s="75" t="e">
        <f t="shared" si="118"/>
        <v>#REF!</v>
      </c>
      <c r="R201" s="132"/>
      <c r="S201" s="133"/>
      <c r="T201" s="88"/>
      <c r="U201" s="88"/>
      <c r="V201" s="88"/>
      <c r="W201" s="88"/>
      <c r="X201" s="88"/>
      <c r="Y201" s="88"/>
      <c r="Z201" s="88"/>
      <c r="AA201" s="88"/>
      <c r="AB201" s="88"/>
    </row>
    <row r="202" spans="1:28" x14ac:dyDescent="0.25">
      <c r="A202" s="70" t="e">
        <f>'Date Calcs'!#REF!</f>
        <v>#REF!</v>
      </c>
      <c r="B202" s="71" t="e">
        <f>'Date Calcs'!#REF!</f>
        <v>#REF!</v>
      </c>
      <c r="C202" s="72" t="e">
        <f>'Date Calcs'!#REF!</f>
        <v>#REF!</v>
      </c>
      <c r="D202" s="73" t="e">
        <f t="shared" si="113"/>
        <v>#REF!</v>
      </c>
      <c r="E202" s="66">
        <v>43987</v>
      </c>
      <c r="F202" s="73" t="e">
        <f>'Date Calcs'!#REF!</f>
        <v>#REF!</v>
      </c>
      <c r="G202" s="73" t="e">
        <f>IF(VLOOKUP(A202,'Actual Dates'!A4:AF330,8,),'Actual Dates'!#REF!,"")</f>
        <v>#REF!</v>
      </c>
      <c r="H202" s="73" t="e">
        <f t="shared" si="114"/>
        <v>#REF!</v>
      </c>
      <c r="I202" s="73" t="e">
        <f>IF(VLOOKUP(A202,'Actual Dates'!A4:AF325,25,),'Actual Dates'!#REF!,"")</f>
        <v>#REF!</v>
      </c>
      <c r="J202" s="73" t="e">
        <f t="shared" si="115"/>
        <v>#REF!</v>
      </c>
      <c r="K202" s="73" t="e">
        <f>IF(VLOOKUP(A202,'Actual Dates'!A4:AF353,26,),'Actual Dates'!#REF!,"")</f>
        <v>#REF!</v>
      </c>
      <c r="L202" s="73" t="e">
        <f>IF(VLOOKUP(A202,'Actual Dates'!A4:AF353,21,),'Actual Dates'!#REF!,"")</f>
        <v>#REF!</v>
      </c>
      <c r="M202" s="73" t="e">
        <f>'Date Calcs'!#REF!</f>
        <v>#REF!</v>
      </c>
      <c r="N202" s="73" t="e">
        <f>IF(VLOOKUP(A202,'Actual Dates'!A4:AF353,27,),'Actual Dates'!#REF!,"")</f>
        <v>#REF!</v>
      </c>
      <c r="O202" s="74" t="e">
        <f t="shared" si="116"/>
        <v>#REF!</v>
      </c>
      <c r="P202" s="75" t="e">
        <f t="shared" si="117"/>
        <v>#REF!</v>
      </c>
      <c r="Q202" s="75" t="e">
        <f t="shared" si="118"/>
        <v>#REF!</v>
      </c>
      <c r="R202" s="132"/>
      <c r="S202" s="133"/>
      <c r="T202" s="88"/>
      <c r="U202" s="88"/>
      <c r="V202" s="88"/>
      <c r="W202" s="88"/>
      <c r="X202" s="88"/>
      <c r="Y202" s="88"/>
      <c r="Z202" s="88"/>
      <c r="AA202" s="88"/>
      <c r="AB202" s="88"/>
    </row>
    <row r="203" spans="1:28" x14ac:dyDescent="0.25">
      <c r="A203" s="70" t="e">
        <f>'Date Calcs'!#REF!</f>
        <v>#REF!</v>
      </c>
      <c r="B203" s="71" t="e">
        <f>'Date Calcs'!#REF!</f>
        <v>#REF!</v>
      </c>
      <c r="C203" s="72" t="e">
        <f>'Date Calcs'!#REF!</f>
        <v>#REF!</v>
      </c>
      <c r="D203" s="73" t="e">
        <f t="shared" si="113"/>
        <v>#REF!</v>
      </c>
      <c r="E203" s="66">
        <v>43988</v>
      </c>
      <c r="F203" s="73" t="e">
        <f>'Date Calcs'!#REF!</f>
        <v>#REF!</v>
      </c>
      <c r="G203" s="73" t="e">
        <f>IF(VLOOKUP(A203,'Actual Dates'!A4:AF331,8,),'Actual Dates'!#REF!,"")</f>
        <v>#REF!</v>
      </c>
      <c r="H203" s="73" t="e">
        <f t="shared" si="114"/>
        <v>#REF!</v>
      </c>
      <c r="I203" s="73" t="e">
        <f>IF(VLOOKUP(A203,'Actual Dates'!A4:AF326,25,),'Actual Dates'!#REF!,"")</f>
        <v>#REF!</v>
      </c>
      <c r="J203" s="73" t="e">
        <f t="shared" si="115"/>
        <v>#REF!</v>
      </c>
      <c r="K203" s="73" t="e">
        <f>IF(VLOOKUP(A203,'Actual Dates'!A4:AF354,26,),'Actual Dates'!#REF!,"")</f>
        <v>#REF!</v>
      </c>
      <c r="L203" s="73" t="e">
        <f>IF(VLOOKUP(A203,'Actual Dates'!A4:AF354,21,),'Actual Dates'!#REF!,"")</f>
        <v>#REF!</v>
      </c>
      <c r="M203" s="73" t="e">
        <f>'Date Calcs'!#REF!</f>
        <v>#REF!</v>
      </c>
      <c r="N203" s="73" t="e">
        <f>IF(VLOOKUP(A203,'Actual Dates'!A4:AF354,27,),'Actual Dates'!#REF!,"")</f>
        <v>#REF!</v>
      </c>
      <c r="O203" s="74" t="e">
        <f t="shared" si="116"/>
        <v>#REF!</v>
      </c>
      <c r="P203" s="75" t="e">
        <f t="shared" si="117"/>
        <v>#REF!</v>
      </c>
      <c r="Q203" s="75" t="e">
        <f t="shared" si="118"/>
        <v>#REF!</v>
      </c>
      <c r="R203" s="132"/>
      <c r="S203" s="133"/>
      <c r="T203" s="88"/>
      <c r="U203" s="88"/>
      <c r="V203" s="88"/>
      <c r="W203" s="88"/>
      <c r="X203" s="88"/>
      <c r="Y203" s="88"/>
      <c r="Z203" s="88"/>
      <c r="AA203" s="88"/>
      <c r="AB203" s="88"/>
    </row>
    <row r="204" spans="1:28" x14ac:dyDescent="0.25">
      <c r="A204" s="70" t="e">
        <f>'Date Calcs'!#REF!</f>
        <v>#REF!</v>
      </c>
      <c r="B204" s="71" t="e">
        <f>'Date Calcs'!#REF!</f>
        <v>#REF!</v>
      </c>
      <c r="C204" s="72" t="e">
        <f>'Date Calcs'!#REF!</f>
        <v>#REF!</v>
      </c>
      <c r="D204" s="73" t="e">
        <f t="shared" si="113"/>
        <v>#REF!</v>
      </c>
      <c r="E204" s="66">
        <v>43989</v>
      </c>
      <c r="F204" s="73" t="e">
        <f>'Date Calcs'!#REF!</f>
        <v>#REF!</v>
      </c>
      <c r="G204" s="73" t="e">
        <f>IF(VLOOKUP(A204,'Actual Dates'!A4:AF332,8,),'Actual Dates'!#REF!,"")</f>
        <v>#REF!</v>
      </c>
      <c r="H204" s="73" t="e">
        <f t="shared" si="114"/>
        <v>#REF!</v>
      </c>
      <c r="I204" s="73" t="e">
        <f>IF(VLOOKUP(A204,'Actual Dates'!A4:AF327,25,),'Actual Dates'!#REF!,"")</f>
        <v>#REF!</v>
      </c>
      <c r="J204" s="73" t="e">
        <f t="shared" si="115"/>
        <v>#REF!</v>
      </c>
      <c r="K204" s="73" t="e">
        <f>IF(VLOOKUP(A204,'Actual Dates'!A4:AF355,26,),'Actual Dates'!#REF!,"")</f>
        <v>#REF!</v>
      </c>
      <c r="L204" s="73" t="e">
        <f>IF(VLOOKUP(A204,'Actual Dates'!A4:AF355,21,),'Actual Dates'!#REF!,"")</f>
        <v>#REF!</v>
      </c>
      <c r="M204" s="73" t="e">
        <f>'Date Calcs'!#REF!</f>
        <v>#REF!</v>
      </c>
      <c r="N204" s="73" t="e">
        <f>IF(VLOOKUP(A204,'Actual Dates'!A4:AF355,27,),'Actual Dates'!#REF!,"")</f>
        <v>#REF!</v>
      </c>
      <c r="O204" s="74" t="e">
        <f t="shared" si="116"/>
        <v>#REF!</v>
      </c>
      <c r="P204" s="75" t="e">
        <f t="shared" si="117"/>
        <v>#REF!</v>
      </c>
      <c r="Q204" s="75" t="e">
        <f t="shared" si="118"/>
        <v>#REF!</v>
      </c>
      <c r="R204" s="132"/>
      <c r="S204" s="133"/>
      <c r="T204" s="88"/>
      <c r="U204" s="88"/>
      <c r="V204" s="88"/>
      <c r="W204" s="88"/>
      <c r="X204" s="88"/>
      <c r="Y204" s="88"/>
      <c r="Z204" s="88"/>
      <c r="AA204" s="88"/>
      <c r="AB204" s="88"/>
    </row>
    <row r="205" spans="1:28" x14ac:dyDescent="0.25">
      <c r="A205" s="70" t="e">
        <f>'Date Calcs'!#REF!</f>
        <v>#REF!</v>
      </c>
      <c r="B205" s="71" t="e">
        <f>'Date Calcs'!#REF!</f>
        <v>#REF!</v>
      </c>
      <c r="C205" s="72" t="e">
        <f>'Date Calcs'!#REF!</f>
        <v>#REF!</v>
      </c>
      <c r="D205" s="73" t="e">
        <f t="shared" si="113"/>
        <v>#REF!</v>
      </c>
      <c r="E205" s="66">
        <v>43990</v>
      </c>
      <c r="F205" s="73" t="e">
        <f>'Date Calcs'!#REF!</f>
        <v>#REF!</v>
      </c>
      <c r="G205" s="73" t="e">
        <f>IF(VLOOKUP(A205,'Actual Dates'!A4:AF333,8,),'Actual Dates'!#REF!,"")</f>
        <v>#REF!</v>
      </c>
      <c r="H205" s="73" t="e">
        <f t="shared" si="114"/>
        <v>#REF!</v>
      </c>
      <c r="I205" s="73" t="e">
        <f>IF(VLOOKUP(A205,'Actual Dates'!A4:AF328,25,),'Actual Dates'!#REF!,"")</f>
        <v>#REF!</v>
      </c>
      <c r="J205" s="73" t="e">
        <f t="shared" si="115"/>
        <v>#REF!</v>
      </c>
      <c r="K205" s="73" t="e">
        <f>IF(VLOOKUP(A205,'Actual Dates'!A4:AF356,26,),'Actual Dates'!#REF!,"")</f>
        <v>#REF!</v>
      </c>
      <c r="L205" s="73" t="e">
        <f>IF(VLOOKUP(A205,'Actual Dates'!A4:AF356,21,),'Actual Dates'!#REF!,"")</f>
        <v>#REF!</v>
      </c>
      <c r="M205" s="73" t="e">
        <f>'Date Calcs'!#REF!</f>
        <v>#REF!</v>
      </c>
      <c r="N205" s="73" t="e">
        <f>IF(VLOOKUP(A205,'Actual Dates'!A4:AF356,27,),'Actual Dates'!#REF!,"")</f>
        <v>#REF!</v>
      </c>
      <c r="O205" s="74" t="e">
        <f t="shared" si="116"/>
        <v>#REF!</v>
      </c>
      <c r="P205" s="75" t="e">
        <f t="shared" si="117"/>
        <v>#REF!</v>
      </c>
      <c r="Q205" s="75" t="e">
        <f t="shared" si="118"/>
        <v>#REF!</v>
      </c>
      <c r="R205" s="132"/>
      <c r="S205" s="133"/>
      <c r="T205" s="88"/>
      <c r="U205" s="88"/>
      <c r="V205" s="88"/>
      <c r="W205" s="88"/>
      <c r="X205" s="88"/>
      <c r="Y205" s="88"/>
      <c r="Z205" s="88"/>
      <c r="AA205" s="88"/>
      <c r="AB205" s="88"/>
    </row>
    <row r="206" spans="1:28" x14ac:dyDescent="0.25">
      <c r="A206" s="70" t="e">
        <f>'Date Calcs'!#REF!</f>
        <v>#REF!</v>
      </c>
      <c r="B206" s="71" t="e">
        <f>'Date Calcs'!#REF!</f>
        <v>#REF!</v>
      </c>
      <c r="C206" s="72" t="e">
        <f>'Date Calcs'!#REF!</f>
        <v>#REF!</v>
      </c>
      <c r="D206" s="73" t="e">
        <f t="shared" ref="D206:D228" si="119">WORKDAY(F206,-1,)</f>
        <v>#REF!</v>
      </c>
      <c r="E206" s="66">
        <v>43991</v>
      </c>
      <c r="F206" s="73" t="e">
        <f>'Date Calcs'!#REF!</f>
        <v>#REF!</v>
      </c>
      <c r="G206" s="73" t="e">
        <f>IF(VLOOKUP(A206,'Actual Dates'!A4:AF334,8,),'Actual Dates'!#REF!,"")</f>
        <v>#REF!</v>
      </c>
      <c r="H206" s="73" t="e">
        <f t="shared" ref="H206:H228" si="120">WORKDAY(L206,3,)</f>
        <v>#REF!</v>
      </c>
      <c r="I206" s="73" t="e">
        <f>IF(VLOOKUP(A206,'Actual Dates'!A4:AF329,25,),'Actual Dates'!#REF!,"")</f>
        <v>#REF!</v>
      </c>
      <c r="J206" s="73" t="e">
        <f t="shared" ref="J206:J228" si="121">WORKDAY(L206,4,)</f>
        <v>#REF!</v>
      </c>
      <c r="K206" s="73" t="e">
        <f>IF(VLOOKUP(A206,'Actual Dates'!A4:AF357,26,),'Actual Dates'!#REF!,"")</f>
        <v>#REF!</v>
      </c>
      <c r="L206" s="73" t="e">
        <f>IF(VLOOKUP(A206,'Actual Dates'!A4:AF357,21,),'Actual Dates'!#REF!,"")</f>
        <v>#REF!</v>
      </c>
      <c r="M206" s="73" t="e">
        <f>'Date Calcs'!#REF!</f>
        <v>#REF!</v>
      </c>
      <c r="N206" s="73" t="e">
        <f>IF(VLOOKUP(A206,'Actual Dates'!A4:AF357,27,),'Actual Dates'!#REF!,"")</f>
        <v>#REF!</v>
      </c>
      <c r="O206" s="74" t="e">
        <f t="shared" ref="O206:O228" si="122">N206-C206</f>
        <v>#REF!</v>
      </c>
      <c r="P206" s="75" t="e">
        <f t="shared" ref="P206:P228" si="123">F206-G206</f>
        <v>#REF!</v>
      </c>
      <c r="Q206" s="75" t="e">
        <f t="shared" ref="Q206:Q228" si="124">M206-N206</f>
        <v>#REF!</v>
      </c>
      <c r="R206" s="132"/>
      <c r="S206" s="133"/>
      <c r="T206" s="88"/>
      <c r="U206" s="88"/>
      <c r="V206" s="88"/>
      <c r="W206" s="88"/>
      <c r="X206" s="88"/>
      <c r="Y206" s="88"/>
      <c r="Z206" s="88"/>
      <c r="AA206" s="88"/>
      <c r="AB206" s="88"/>
    </row>
    <row r="207" spans="1:28" x14ac:dyDescent="0.25">
      <c r="A207" s="70" t="e">
        <f>'Date Calcs'!#REF!</f>
        <v>#REF!</v>
      </c>
      <c r="B207" s="71" t="e">
        <f>'Date Calcs'!#REF!</f>
        <v>#REF!</v>
      </c>
      <c r="C207" s="72" t="e">
        <f>'Date Calcs'!#REF!</f>
        <v>#REF!</v>
      </c>
      <c r="D207" s="73" t="e">
        <f t="shared" si="119"/>
        <v>#REF!</v>
      </c>
      <c r="E207" s="66">
        <v>43992</v>
      </c>
      <c r="F207" s="73" t="e">
        <f>'Date Calcs'!#REF!</f>
        <v>#REF!</v>
      </c>
      <c r="G207" s="73" t="e">
        <f>IF(VLOOKUP(A207,'Actual Dates'!A4:AF335,8,),'Actual Dates'!#REF!,"")</f>
        <v>#REF!</v>
      </c>
      <c r="H207" s="73" t="e">
        <f t="shared" si="120"/>
        <v>#REF!</v>
      </c>
      <c r="I207" s="73" t="e">
        <f>IF(VLOOKUP(A207,'Actual Dates'!A4:AF330,25,),'Actual Dates'!#REF!,"")</f>
        <v>#REF!</v>
      </c>
      <c r="J207" s="73" t="e">
        <f t="shared" si="121"/>
        <v>#REF!</v>
      </c>
      <c r="K207" s="73" t="e">
        <f>IF(VLOOKUP(A207,'Actual Dates'!A4:AF358,26,),'Actual Dates'!#REF!,"")</f>
        <v>#REF!</v>
      </c>
      <c r="L207" s="73" t="e">
        <f>IF(VLOOKUP(A207,'Actual Dates'!A4:AF358,21,),'Actual Dates'!#REF!,"")</f>
        <v>#REF!</v>
      </c>
      <c r="M207" s="73" t="e">
        <f>'Date Calcs'!#REF!</f>
        <v>#REF!</v>
      </c>
      <c r="N207" s="73" t="e">
        <f>IF(VLOOKUP(A207,'Actual Dates'!A4:AF358,27,),'Actual Dates'!#REF!,"")</f>
        <v>#REF!</v>
      </c>
      <c r="O207" s="74" t="e">
        <f t="shared" si="122"/>
        <v>#REF!</v>
      </c>
      <c r="P207" s="75" t="e">
        <f t="shared" si="123"/>
        <v>#REF!</v>
      </c>
      <c r="Q207" s="75" t="e">
        <f t="shared" si="124"/>
        <v>#REF!</v>
      </c>
      <c r="R207" s="132"/>
      <c r="S207" s="133"/>
      <c r="T207" s="88"/>
      <c r="U207" s="88"/>
      <c r="V207" s="88"/>
      <c r="W207" s="88"/>
      <c r="X207" s="88"/>
      <c r="Y207" s="88"/>
      <c r="Z207" s="88"/>
      <c r="AA207" s="88"/>
      <c r="AB207" s="88"/>
    </row>
    <row r="208" spans="1:28" x14ac:dyDescent="0.25">
      <c r="A208" s="70" t="e">
        <f>'Date Calcs'!#REF!</f>
        <v>#REF!</v>
      </c>
      <c r="B208" s="71" t="e">
        <f>'Date Calcs'!#REF!</f>
        <v>#REF!</v>
      </c>
      <c r="C208" s="72" t="e">
        <f>'Date Calcs'!#REF!</f>
        <v>#REF!</v>
      </c>
      <c r="D208" s="73" t="e">
        <f t="shared" si="119"/>
        <v>#REF!</v>
      </c>
      <c r="E208" s="66">
        <v>43993</v>
      </c>
      <c r="F208" s="73" t="e">
        <f>'Date Calcs'!#REF!</f>
        <v>#REF!</v>
      </c>
      <c r="G208" s="73" t="e">
        <f>IF(VLOOKUP(A208,'Actual Dates'!A4:AF336,8,),'Actual Dates'!#REF!,"")</f>
        <v>#REF!</v>
      </c>
      <c r="H208" s="73" t="e">
        <f t="shared" si="120"/>
        <v>#REF!</v>
      </c>
      <c r="I208" s="73" t="e">
        <f>IF(VLOOKUP(A208,'Actual Dates'!A4:AF331,25,),'Actual Dates'!#REF!,"")</f>
        <v>#REF!</v>
      </c>
      <c r="J208" s="73" t="e">
        <f t="shared" si="121"/>
        <v>#REF!</v>
      </c>
      <c r="K208" s="73" t="e">
        <f>IF(VLOOKUP(A208,'Actual Dates'!A4:AF359,26,),'Actual Dates'!#REF!,"")</f>
        <v>#REF!</v>
      </c>
      <c r="L208" s="73" t="e">
        <f>IF(VLOOKUP(A208,'Actual Dates'!A4:AF359,21,),'Actual Dates'!#REF!,"")</f>
        <v>#REF!</v>
      </c>
      <c r="M208" s="73" t="e">
        <f>'Date Calcs'!#REF!</f>
        <v>#REF!</v>
      </c>
      <c r="N208" s="73" t="e">
        <f>IF(VLOOKUP(A208,'Actual Dates'!A4:AF359,27,),'Actual Dates'!#REF!,"")</f>
        <v>#REF!</v>
      </c>
      <c r="O208" s="74" t="e">
        <f t="shared" si="122"/>
        <v>#REF!</v>
      </c>
      <c r="P208" s="75" t="e">
        <f t="shared" si="123"/>
        <v>#REF!</v>
      </c>
      <c r="Q208" s="75" t="e">
        <f t="shared" si="124"/>
        <v>#REF!</v>
      </c>
      <c r="R208" s="132"/>
      <c r="S208" s="133"/>
      <c r="T208" s="88"/>
      <c r="U208" s="88"/>
      <c r="V208" s="88"/>
      <c r="W208" s="88"/>
      <c r="X208" s="88"/>
      <c r="Y208" s="88"/>
      <c r="Z208" s="88"/>
      <c r="AA208" s="88"/>
      <c r="AB208" s="88"/>
    </row>
    <row r="209" spans="1:28" x14ac:dyDescent="0.25">
      <c r="A209" s="70" t="e">
        <f>'Date Calcs'!#REF!</f>
        <v>#REF!</v>
      </c>
      <c r="B209" s="71" t="e">
        <f>'Date Calcs'!#REF!</f>
        <v>#REF!</v>
      </c>
      <c r="C209" s="72" t="e">
        <f>'Date Calcs'!#REF!</f>
        <v>#REF!</v>
      </c>
      <c r="D209" s="73" t="e">
        <f t="shared" si="119"/>
        <v>#REF!</v>
      </c>
      <c r="E209" s="66">
        <v>43994</v>
      </c>
      <c r="F209" s="73" t="e">
        <f>'Date Calcs'!#REF!</f>
        <v>#REF!</v>
      </c>
      <c r="G209" s="73" t="e">
        <f>IF(VLOOKUP(A209,'Actual Dates'!A4:AF337,8,),'Actual Dates'!#REF!,"")</f>
        <v>#REF!</v>
      </c>
      <c r="H209" s="73" t="e">
        <f t="shared" si="120"/>
        <v>#REF!</v>
      </c>
      <c r="I209" s="73" t="e">
        <f>IF(VLOOKUP(A209,'Actual Dates'!A4:AF332,25,),'Actual Dates'!#REF!,"")</f>
        <v>#REF!</v>
      </c>
      <c r="J209" s="73" t="e">
        <f t="shared" si="121"/>
        <v>#REF!</v>
      </c>
      <c r="K209" s="73" t="e">
        <f>IF(VLOOKUP(A209,'Actual Dates'!A4:AF360,26,),'Actual Dates'!#REF!,"")</f>
        <v>#REF!</v>
      </c>
      <c r="L209" s="73" t="e">
        <f>IF(VLOOKUP(A209,'Actual Dates'!A4:AF360,21,),'Actual Dates'!#REF!,"")</f>
        <v>#REF!</v>
      </c>
      <c r="M209" s="73" t="e">
        <f>'Date Calcs'!#REF!</f>
        <v>#REF!</v>
      </c>
      <c r="N209" s="73" t="e">
        <f>IF(VLOOKUP(A209,'Actual Dates'!A4:AF360,27,),'Actual Dates'!#REF!,"")</f>
        <v>#REF!</v>
      </c>
      <c r="O209" s="74" t="e">
        <f t="shared" si="122"/>
        <v>#REF!</v>
      </c>
      <c r="P209" s="75" t="e">
        <f t="shared" si="123"/>
        <v>#REF!</v>
      </c>
      <c r="Q209" s="75" t="e">
        <f t="shared" si="124"/>
        <v>#REF!</v>
      </c>
      <c r="R209" s="132"/>
      <c r="S209" s="133"/>
      <c r="T209" s="88"/>
      <c r="U209" s="88"/>
      <c r="V209" s="88"/>
      <c r="W209" s="88"/>
      <c r="X209" s="88"/>
      <c r="Y209" s="88"/>
      <c r="Z209" s="88"/>
      <c r="AA209" s="88"/>
      <c r="AB209" s="88"/>
    </row>
    <row r="210" spans="1:28" x14ac:dyDescent="0.25">
      <c r="A210" s="70" t="e">
        <f>'Date Calcs'!#REF!</f>
        <v>#REF!</v>
      </c>
      <c r="B210" s="71" t="e">
        <f>'Date Calcs'!#REF!</f>
        <v>#REF!</v>
      </c>
      <c r="C210" s="72" t="e">
        <f>'Date Calcs'!#REF!</f>
        <v>#REF!</v>
      </c>
      <c r="D210" s="73" t="e">
        <f t="shared" si="119"/>
        <v>#REF!</v>
      </c>
      <c r="E210" s="66">
        <v>43995</v>
      </c>
      <c r="F210" s="73" t="e">
        <f>'Date Calcs'!#REF!</f>
        <v>#REF!</v>
      </c>
      <c r="G210" s="73" t="e">
        <f>IF(VLOOKUP(A210,'Actual Dates'!A4:AF338,8,),'Actual Dates'!#REF!,"")</f>
        <v>#REF!</v>
      </c>
      <c r="H210" s="73" t="e">
        <f t="shared" si="120"/>
        <v>#REF!</v>
      </c>
      <c r="I210" s="73" t="e">
        <f>IF(VLOOKUP(A210,'Actual Dates'!A4:AF333,25,),'Actual Dates'!#REF!,"")</f>
        <v>#REF!</v>
      </c>
      <c r="J210" s="73" t="e">
        <f t="shared" si="121"/>
        <v>#REF!</v>
      </c>
      <c r="K210" s="73" t="e">
        <f>IF(VLOOKUP(A210,'Actual Dates'!A4:AF361,26,),'Actual Dates'!#REF!,"")</f>
        <v>#REF!</v>
      </c>
      <c r="L210" s="73" t="e">
        <f>IF(VLOOKUP(A210,'Actual Dates'!A4:AF361,21,),'Actual Dates'!#REF!,"")</f>
        <v>#REF!</v>
      </c>
      <c r="M210" s="73" t="e">
        <f>'Date Calcs'!#REF!</f>
        <v>#REF!</v>
      </c>
      <c r="N210" s="73" t="e">
        <f>IF(VLOOKUP(A210,'Actual Dates'!A4:AF361,27,),'Actual Dates'!#REF!,"")</f>
        <v>#REF!</v>
      </c>
      <c r="O210" s="74" t="e">
        <f t="shared" si="122"/>
        <v>#REF!</v>
      </c>
      <c r="P210" s="75" t="e">
        <f t="shared" si="123"/>
        <v>#REF!</v>
      </c>
      <c r="Q210" s="75" t="e">
        <f t="shared" si="124"/>
        <v>#REF!</v>
      </c>
      <c r="R210" s="132"/>
      <c r="S210" s="133"/>
      <c r="T210" s="88"/>
      <c r="U210" s="88"/>
      <c r="V210" s="88"/>
      <c r="W210" s="88"/>
      <c r="X210" s="88"/>
      <c r="Y210" s="88"/>
      <c r="Z210" s="88"/>
      <c r="AA210" s="88"/>
      <c r="AB210" s="88"/>
    </row>
    <row r="211" spans="1:28" x14ac:dyDescent="0.25">
      <c r="A211" s="70" t="e">
        <f>'Date Calcs'!#REF!</f>
        <v>#REF!</v>
      </c>
      <c r="B211" s="71" t="e">
        <f>'Date Calcs'!#REF!</f>
        <v>#REF!</v>
      </c>
      <c r="C211" s="72" t="e">
        <f>'Date Calcs'!#REF!</f>
        <v>#REF!</v>
      </c>
      <c r="D211" s="73" t="e">
        <f t="shared" si="119"/>
        <v>#REF!</v>
      </c>
      <c r="E211" s="66">
        <v>43996</v>
      </c>
      <c r="F211" s="73" t="e">
        <f>'Date Calcs'!#REF!</f>
        <v>#REF!</v>
      </c>
      <c r="G211" s="73" t="e">
        <f>IF(VLOOKUP(A211,'Actual Dates'!A4:AF339,8,),'Actual Dates'!#REF!,"")</f>
        <v>#REF!</v>
      </c>
      <c r="H211" s="73" t="e">
        <f t="shared" si="120"/>
        <v>#REF!</v>
      </c>
      <c r="I211" s="73" t="e">
        <f>IF(VLOOKUP(A211,'Actual Dates'!A4:AF334,25,),'Actual Dates'!#REF!,"")</f>
        <v>#REF!</v>
      </c>
      <c r="J211" s="73" t="e">
        <f t="shared" si="121"/>
        <v>#REF!</v>
      </c>
      <c r="K211" s="73" t="e">
        <f>IF(VLOOKUP(A211,'Actual Dates'!A4:AF362,26,),'Actual Dates'!#REF!,"")</f>
        <v>#REF!</v>
      </c>
      <c r="L211" s="73" t="e">
        <f>IF(VLOOKUP(A211,'Actual Dates'!A4:AF362,21,),'Actual Dates'!#REF!,"")</f>
        <v>#REF!</v>
      </c>
      <c r="M211" s="73" t="e">
        <f>'Date Calcs'!#REF!</f>
        <v>#REF!</v>
      </c>
      <c r="N211" s="73" t="e">
        <f>IF(VLOOKUP(A211,'Actual Dates'!A4:AF362,27,),'Actual Dates'!#REF!,"")</f>
        <v>#REF!</v>
      </c>
      <c r="O211" s="74" t="e">
        <f t="shared" si="122"/>
        <v>#REF!</v>
      </c>
      <c r="P211" s="75" t="e">
        <f t="shared" si="123"/>
        <v>#REF!</v>
      </c>
      <c r="Q211" s="75" t="e">
        <f t="shared" si="124"/>
        <v>#REF!</v>
      </c>
      <c r="R211" s="132"/>
      <c r="S211" s="133"/>
      <c r="T211" s="88"/>
      <c r="U211" s="88"/>
      <c r="V211" s="88"/>
      <c r="W211" s="88"/>
      <c r="X211" s="88"/>
      <c r="Y211" s="88"/>
      <c r="Z211" s="88"/>
      <c r="AA211" s="88"/>
      <c r="AB211" s="88"/>
    </row>
    <row r="212" spans="1:28" x14ac:dyDescent="0.25">
      <c r="A212" s="70" t="e">
        <f>'Date Calcs'!#REF!</f>
        <v>#REF!</v>
      </c>
      <c r="B212" s="71" t="e">
        <f>'Date Calcs'!#REF!</f>
        <v>#REF!</v>
      </c>
      <c r="C212" s="72" t="e">
        <f>'Date Calcs'!#REF!</f>
        <v>#REF!</v>
      </c>
      <c r="D212" s="73" t="e">
        <f t="shared" si="119"/>
        <v>#REF!</v>
      </c>
      <c r="E212" s="66">
        <v>43997</v>
      </c>
      <c r="F212" s="73" t="e">
        <f>'Date Calcs'!#REF!</f>
        <v>#REF!</v>
      </c>
      <c r="G212" s="73" t="e">
        <f>IF(VLOOKUP(A212,'Actual Dates'!A4:AF340,8,),'Actual Dates'!#REF!,"")</f>
        <v>#REF!</v>
      </c>
      <c r="H212" s="73" t="e">
        <f t="shared" si="120"/>
        <v>#REF!</v>
      </c>
      <c r="I212" s="73" t="e">
        <f>IF(VLOOKUP(A212,'Actual Dates'!A4:AF335,25,),'Actual Dates'!#REF!,"")</f>
        <v>#REF!</v>
      </c>
      <c r="J212" s="73" t="e">
        <f t="shared" si="121"/>
        <v>#REF!</v>
      </c>
      <c r="K212" s="73" t="e">
        <f>IF(VLOOKUP(A212,'Actual Dates'!A4:AF363,26,),'Actual Dates'!#REF!,"")</f>
        <v>#REF!</v>
      </c>
      <c r="L212" s="73" t="e">
        <f>IF(VLOOKUP(A212,'Actual Dates'!A4:AF363,21,),'Actual Dates'!#REF!,"")</f>
        <v>#REF!</v>
      </c>
      <c r="M212" s="73" t="e">
        <f>'Date Calcs'!#REF!</f>
        <v>#REF!</v>
      </c>
      <c r="N212" s="73" t="e">
        <f>IF(VLOOKUP(A212,'Actual Dates'!A4:AF363,27,),'Actual Dates'!#REF!,"")</f>
        <v>#REF!</v>
      </c>
      <c r="O212" s="74" t="e">
        <f t="shared" si="122"/>
        <v>#REF!</v>
      </c>
      <c r="P212" s="75" t="e">
        <f t="shared" si="123"/>
        <v>#REF!</v>
      </c>
      <c r="Q212" s="75" t="e">
        <f t="shared" si="124"/>
        <v>#REF!</v>
      </c>
      <c r="R212" s="132"/>
      <c r="S212" s="133"/>
      <c r="T212" s="88"/>
      <c r="U212" s="88"/>
      <c r="V212" s="88"/>
      <c r="W212" s="88"/>
      <c r="X212" s="88"/>
      <c r="Y212" s="88"/>
      <c r="Z212" s="88"/>
      <c r="AA212" s="88"/>
      <c r="AB212" s="88"/>
    </row>
    <row r="213" spans="1:28" x14ac:dyDescent="0.25">
      <c r="A213" s="70" t="e">
        <f>'Date Calcs'!#REF!</f>
        <v>#REF!</v>
      </c>
      <c r="B213" s="71" t="e">
        <f>'Date Calcs'!#REF!</f>
        <v>#REF!</v>
      </c>
      <c r="C213" s="72" t="e">
        <f>'Date Calcs'!#REF!</f>
        <v>#REF!</v>
      </c>
      <c r="D213" s="73" t="e">
        <f t="shared" si="119"/>
        <v>#REF!</v>
      </c>
      <c r="E213" s="66">
        <v>43998</v>
      </c>
      <c r="F213" s="73" t="e">
        <f>'Date Calcs'!#REF!</f>
        <v>#REF!</v>
      </c>
      <c r="G213" s="73" t="e">
        <f>IF(VLOOKUP(A213,'Actual Dates'!A4:AF341,8,),'Actual Dates'!#REF!,"")</f>
        <v>#REF!</v>
      </c>
      <c r="H213" s="73" t="e">
        <f t="shared" si="120"/>
        <v>#REF!</v>
      </c>
      <c r="I213" s="73" t="e">
        <f>IF(VLOOKUP(A213,'Actual Dates'!A4:AF336,25,),'Actual Dates'!#REF!,"")</f>
        <v>#REF!</v>
      </c>
      <c r="J213" s="73" t="e">
        <f t="shared" si="121"/>
        <v>#REF!</v>
      </c>
      <c r="K213" s="73" t="e">
        <f>IF(VLOOKUP(A213,'Actual Dates'!A4:AF364,26,),'Actual Dates'!#REF!,"")</f>
        <v>#REF!</v>
      </c>
      <c r="L213" s="73" t="e">
        <f>IF(VLOOKUP(A213,'Actual Dates'!A4:AF364,21,),'Actual Dates'!#REF!,"")</f>
        <v>#REF!</v>
      </c>
      <c r="M213" s="73" t="e">
        <f>'Date Calcs'!#REF!</f>
        <v>#REF!</v>
      </c>
      <c r="N213" s="73" t="e">
        <f>IF(VLOOKUP(A213,'Actual Dates'!A4:AF364,27,),'Actual Dates'!#REF!,"")</f>
        <v>#REF!</v>
      </c>
      <c r="O213" s="74" t="e">
        <f t="shared" si="122"/>
        <v>#REF!</v>
      </c>
      <c r="P213" s="75" t="e">
        <f t="shared" si="123"/>
        <v>#REF!</v>
      </c>
      <c r="Q213" s="75" t="e">
        <f t="shared" si="124"/>
        <v>#REF!</v>
      </c>
      <c r="R213" s="132"/>
      <c r="S213" s="133"/>
      <c r="T213" s="88"/>
      <c r="U213" s="88"/>
      <c r="V213" s="88"/>
      <c r="W213" s="88"/>
      <c r="X213" s="88"/>
      <c r="Y213" s="88"/>
      <c r="Z213" s="88"/>
      <c r="AA213" s="88"/>
      <c r="AB213" s="88"/>
    </row>
    <row r="214" spans="1:28" x14ac:dyDescent="0.25">
      <c r="A214" s="70" t="e">
        <f>'Date Calcs'!#REF!</f>
        <v>#REF!</v>
      </c>
      <c r="B214" s="71" t="e">
        <f>'Date Calcs'!#REF!</f>
        <v>#REF!</v>
      </c>
      <c r="C214" s="72" t="e">
        <f>'Date Calcs'!#REF!</f>
        <v>#REF!</v>
      </c>
      <c r="D214" s="73" t="e">
        <f t="shared" si="119"/>
        <v>#REF!</v>
      </c>
      <c r="E214" s="66">
        <v>43999</v>
      </c>
      <c r="F214" s="73" t="e">
        <f>'Date Calcs'!#REF!</f>
        <v>#REF!</v>
      </c>
      <c r="G214" s="73" t="e">
        <f>IF(VLOOKUP(A214,'Actual Dates'!A4:AF342,8,),'Actual Dates'!#REF!,"")</f>
        <v>#REF!</v>
      </c>
      <c r="H214" s="73" t="e">
        <f t="shared" si="120"/>
        <v>#REF!</v>
      </c>
      <c r="I214" s="73" t="e">
        <f>IF(VLOOKUP(A214,'Actual Dates'!A4:AF337,25,),'Actual Dates'!#REF!,"")</f>
        <v>#REF!</v>
      </c>
      <c r="J214" s="73" t="e">
        <f t="shared" si="121"/>
        <v>#REF!</v>
      </c>
      <c r="K214" s="73" t="e">
        <f>IF(VLOOKUP(A214,'Actual Dates'!A4:AF365,26,),'Actual Dates'!#REF!,"")</f>
        <v>#REF!</v>
      </c>
      <c r="L214" s="73" t="e">
        <f>IF(VLOOKUP(A214,'Actual Dates'!A4:AF365,21,),'Actual Dates'!#REF!,"")</f>
        <v>#REF!</v>
      </c>
      <c r="M214" s="73" t="e">
        <f>'Date Calcs'!#REF!</f>
        <v>#REF!</v>
      </c>
      <c r="N214" s="73" t="e">
        <f>IF(VLOOKUP(A214,'Actual Dates'!A4:AF365,27,),'Actual Dates'!#REF!,"")</f>
        <v>#REF!</v>
      </c>
      <c r="O214" s="74" t="e">
        <f t="shared" si="122"/>
        <v>#REF!</v>
      </c>
      <c r="P214" s="75" t="e">
        <f t="shared" si="123"/>
        <v>#REF!</v>
      </c>
      <c r="Q214" s="75" t="e">
        <f t="shared" si="124"/>
        <v>#REF!</v>
      </c>
      <c r="R214" s="132"/>
      <c r="S214" s="133"/>
      <c r="T214" s="88"/>
      <c r="U214" s="88"/>
      <c r="V214" s="88"/>
      <c r="W214" s="88"/>
      <c r="X214" s="88"/>
      <c r="Y214" s="88"/>
      <c r="Z214" s="88"/>
      <c r="AA214" s="88"/>
      <c r="AB214" s="88"/>
    </row>
    <row r="215" spans="1:28" x14ac:dyDescent="0.25">
      <c r="A215" s="70" t="e">
        <f>'Date Calcs'!#REF!</f>
        <v>#REF!</v>
      </c>
      <c r="B215" s="71" t="e">
        <f>'Date Calcs'!#REF!</f>
        <v>#REF!</v>
      </c>
      <c r="C215" s="72" t="e">
        <f>'Date Calcs'!#REF!</f>
        <v>#REF!</v>
      </c>
      <c r="D215" s="73" t="s">
        <v>67</v>
      </c>
      <c r="E215" s="66" t="s">
        <v>67</v>
      </c>
      <c r="F215" s="73" t="s">
        <v>67</v>
      </c>
      <c r="G215" s="73" t="s">
        <v>67</v>
      </c>
      <c r="H215" s="73" t="e">
        <f t="shared" si="120"/>
        <v>#REF!</v>
      </c>
      <c r="I215" s="73" t="e">
        <f>IF(VLOOKUP(A215,'Actual Dates'!A4:AF338,25,),'Actual Dates'!#REF!,"")</f>
        <v>#REF!</v>
      </c>
      <c r="J215" s="73" t="e">
        <f t="shared" si="121"/>
        <v>#REF!</v>
      </c>
      <c r="K215" s="73" t="e">
        <f>IF(VLOOKUP(A215,'Actual Dates'!A4:AF366,26,),'Actual Dates'!#REF!,"")</f>
        <v>#REF!</v>
      </c>
      <c r="L215" s="73" t="e">
        <f>IF(VLOOKUP(A215,'Actual Dates'!A4:AF366,21,),'Actual Dates'!#REF!,"")</f>
        <v>#REF!</v>
      </c>
      <c r="M215" s="73" t="e">
        <f>'Date Calcs'!#REF!</f>
        <v>#REF!</v>
      </c>
      <c r="N215" s="73" t="e">
        <f>IF(VLOOKUP(A215,'Actual Dates'!A4:AF366,27,),'Actual Dates'!#REF!,"")</f>
        <v>#REF!</v>
      </c>
      <c r="O215" s="74" t="e">
        <f t="shared" si="122"/>
        <v>#REF!</v>
      </c>
      <c r="P215" s="75" t="e">
        <f t="shared" si="123"/>
        <v>#VALUE!</v>
      </c>
      <c r="Q215" s="75" t="e">
        <f t="shared" si="124"/>
        <v>#REF!</v>
      </c>
      <c r="R215" s="132"/>
      <c r="S215" s="133"/>
      <c r="T215" s="88"/>
      <c r="U215" s="88"/>
      <c r="V215" s="88"/>
      <c r="W215" s="88"/>
      <c r="X215" s="88"/>
      <c r="Y215" s="88"/>
      <c r="Z215" s="88"/>
      <c r="AA215" s="88"/>
      <c r="AB215" s="88"/>
    </row>
    <row r="216" spans="1:28" x14ac:dyDescent="0.25">
      <c r="A216" s="70" t="e">
        <f>'Date Calcs'!#REF!</f>
        <v>#REF!</v>
      </c>
      <c r="B216" s="71" t="e">
        <f>'Date Calcs'!#REF!</f>
        <v>#REF!</v>
      </c>
      <c r="C216" s="72" t="e">
        <f>'Date Calcs'!#REF!</f>
        <v>#REF!</v>
      </c>
      <c r="D216" s="73" t="e">
        <f t="shared" si="119"/>
        <v>#REF!</v>
      </c>
      <c r="E216" s="66">
        <v>44084</v>
      </c>
      <c r="F216" s="73" t="e">
        <f>'Date Calcs'!#REF!</f>
        <v>#REF!</v>
      </c>
      <c r="G216" s="73" t="e">
        <f>IF(VLOOKUP(A216,'Actual Dates'!A4:AF344,8,),'Actual Dates'!#REF!,"")</f>
        <v>#REF!</v>
      </c>
      <c r="H216" s="73" t="e">
        <f t="shared" si="120"/>
        <v>#REF!</v>
      </c>
      <c r="I216" s="73" t="e">
        <f>IF(VLOOKUP(A216,'Actual Dates'!A4:AF339,25,),'Actual Dates'!#REF!,"")</f>
        <v>#REF!</v>
      </c>
      <c r="J216" s="73" t="e">
        <f t="shared" si="121"/>
        <v>#REF!</v>
      </c>
      <c r="K216" s="73" t="e">
        <f>IF(VLOOKUP(A216,'Actual Dates'!A4:AF367,26,),'Actual Dates'!#REF!,"")</f>
        <v>#REF!</v>
      </c>
      <c r="L216" s="73" t="e">
        <f>IF(VLOOKUP(A216,'Actual Dates'!A4:AF367,21,),'Actual Dates'!#REF!,"")</f>
        <v>#REF!</v>
      </c>
      <c r="M216" s="73" t="e">
        <f>'Date Calcs'!#REF!</f>
        <v>#REF!</v>
      </c>
      <c r="N216" s="73" t="e">
        <f>IF(VLOOKUP(A216,'Actual Dates'!A4:AF367,27,),'Actual Dates'!#REF!,"")</f>
        <v>#REF!</v>
      </c>
      <c r="O216" s="74" t="e">
        <f t="shared" si="122"/>
        <v>#REF!</v>
      </c>
      <c r="P216" s="75" t="e">
        <f t="shared" si="123"/>
        <v>#REF!</v>
      </c>
      <c r="Q216" s="75" t="e">
        <f t="shared" si="124"/>
        <v>#REF!</v>
      </c>
      <c r="R216" s="132"/>
      <c r="S216" s="133"/>
      <c r="T216" s="88"/>
      <c r="U216" s="88"/>
      <c r="V216" s="88"/>
      <c r="W216" s="88"/>
      <c r="X216" s="88"/>
      <c r="Y216" s="88"/>
      <c r="Z216" s="88"/>
      <c r="AA216" s="88"/>
      <c r="AB216" s="88"/>
    </row>
    <row r="217" spans="1:28" x14ac:dyDescent="0.25">
      <c r="A217" s="70" t="e">
        <f>'Date Calcs'!#REF!</f>
        <v>#REF!</v>
      </c>
      <c r="B217" s="71" t="e">
        <f>'Date Calcs'!#REF!</f>
        <v>#REF!</v>
      </c>
      <c r="C217" s="72" t="e">
        <f>'Date Calcs'!#REF!</f>
        <v>#REF!</v>
      </c>
      <c r="D217" s="73" t="e">
        <f t="shared" si="119"/>
        <v>#REF!</v>
      </c>
      <c r="E217" s="66">
        <v>44102</v>
      </c>
      <c r="F217" s="73" t="e">
        <f>'Date Calcs'!#REF!</f>
        <v>#REF!</v>
      </c>
      <c r="G217" s="73" t="e">
        <f>IF(VLOOKUP(A217,'Actual Dates'!A4:AF345,8,),'Actual Dates'!#REF!,"")</f>
        <v>#REF!</v>
      </c>
      <c r="H217" s="73" t="e">
        <f t="shared" si="120"/>
        <v>#REF!</v>
      </c>
      <c r="I217" s="73" t="e">
        <f>IF(VLOOKUP(A217,'Actual Dates'!A4:AF340,25,),'Actual Dates'!#REF!,"")</f>
        <v>#REF!</v>
      </c>
      <c r="J217" s="73" t="e">
        <f t="shared" si="121"/>
        <v>#REF!</v>
      </c>
      <c r="K217" s="73" t="e">
        <f>IF(VLOOKUP(A217,'Actual Dates'!A4:AF368,26,),'Actual Dates'!#REF!,"")</f>
        <v>#REF!</v>
      </c>
      <c r="L217" s="73" t="e">
        <f>IF(VLOOKUP(A217,'Actual Dates'!A4:AF368,21,),'Actual Dates'!#REF!,"")</f>
        <v>#REF!</v>
      </c>
      <c r="M217" s="73" t="e">
        <f>'Date Calcs'!#REF!</f>
        <v>#REF!</v>
      </c>
      <c r="N217" s="73" t="e">
        <f>IF(VLOOKUP(A217,'Actual Dates'!A4:AF368,27,),'Actual Dates'!#REF!,"")</f>
        <v>#REF!</v>
      </c>
      <c r="O217" s="74" t="e">
        <f t="shared" si="122"/>
        <v>#REF!</v>
      </c>
      <c r="P217" s="75" t="e">
        <f t="shared" si="123"/>
        <v>#REF!</v>
      </c>
      <c r="Q217" s="75" t="e">
        <f t="shared" si="124"/>
        <v>#REF!</v>
      </c>
      <c r="R217" s="132"/>
      <c r="S217" s="133"/>
      <c r="T217" s="88"/>
      <c r="U217" s="88"/>
      <c r="V217" s="88"/>
      <c r="W217" s="88"/>
      <c r="X217" s="88"/>
      <c r="Y217" s="88"/>
      <c r="Z217" s="88"/>
      <c r="AA217" s="88"/>
      <c r="AB217" s="88"/>
    </row>
    <row r="218" spans="1:28" x14ac:dyDescent="0.25">
      <c r="A218" s="70" t="e">
        <f>'Date Calcs'!#REF!</f>
        <v>#REF!</v>
      </c>
      <c r="B218" s="71" t="e">
        <f>'Date Calcs'!#REF!</f>
        <v>#REF!</v>
      </c>
      <c r="C218" s="72" t="e">
        <f>'Date Calcs'!#REF!</f>
        <v>#REF!</v>
      </c>
      <c r="D218" s="73" t="e">
        <f t="shared" si="119"/>
        <v>#REF!</v>
      </c>
      <c r="E218" s="66">
        <v>44102</v>
      </c>
      <c r="F218" s="73" t="e">
        <f>'Date Calcs'!#REF!</f>
        <v>#REF!</v>
      </c>
      <c r="G218" s="73" t="e">
        <f>IF(VLOOKUP(A218,'Actual Dates'!A4:AF346,8,),'Actual Dates'!#REF!,"")</f>
        <v>#REF!</v>
      </c>
      <c r="H218" s="73" t="e">
        <f t="shared" si="120"/>
        <v>#REF!</v>
      </c>
      <c r="I218" s="73" t="e">
        <f>IF(VLOOKUP(A218,'Actual Dates'!A4:AF341,25,),'Actual Dates'!#REF!,"")</f>
        <v>#REF!</v>
      </c>
      <c r="J218" s="73" t="e">
        <f t="shared" si="121"/>
        <v>#REF!</v>
      </c>
      <c r="K218" s="73" t="e">
        <f>IF(VLOOKUP(A218,'Actual Dates'!A4:AF369,26,),'Actual Dates'!#REF!,"")</f>
        <v>#REF!</v>
      </c>
      <c r="L218" s="73" t="e">
        <f>IF(VLOOKUP(A218,'Actual Dates'!A4:AF369,21,),'Actual Dates'!#REF!,"")</f>
        <v>#REF!</v>
      </c>
      <c r="M218" s="73" t="e">
        <f>'Date Calcs'!#REF!</f>
        <v>#REF!</v>
      </c>
      <c r="N218" s="73" t="e">
        <f>IF(VLOOKUP(A218,'Actual Dates'!A4:AF369,27,),'Actual Dates'!#REF!,"")</f>
        <v>#REF!</v>
      </c>
      <c r="O218" s="74" t="e">
        <f t="shared" si="122"/>
        <v>#REF!</v>
      </c>
      <c r="P218" s="75" t="e">
        <f t="shared" si="123"/>
        <v>#REF!</v>
      </c>
      <c r="Q218" s="75" t="e">
        <f t="shared" si="124"/>
        <v>#REF!</v>
      </c>
      <c r="R218" s="132"/>
      <c r="S218" s="133"/>
      <c r="T218" s="88"/>
      <c r="U218" s="88"/>
      <c r="V218" s="88"/>
      <c r="W218" s="88"/>
      <c r="X218" s="88"/>
      <c r="Y218" s="88"/>
      <c r="Z218" s="88"/>
      <c r="AA218" s="88"/>
      <c r="AB218" s="88"/>
    </row>
    <row r="219" spans="1:28" x14ac:dyDescent="0.25">
      <c r="A219" s="70" t="e">
        <f>'Date Calcs'!#REF!</f>
        <v>#REF!</v>
      </c>
      <c r="B219" s="71" t="e">
        <f>'Date Calcs'!#REF!</f>
        <v>#REF!</v>
      </c>
      <c r="C219" s="72" t="e">
        <f>'Date Calcs'!#REF!</f>
        <v>#REF!</v>
      </c>
      <c r="D219" s="73" t="e">
        <f t="shared" si="119"/>
        <v>#REF!</v>
      </c>
      <c r="E219" s="66">
        <v>44090</v>
      </c>
      <c r="F219" s="73" t="e">
        <f>'Date Calcs'!#REF!</f>
        <v>#REF!</v>
      </c>
      <c r="G219" s="73" t="e">
        <f>IF(VLOOKUP(A219,'Actual Dates'!A4:AF347,8,),'Actual Dates'!#REF!,"")</f>
        <v>#REF!</v>
      </c>
      <c r="H219" s="73" t="e">
        <f t="shared" si="120"/>
        <v>#REF!</v>
      </c>
      <c r="I219" s="73" t="e">
        <f>IF(VLOOKUP(A219,'Actual Dates'!A4:AF342,25,),'Actual Dates'!#REF!,"")</f>
        <v>#REF!</v>
      </c>
      <c r="J219" s="73" t="e">
        <f t="shared" si="121"/>
        <v>#REF!</v>
      </c>
      <c r="K219" s="73" t="e">
        <f>IF(VLOOKUP(A219,'Actual Dates'!A4:AF370,26,),'Actual Dates'!#REF!,"")</f>
        <v>#REF!</v>
      </c>
      <c r="L219" s="73" t="e">
        <f>IF(VLOOKUP(A219,'Actual Dates'!A4:AF370,21,),'Actual Dates'!#REF!,"")</f>
        <v>#REF!</v>
      </c>
      <c r="M219" s="73" t="e">
        <f>'Date Calcs'!#REF!</f>
        <v>#REF!</v>
      </c>
      <c r="N219" s="73" t="e">
        <f>IF(VLOOKUP(A219,'Actual Dates'!A4:AF370,27,),'Actual Dates'!#REF!,"")</f>
        <v>#REF!</v>
      </c>
      <c r="O219" s="74" t="e">
        <f t="shared" si="122"/>
        <v>#REF!</v>
      </c>
      <c r="P219" s="75" t="e">
        <f t="shared" si="123"/>
        <v>#REF!</v>
      </c>
      <c r="Q219" s="75" t="e">
        <f t="shared" si="124"/>
        <v>#REF!</v>
      </c>
      <c r="R219" s="132"/>
      <c r="S219" s="133"/>
      <c r="T219" s="88"/>
      <c r="U219" s="88"/>
      <c r="V219" s="88"/>
      <c r="W219" s="88"/>
      <c r="X219" s="88"/>
      <c r="Y219" s="88"/>
      <c r="Z219" s="88"/>
      <c r="AA219" s="88"/>
      <c r="AB219" s="88"/>
    </row>
    <row r="220" spans="1:28" x14ac:dyDescent="0.25">
      <c r="A220" s="70" t="e">
        <f>'Date Calcs'!#REF!</f>
        <v>#REF!</v>
      </c>
      <c r="B220" s="71" t="e">
        <f>'Date Calcs'!#REF!</f>
        <v>#REF!</v>
      </c>
      <c r="C220" s="72" t="e">
        <f>'Date Calcs'!#REF!</f>
        <v>#REF!</v>
      </c>
      <c r="D220" s="73" t="e">
        <f t="shared" si="119"/>
        <v>#REF!</v>
      </c>
      <c r="E220" s="66">
        <v>44104</v>
      </c>
      <c r="F220" s="73" t="e">
        <f>'Date Calcs'!#REF!</f>
        <v>#REF!</v>
      </c>
      <c r="G220" s="73" t="e">
        <f>IF(VLOOKUP(A220,'Actual Dates'!A4:AF348,8,),'Actual Dates'!#REF!,"")</f>
        <v>#REF!</v>
      </c>
      <c r="H220" s="73" t="e">
        <f t="shared" si="120"/>
        <v>#REF!</v>
      </c>
      <c r="I220" s="73" t="e">
        <f>IF(VLOOKUP(A220,'Actual Dates'!A4:AF343,25,),'Actual Dates'!#REF!,"")</f>
        <v>#REF!</v>
      </c>
      <c r="J220" s="73" t="e">
        <f t="shared" si="121"/>
        <v>#REF!</v>
      </c>
      <c r="K220" s="73" t="e">
        <f>IF(VLOOKUP(A220,'Actual Dates'!A4:AF371,26,),'Actual Dates'!#REF!,"")</f>
        <v>#REF!</v>
      </c>
      <c r="L220" s="73" t="e">
        <f>IF(VLOOKUP(A220,'Actual Dates'!A4:AF371,21,),'Actual Dates'!#REF!,"")</f>
        <v>#REF!</v>
      </c>
      <c r="M220" s="73" t="e">
        <f>'Date Calcs'!#REF!</f>
        <v>#REF!</v>
      </c>
      <c r="N220" s="73" t="e">
        <f>IF(VLOOKUP(A220,'Actual Dates'!A4:AF371,27,),'Actual Dates'!#REF!,"")</f>
        <v>#REF!</v>
      </c>
      <c r="O220" s="74" t="e">
        <f t="shared" si="122"/>
        <v>#REF!</v>
      </c>
      <c r="P220" s="75" t="e">
        <f t="shared" si="123"/>
        <v>#REF!</v>
      </c>
      <c r="Q220" s="75" t="e">
        <f t="shared" si="124"/>
        <v>#REF!</v>
      </c>
      <c r="R220" s="132"/>
      <c r="S220" s="133"/>
      <c r="T220" s="88"/>
      <c r="U220" s="88"/>
      <c r="V220" s="88"/>
      <c r="W220" s="88"/>
      <c r="X220" s="88"/>
      <c r="Y220" s="88"/>
      <c r="Z220" s="88"/>
      <c r="AA220" s="88"/>
      <c r="AB220" s="88"/>
    </row>
    <row r="221" spans="1:28" x14ac:dyDescent="0.25">
      <c r="A221" s="70" t="e">
        <f>'Date Calcs'!#REF!</f>
        <v>#REF!</v>
      </c>
      <c r="B221" s="71" t="e">
        <f>'Date Calcs'!#REF!</f>
        <v>#REF!</v>
      </c>
      <c r="C221" s="72" t="e">
        <f>'Date Calcs'!#REF!</f>
        <v>#REF!</v>
      </c>
      <c r="D221" s="73" t="e">
        <f t="shared" si="119"/>
        <v>#REF!</v>
      </c>
      <c r="E221" s="66">
        <v>44104</v>
      </c>
      <c r="F221" s="73" t="e">
        <f>'Date Calcs'!#REF!</f>
        <v>#REF!</v>
      </c>
      <c r="G221" s="73" t="e">
        <f>IF(VLOOKUP(A221,'Actual Dates'!A4:AF349,8,),'Actual Dates'!#REF!,"")</f>
        <v>#REF!</v>
      </c>
      <c r="H221" s="73" t="e">
        <f t="shared" si="120"/>
        <v>#REF!</v>
      </c>
      <c r="I221" s="73" t="e">
        <f>IF(VLOOKUP(A221,'Actual Dates'!A4:AF344,25,),'Actual Dates'!#REF!,"")</f>
        <v>#REF!</v>
      </c>
      <c r="J221" s="73" t="e">
        <f t="shared" si="121"/>
        <v>#REF!</v>
      </c>
      <c r="K221" s="73" t="e">
        <f>IF(VLOOKUP(A221,'Actual Dates'!A4:AF372,26,),'Actual Dates'!#REF!,"")</f>
        <v>#REF!</v>
      </c>
      <c r="L221" s="73" t="e">
        <f>IF(VLOOKUP(A221,'Actual Dates'!A4:AF372,21,),'Actual Dates'!#REF!,"")</f>
        <v>#REF!</v>
      </c>
      <c r="M221" s="73" t="e">
        <f>'Date Calcs'!#REF!</f>
        <v>#REF!</v>
      </c>
      <c r="N221" s="73" t="e">
        <f>IF(VLOOKUP(A221,'Actual Dates'!A4:AF372,27,),'Actual Dates'!#REF!,"")</f>
        <v>#REF!</v>
      </c>
      <c r="O221" s="74" t="e">
        <f t="shared" si="122"/>
        <v>#REF!</v>
      </c>
      <c r="P221" s="75" t="e">
        <f t="shared" si="123"/>
        <v>#REF!</v>
      </c>
      <c r="Q221" s="75" t="e">
        <f t="shared" si="124"/>
        <v>#REF!</v>
      </c>
      <c r="R221" s="132"/>
      <c r="S221" s="133"/>
      <c r="T221" s="88"/>
      <c r="U221" s="88"/>
      <c r="V221" s="88"/>
      <c r="W221" s="88"/>
      <c r="X221" s="88"/>
      <c r="Y221" s="88"/>
      <c r="Z221" s="88"/>
      <c r="AA221" s="88"/>
      <c r="AB221" s="88"/>
    </row>
    <row r="222" spans="1:28" x14ac:dyDescent="0.25">
      <c r="A222" s="70" t="e">
        <f>'Date Calcs'!#REF!</f>
        <v>#REF!</v>
      </c>
      <c r="B222" s="71" t="e">
        <f>'Date Calcs'!#REF!</f>
        <v>#REF!</v>
      </c>
      <c r="C222" s="72" t="e">
        <f>'Date Calcs'!#REF!</f>
        <v>#REF!</v>
      </c>
      <c r="D222" s="73" t="e">
        <f t="shared" si="119"/>
        <v>#REF!</v>
      </c>
      <c r="E222" s="66">
        <v>44116</v>
      </c>
      <c r="F222" s="73" t="e">
        <f>'Date Calcs'!#REF!</f>
        <v>#REF!</v>
      </c>
      <c r="G222" s="73" t="e">
        <f>IF(VLOOKUP(A222,'Actual Dates'!A4:AF350,8,),'Actual Dates'!#REF!,"")</f>
        <v>#REF!</v>
      </c>
      <c r="H222" s="73" t="e">
        <f t="shared" si="120"/>
        <v>#REF!</v>
      </c>
      <c r="I222" s="73" t="e">
        <f>IF(VLOOKUP(A222,'Actual Dates'!A4:AF345,25,),'Actual Dates'!#REF!,"")</f>
        <v>#REF!</v>
      </c>
      <c r="J222" s="73" t="e">
        <f t="shared" si="121"/>
        <v>#REF!</v>
      </c>
      <c r="K222" s="73" t="e">
        <f>IF(VLOOKUP(A222,'Actual Dates'!A4:AF373,26,),'Actual Dates'!#REF!,"")</f>
        <v>#REF!</v>
      </c>
      <c r="L222" s="73" t="e">
        <f>IF(VLOOKUP(A222,'Actual Dates'!A4:AF373,21,),'Actual Dates'!#REF!,"")</f>
        <v>#REF!</v>
      </c>
      <c r="M222" s="73" t="e">
        <f>'Date Calcs'!#REF!</f>
        <v>#REF!</v>
      </c>
      <c r="N222" s="73" t="e">
        <f>IF(VLOOKUP(A222,'Actual Dates'!A4:AF373,27,),'Actual Dates'!#REF!,"")</f>
        <v>#REF!</v>
      </c>
      <c r="O222" s="74" t="e">
        <f t="shared" si="122"/>
        <v>#REF!</v>
      </c>
      <c r="P222" s="75" t="e">
        <f t="shared" si="123"/>
        <v>#REF!</v>
      </c>
      <c r="Q222" s="75" t="e">
        <f t="shared" si="124"/>
        <v>#REF!</v>
      </c>
      <c r="R222" s="132"/>
      <c r="S222" s="133"/>
      <c r="T222" s="88"/>
      <c r="U222" s="88"/>
      <c r="V222" s="88"/>
      <c r="W222" s="88"/>
      <c r="X222" s="88"/>
      <c r="Y222" s="88"/>
      <c r="Z222" s="88"/>
      <c r="AA222" s="88"/>
      <c r="AB222" s="88"/>
    </row>
    <row r="223" spans="1:28" x14ac:dyDescent="0.25">
      <c r="A223" s="70" t="e">
        <f>'Date Calcs'!#REF!</f>
        <v>#REF!</v>
      </c>
      <c r="B223" s="71" t="e">
        <f>'Date Calcs'!#REF!</f>
        <v>#REF!</v>
      </c>
      <c r="C223" s="72" t="e">
        <f>'Date Calcs'!#REF!</f>
        <v>#REF!</v>
      </c>
      <c r="D223" s="73" t="e">
        <f t="shared" si="119"/>
        <v>#REF!</v>
      </c>
      <c r="E223" s="66">
        <v>44116</v>
      </c>
      <c r="F223" s="73" t="e">
        <f>'Date Calcs'!#REF!</f>
        <v>#REF!</v>
      </c>
      <c r="G223" s="73" t="e">
        <f>IF(VLOOKUP(A223,'Actual Dates'!A4:AF351,8,),'Actual Dates'!#REF!,"")</f>
        <v>#REF!</v>
      </c>
      <c r="H223" s="73" t="e">
        <f t="shared" si="120"/>
        <v>#REF!</v>
      </c>
      <c r="I223" s="73" t="e">
        <f>IF(VLOOKUP(A223,'Actual Dates'!A4:AF346,25,),'Actual Dates'!#REF!,"")</f>
        <v>#REF!</v>
      </c>
      <c r="J223" s="73" t="e">
        <f t="shared" si="121"/>
        <v>#REF!</v>
      </c>
      <c r="K223" s="73" t="e">
        <f>IF(VLOOKUP(A223,'Actual Dates'!A4:AF374,26,),'Actual Dates'!#REF!,"")</f>
        <v>#REF!</v>
      </c>
      <c r="L223" s="73" t="e">
        <f>IF(VLOOKUP(A223,'Actual Dates'!A4:AF374,21,),'Actual Dates'!#REF!,"")</f>
        <v>#REF!</v>
      </c>
      <c r="M223" s="73" t="e">
        <f>'Date Calcs'!#REF!</f>
        <v>#REF!</v>
      </c>
      <c r="N223" s="73" t="e">
        <f>IF(VLOOKUP(A223,'Actual Dates'!A4:AF374,27,),'Actual Dates'!#REF!,"")</f>
        <v>#REF!</v>
      </c>
      <c r="O223" s="74" t="e">
        <f t="shared" si="122"/>
        <v>#REF!</v>
      </c>
      <c r="P223" s="75" t="e">
        <f t="shared" si="123"/>
        <v>#REF!</v>
      </c>
      <c r="Q223" s="75" t="e">
        <f t="shared" si="124"/>
        <v>#REF!</v>
      </c>
      <c r="R223" s="132"/>
      <c r="S223" s="133"/>
      <c r="T223" s="88"/>
      <c r="U223" s="88"/>
      <c r="V223" s="88"/>
      <c r="W223" s="88"/>
      <c r="X223" s="88"/>
      <c r="Y223" s="88"/>
      <c r="Z223" s="88"/>
      <c r="AA223" s="88"/>
      <c r="AB223" s="88"/>
    </row>
    <row r="224" spans="1:28" x14ac:dyDescent="0.25">
      <c r="A224" s="70" t="e">
        <f>'Date Calcs'!#REF!</f>
        <v>#REF!</v>
      </c>
      <c r="B224" s="71" t="e">
        <f>'Date Calcs'!#REF!</f>
        <v>#REF!</v>
      </c>
      <c r="C224" s="72" t="e">
        <f>'Date Calcs'!#REF!</f>
        <v>#REF!</v>
      </c>
      <c r="D224" s="73" t="e">
        <f t="shared" si="119"/>
        <v>#REF!</v>
      </c>
      <c r="E224" s="66">
        <v>44130</v>
      </c>
      <c r="F224" s="73" t="e">
        <f>'Date Calcs'!#REF!</f>
        <v>#REF!</v>
      </c>
      <c r="G224" s="73" t="e">
        <f>IF(VLOOKUP(A224,'Actual Dates'!A4:AF352,8,),'Actual Dates'!#REF!,"")</f>
        <v>#REF!</v>
      </c>
      <c r="H224" s="73" t="e">
        <f t="shared" si="120"/>
        <v>#REF!</v>
      </c>
      <c r="I224" s="73" t="e">
        <f>IF(VLOOKUP(A224,'Actual Dates'!A4:AF347,25,),'Actual Dates'!#REF!,"")</f>
        <v>#REF!</v>
      </c>
      <c r="J224" s="73" t="e">
        <f t="shared" si="121"/>
        <v>#REF!</v>
      </c>
      <c r="K224" s="73" t="e">
        <f>IF(VLOOKUP(A224,'Actual Dates'!A4:AF375,26,),'Actual Dates'!#REF!,"")</f>
        <v>#REF!</v>
      </c>
      <c r="L224" s="73" t="e">
        <f>IF(VLOOKUP(A224,'Actual Dates'!A4:AF375,21,),'Actual Dates'!#REF!,"")</f>
        <v>#REF!</v>
      </c>
      <c r="M224" s="73" t="e">
        <f>'Date Calcs'!#REF!</f>
        <v>#REF!</v>
      </c>
      <c r="N224" s="73" t="e">
        <f>IF(VLOOKUP(A224,'Actual Dates'!A4:AF375,27,),'Actual Dates'!#REF!,"")</f>
        <v>#REF!</v>
      </c>
      <c r="O224" s="74" t="e">
        <f t="shared" si="122"/>
        <v>#REF!</v>
      </c>
      <c r="P224" s="75" t="e">
        <f t="shared" si="123"/>
        <v>#REF!</v>
      </c>
      <c r="Q224" s="75" t="e">
        <f t="shared" si="124"/>
        <v>#REF!</v>
      </c>
      <c r="R224" s="132"/>
      <c r="S224" s="133"/>
      <c r="T224" s="88"/>
      <c r="U224" s="88"/>
      <c r="V224" s="88"/>
      <c r="W224" s="88"/>
      <c r="X224" s="88"/>
      <c r="Y224" s="88"/>
      <c r="Z224" s="88"/>
      <c r="AA224" s="88"/>
      <c r="AB224" s="88"/>
    </row>
    <row r="225" spans="1:33" x14ac:dyDescent="0.25">
      <c r="A225" s="70" t="e">
        <f>'Date Calcs'!#REF!</f>
        <v>#REF!</v>
      </c>
      <c r="B225" s="71" t="e">
        <f>'Date Calcs'!#REF!</f>
        <v>#REF!</v>
      </c>
      <c r="C225" s="72" t="e">
        <f>'Date Calcs'!#REF!</f>
        <v>#REF!</v>
      </c>
      <c r="D225" s="73" t="e">
        <f t="shared" si="119"/>
        <v>#REF!</v>
      </c>
      <c r="E225" s="66">
        <v>44138</v>
      </c>
      <c r="F225" s="73" t="e">
        <f>'Date Calcs'!#REF!</f>
        <v>#REF!</v>
      </c>
      <c r="G225" s="73" t="e">
        <f>IF(VLOOKUP(A225,'Actual Dates'!A4:AF353,8,),'Actual Dates'!#REF!,"")</f>
        <v>#REF!</v>
      </c>
      <c r="H225" s="73" t="e">
        <f t="shared" si="120"/>
        <v>#REF!</v>
      </c>
      <c r="I225" s="73" t="e">
        <f>IF(VLOOKUP(A225,'Actual Dates'!A4:AF348,25,),'Actual Dates'!#REF!,"")</f>
        <v>#REF!</v>
      </c>
      <c r="J225" s="73" t="e">
        <f t="shared" si="121"/>
        <v>#REF!</v>
      </c>
      <c r="K225" s="73" t="e">
        <f>IF(VLOOKUP(A225,'Actual Dates'!A4:AF376,26,),'Actual Dates'!#REF!,"")</f>
        <v>#REF!</v>
      </c>
      <c r="L225" s="73" t="e">
        <f>IF(VLOOKUP(A225,'Actual Dates'!A4:AF376,21,),'Actual Dates'!#REF!,"")</f>
        <v>#REF!</v>
      </c>
      <c r="M225" s="73" t="e">
        <f>'Date Calcs'!#REF!</f>
        <v>#REF!</v>
      </c>
      <c r="N225" s="73" t="e">
        <f>IF(VLOOKUP(A225,'Actual Dates'!A4:AF376,27,),'Actual Dates'!#REF!,"")</f>
        <v>#REF!</v>
      </c>
      <c r="O225" s="74" t="e">
        <f t="shared" si="122"/>
        <v>#REF!</v>
      </c>
      <c r="P225" s="75" t="e">
        <f t="shared" si="123"/>
        <v>#REF!</v>
      </c>
      <c r="Q225" s="75" t="e">
        <f t="shared" si="124"/>
        <v>#REF!</v>
      </c>
      <c r="R225" s="132"/>
      <c r="S225" s="133"/>
    </row>
    <row r="226" spans="1:33" x14ac:dyDescent="0.25">
      <c r="A226" s="70" t="e">
        <f>'Date Calcs'!#REF!</f>
        <v>#REF!</v>
      </c>
      <c r="B226" s="71" t="e">
        <f>'Date Calcs'!#REF!</f>
        <v>#REF!</v>
      </c>
      <c r="C226" s="72" t="e">
        <f>'Date Calcs'!#REF!</f>
        <v>#REF!</v>
      </c>
      <c r="D226" s="73" t="e">
        <f t="shared" si="119"/>
        <v>#REF!</v>
      </c>
      <c r="E226" s="66">
        <v>44130</v>
      </c>
      <c r="F226" s="73" t="e">
        <f>'Date Calcs'!#REF!</f>
        <v>#REF!</v>
      </c>
      <c r="G226" s="73" t="e">
        <f>IF(VLOOKUP(A226,'Actual Dates'!A4:AF354,8,),'Actual Dates'!#REF!,"")</f>
        <v>#REF!</v>
      </c>
      <c r="H226" s="73" t="e">
        <f t="shared" si="120"/>
        <v>#REF!</v>
      </c>
      <c r="I226" s="73" t="e">
        <f>IF(VLOOKUP(A226,'Actual Dates'!A4:AF349,25,),'Actual Dates'!#REF!,"")</f>
        <v>#REF!</v>
      </c>
      <c r="J226" s="73" t="e">
        <f t="shared" si="121"/>
        <v>#REF!</v>
      </c>
      <c r="K226" s="73" t="e">
        <f>IF(VLOOKUP(A226,'Actual Dates'!A4:AF377,26,),'Actual Dates'!#REF!,"")</f>
        <v>#REF!</v>
      </c>
      <c r="L226" s="73" t="e">
        <f>IF(VLOOKUP(A226,'Actual Dates'!A4:AF377,21,),'Actual Dates'!#REF!,"")</f>
        <v>#REF!</v>
      </c>
      <c r="M226" s="73" t="e">
        <f>'Date Calcs'!#REF!</f>
        <v>#REF!</v>
      </c>
      <c r="N226" s="73" t="e">
        <f>IF(VLOOKUP(A226,'Actual Dates'!A4:AF377,27,),'Actual Dates'!#REF!,"")</f>
        <v>#REF!</v>
      </c>
      <c r="O226" s="74" t="e">
        <f t="shared" si="122"/>
        <v>#REF!</v>
      </c>
      <c r="P226" s="75" t="e">
        <f t="shared" si="123"/>
        <v>#REF!</v>
      </c>
      <c r="Q226" s="75" t="e">
        <f t="shared" si="124"/>
        <v>#REF!</v>
      </c>
      <c r="R226" s="132"/>
      <c r="S226" s="133"/>
    </row>
    <row r="227" spans="1:33" x14ac:dyDescent="0.25">
      <c r="A227" s="70" t="e">
        <f>'Date Calcs'!#REF!</f>
        <v>#REF!</v>
      </c>
      <c r="B227" s="71" t="e">
        <f>'Date Calcs'!#REF!</f>
        <v>#REF!</v>
      </c>
      <c r="C227" s="72" t="e">
        <f>'Date Calcs'!#REF!</f>
        <v>#REF!</v>
      </c>
      <c r="D227" s="73" t="e">
        <f t="shared" si="119"/>
        <v>#REF!</v>
      </c>
      <c r="E227" s="66"/>
      <c r="F227" s="73" t="e">
        <f>'Date Calcs'!#REF!</f>
        <v>#REF!</v>
      </c>
      <c r="G227" s="73" t="e">
        <f>IF(VLOOKUP(A227,'Actual Dates'!A4:AF355,8,),'Actual Dates'!#REF!,"")</f>
        <v>#REF!</v>
      </c>
      <c r="H227" s="73" t="e">
        <f t="shared" si="120"/>
        <v>#REF!</v>
      </c>
      <c r="I227" s="73" t="e">
        <f>IF(VLOOKUP(A227,'Actual Dates'!A4:AF350,25,),'Actual Dates'!#REF!,"")</f>
        <v>#REF!</v>
      </c>
      <c r="J227" s="73" t="e">
        <f t="shared" si="121"/>
        <v>#REF!</v>
      </c>
      <c r="K227" s="73" t="e">
        <f>IF(VLOOKUP(A227,'Actual Dates'!A4:AF378,26,),'Actual Dates'!#REF!,"")</f>
        <v>#REF!</v>
      </c>
      <c r="L227" s="73" t="e">
        <f>IF(VLOOKUP(A227,'Actual Dates'!A4:AF378,21,),'Actual Dates'!#REF!,"")</f>
        <v>#REF!</v>
      </c>
      <c r="M227" s="73" t="e">
        <f>'Date Calcs'!#REF!</f>
        <v>#REF!</v>
      </c>
      <c r="N227" s="73" t="e">
        <f>IF(VLOOKUP(A227,'Actual Dates'!A4:AF378,27,),'Actual Dates'!#REF!,"")</f>
        <v>#REF!</v>
      </c>
      <c r="O227" s="74" t="e">
        <f t="shared" si="122"/>
        <v>#REF!</v>
      </c>
      <c r="P227" s="75" t="e">
        <f t="shared" si="123"/>
        <v>#REF!</v>
      </c>
      <c r="Q227" s="75" t="e">
        <f t="shared" si="124"/>
        <v>#REF!</v>
      </c>
      <c r="R227" s="132"/>
      <c r="S227" s="133"/>
    </row>
    <row r="228" spans="1:33" x14ac:dyDescent="0.25">
      <c r="A228" s="70" t="e">
        <f>'Date Calcs'!#REF!</f>
        <v>#REF!</v>
      </c>
      <c r="B228" s="71" t="e">
        <f>'Date Calcs'!#REF!</f>
        <v>#REF!</v>
      </c>
      <c r="C228" s="72" t="e">
        <f>'Date Calcs'!#REF!</f>
        <v>#REF!</v>
      </c>
      <c r="D228" s="73" t="e">
        <f t="shared" si="119"/>
        <v>#REF!</v>
      </c>
      <c r="E228" s="66"/>
      <c r="F228" s="73" t="e">
        <f>'Date Calcs'!#REF!</f>
        <v>#REF!</v>
      </c>
      <c r="G228" s="73" t="e">
        <f>IF(VLOOKUP(A228,'Actual Dates'!A4:AF356,8,),'Actual Dates'!#REF!,"")</f>
        <v>#REF!</v>
      </c>
      <c r="H228" s="73" t="e">
        <f t="shared" si="120"/>
        <v>#REF!</v>
      </c>
      <c r="I228" s="73" t="e">
        <f>IF(VLOOKUP(A228,'Actual Dates'!A4:AF351,25,),'Actual Dates'!#REF!,"")</f>
        <v>#REF!</v>
      </c>
      <c r="J228" s="73" t="e">
        <f t="shared" si="121"/>
        <v>#REF!</v>
      </c>
      <c r="K228" s="73" t="e">
        <f>IF(VLOOKUP(A228,'Actual Dates'!A4:AF379,26,),'Actual Dates'!#REF!,"")</f>
        <v>#REF!</v>
      </c>
      <c r="L228" s="73" t="e">
        <f>IF(VLOOKUP(A228,'Actual Dates'!A4:AF379,21,),'Actual Dates'!#REF!,"")</f>
        <v>#REF!</v>
      </c>
      <c r="M228" s="73" t="e">
        <f>'Date Calcs'!#REF!</f>
        <v>#REF!</v>
      </c>
      <c r="N228" s="73" t="e">
        <f>IF(VLOOKUP(A228,'Actual Dates'!A4:AF379,27,),'Actual Dates'!#REF!,"")</f>
        <v>#REF!</v>
      </c>
      <c r="O228" s="74" t="e">
        <f t="shared" si="122"/>
        <v>#REF!</v>
      </c>
      <c r="P228" s="75" t="e">
        <f t="shared" si="123"/>
        <v>#REF!</v>
      </c>
      <c r="Q228" s="75" t="e">
        <f t="shared" si="124"/>
        <v>#REF!</v>
      </c>
      <c r="R228" s="132"/>
      <c r="S228" s="133"/>
    </row>
    <row r="229" spans="1:33" x14ac:dyDescent="0.25">
      <c r="A229" s="70" t="e">
        <f>'Date Calcs'!#REF!</f>
        <v>#REF!</v>
      </c>
      <c r="B229" s="71" t="e">
        <f>'Date Calcs'!#REF!</f>
        <v>#REF!</v>
      </c>
      <c r="C229" s="72" t="e">
        <f>'Date Calcs'!#REF!</f>
        <v>#REF!</v>
      </c>
      <c r="D229" s="73" t="e">
        <f t="shared" ref="D229:D235" si="125">WORKDAY(F229,-1,)</f>
        <v>#REF!</v>
      </c>
      <c r="E229" s="66">
        <v>44166</v>
      </c>
      <c r="F229" s="73" t="e">
        <f>'Date Calcs'!#REF!</f>
        <v>#REF!</v>
      </c>
      <c r="G229" s="73" t="e">
        <f>IF(VLOOKUP(A229,'Actual Dates'!A4:AF357,8,),'Actual Dates'!#REF!,"")</f>
        <v>#REF!</v>
      </c>
      <c r="H229" s="73" t="e">
        <f t="shared" ref="H229:H235" si="126">WORKDAY(L229,3,)</f>
        <v>#REF!</v>
      </c>
      <c r="I229" s="73" t="e">
        <f>IF(VLOOKUP(A229,'Actual Dates'!A4:AF352,25,),'Actual Dates'!#REF!,"")</f>
        <v>#REF!</v>
      </c>
      <c r="J229" s="73" t="e">
        <f t="shared" ref="J229:J235" si="127">WORKDAY(L229,4,)</f>
        <v>#REF!</v>
      </c>
      <c r="K229" s="73" t="e">
        <f>IF(VLOOKUP(A229,'Actual Dates'!A4:AF380,26,),'Actual Dates'!#REF!,"")</f>
        <v>#REF!</v>
      </c>
      <c r="L229" s="73" t="e">
        <f>IF(VLOOKUP(A229,'Actual Dates'!A4:AF380,21,),'Actual Dates'!#REF!,"")</f>
        <v>#REF!</v>
      </c>
      <c r="M229" s="73" t="e">
        <f>'Date Calcs'!#REF!</f>
        <v>#REF!</v>
      </c>
      <c r="N229" s="73" t="e">
        <f>IF(VLOOKUP(A229,'Actual Dates'!A4:AF380,27,),'Actual Dates'!#REF!,"")</f>
        <v>#REF!</v>
      </c>
      <c r="O229" s="74" t="e">
        <f t="shared" ref="O229:O235" si="128">N229-C229</f>
        <v>#REF!</v>
      </c>
      <c r="P229" s="75" t="e">
        <f t="shared" ref="P229:P235" si="129">F229-G229</f>
        <v>#REF!</v>
      </c>
      <c r="Q229" s="75" t="e">
        <f t="shared" ref="Q229:Q235" si="130">M229-N229</f>
        <v>#REF!</v>
      </c>
      <c r="R229" s="132"/>
      <c r="S229" s="133"/>
    </row>
    <row r="230" spans="1:33" x14ac:dyDescent="0.25">
      <c r="A230" s="70" t="e">
        <f>'Date Calcs'!#REF!</f>
        <v>#REF!</v>
      </c>
      <c r="B230" s="71" t="e">
        <f>'Date Calcs'!#REF!</f>
        <v>#REF!</v>
      </c>
      <c r="C230" s="72" t="e">
        <f>'Date Calcs'!#REF!</f>
        <v>#REF!</v>
      </c>
      <c r="D230" s="73" t="e">
        <f t="shared" si="125"/>
        <v>#REF!</v>
      </c>
      <c r="E230" s="66">
        <v>44166</v>
      </c>
      <c r="F230" s="73" t="e">
        <f>'Date Calcs'!#REF!</f>
        <v>#REF!</v>
      </c>
      <c r="G230" s="73" t="e">
        <f>IF(VLOOKUP(A230,'Actual Dates'!A4:AF358,8,),'Actual Dates'!#REF!,"")</f>
        <v>#REF!</v>
      </c>
      <c r="H230" s="73" t="e">
        <f t="shared" si="126"/>
        <v>#REF!</v>
      </c>
      <c r="I230" s="73" t="e">
        <f>IF(VLOOKUP(A230,'Actual Dates'!A4:AF353,25,),'Actual Dates'!#REF!,"")</f>
        <v>#REF!</v>
      </c>
      <c r="J230" s="73" t="e">
        <f t="shared" si="127"/>
        <v>#REF!</v>
      </c>
      <c r="K230" s="73" t="e">
        <f>IF(VLOOKUP(A230,'Actual Dates'!A4:AF381,26,),'Actual Dates'!#REF!,"")</f>
        <v>#REF!</v>
      </c>
      <c r="L230" s="73" t="e">
        <f>IF(VLOOKUP(A230,'Actual Dates'!A4:AF381,21,),'Actual Dates'!#REF!,"")</f>
        <v>#REF!</v>
      </c>
      <c r="M230" s="73" t="e">
        <f>'Date Calcs'!#REF!</f>
        <v>#REF!</v>
      </c>
      <c r="N230" s="73" t="e">
        <f>IF(VLOOKUP(A230,'Actual Dates'!A4:AF381,27,),'Actual Dates'!#REF!,"")</f>
        <v>#REF!</v>
      </c>
      <c r="O230" s="74" t="e">
        <f t="shared" si="128"/>
        <v>#REF!</v>
      </c>
      <c r="P230" s="75" t="e">
        <f t="shared" si="129"/>
        <v>#REF!</v>
      </c>
      <c r="Q230" s="75" t="e">
        <f t="shared" si="130"/>
        <v>#REF!</v>
      </c>
      <c r="R230" s="132"/>
      <c r="S230" s="133"/>
    </row>
    <row r="231" spans="1:33" x14ac:dyDescent="0.25">
      <c r="A231" s="70" t="e">
        <f>'Date Calcs'!#REF!</f>
        <v>#REF!</v>
      </c>
      <c r="B231" s="71" t="e">
        <f>'Date Calcs'!#REF!</f>
        <v>#REF!</v>
      </c>
      <c r="C231" s="72" t="e">
        <f>'Date Calcs'!#REF!</f>
        <v>#REF!</v>
      </c>
      <c r="D231" s="73" t="e">
        <f t="shared" si="125"/>
        <v>#REF!</v>
      </c>
      <c r="E231" s="66">
        <v>44166</v>
      </c>
      <c r="F231" s="73" t="e">
        <f>'Date Calcs'!#REF!</f>
        <v>#REF!</v>
      </c>
      <c r="G231" s="73" t="e">
        <f>IF(VLOOKUP(A231,'Actual Dates'!A4:AF359,8,),'Actual Dates'!#REF!,"")</f>
        <v>#REF!</v>
      </c>
      <c r="H231" s="73" t="e">
        <f t="shared" si="126"/>
        <v>#REF!</v>
      </c>
      <c r="I231" s="73" t="e">
        <f>IF(VLOOKUP(A231,'Actual Dates'!A4:AF354,25,),'Actual Dates'!#REF!,"")</f>
        <v>#REF!</v>
      </c>
      <c r="J231" s="73" t="e">
        <f t="shared" si="127"/>
        <v>#REF!</v>
      </c>
      <c r="K231" s="73" t="e">
        <f>IF(VLOOKUP(A231,'Actual Dates'!A4:AF382,26,),'Actual Dates'!#REF!,"")</f>
        <v>#REF!</v>
      </c>
      <c r="L231" s="73" t="e">
        <f>IF(VLOOKUP(A231,'Actual Dates'!A4:AF382,21,),'Actual Dates'!#REF!,"")</f>
        <v>#REF!</v>
      </c>
      <c r="M231" s="73" t="e">
        <f>'Date Calcs'!#REF!</f>
        <v>#REF!</v>
      </c>
      <c r="N231" s="73" t="e">
        <f>IF(VLOOKUP(A231,'Actual Dates'!A4:AF382,27,),'Actual Dates'!#REF!,"")</f>
        <v>#REF!</v>
      </c>
      <c r="O231" s="74" t="e">
        <f t="shared" si="128"/>
        <v>#REF!</v>
      </c>
      <c r="P231" s="75" t="e">
        <f t="shared" si="129"/>
        <v>#REF!</v>
      </c>
      <c r="Q231" s="75" t="e">
        <f t="shared" si="130"/>
        <v>#REF!</v>
      </c>
      <c r="R231" s="132"/>
      <c r="S231" s="133"/>
    </row>
    <row r="232" spans="1:33" x14ac:dyDescent="0.25">
      <c r="A232" s="70" t="e">
        <f>'Date Calcs'!#REF!</f>
        <v>#REF!</v>
      </c>
      <c r="B232" s="71" t="e">
        <f>'Date Calcs'!#REF!</f>
        <v>#REF!</v>
      </c>
      <c r="C232" s="72" t="e">
        <f>'Date Calcs'!#REF!</f>
        <v>#REF!</v>
      </c>
      <c r="D232" s="73" t="e">
        <f t="shared" si="125"/>
        <v>#REF!</v>
      </c>
      <c r="E232" s="66">
        <v>44166</v>
      </c>
      <c r="F232" s="73" t="e">
        <f>'Date Calcs'!#REF!</f>
        <v>#REF!</v>
      </c>
      <c r="G232" s="73" t="e">
        <f>IF(VLOOKUP(A232,'Actual Dates'!A4:AF360,8,),'Actual Dates'!#REF!,"")</f>
        <v>#REF!</v>
      </c>
      <c r="H232" s="73" t="e">
        <f t="shared" si="126"/>
        <v>#REF!</v>
      </c>
      <c r="I232" s="73" t="e">
        <f>IF(VLOOKUP(A232,'Actual Dates'!A4:AF355,25,),'Actual Dates'!#REF!,"")</f>
        <v>#REF!</v>
      </c>
      <c r="J232" s="73" t="e">
        <f t="shared" si="127"/>
        <v>#REF!</v>
      </c>
      <c r="K232" s="73" t="e">
        <f>IF(VLOOKUP(A232,'Actual Dates'!A4:AF383,26,),'Actual Dates'!#REF!,"")</f>
        <v>#REF!</v>
      </c>
      <c r="L232" s="73" t="e">
        <f>IF(VLOOKUP(A232,'Actual Dates'!A4:AF383,21,),'Actual Dates'!#REF!,"")</f>
        <v>#REF!</v>
      </c>
      <c r="M232" s="73" t="e">
        <f>'Date Calcs'!#REF!</f>
        <v>#REF!</v>
      </c>
      <c r="N232" s="73" t="e">
        <f>IF(VLOOKUP(A232,'Actual Dates'!A4:AF383,27,),'Actual Dates'!#REF!,"")</f>
        <v>#REF!</v>
      </c>
      <c r="O232" s="74" t="e">
        <f t="shared" si="128"/>
        <v>#REF!</v>
      </c>
      <c r="P232" s="75" t="e">
        <f t="shared" si="129"/>
        <v>#REF!</v>
      </c>
      <c r="Q232" s="75" t="e">
        <f t="shared" si="130"/>
        <v>#REF!</v>
      </c>
      <c r="R232" s="132"/>
      <c r="S232" s="133"/>
    </row>
    <row r="233" spans="1:33" x14ac:dyDescent="0.25">
      <c r="A233" s="70" t="e">
        <f>'Date Calcs'!#REF!</f>
        <v>#REF!</v>
      </c>
      <c r="B233" s="71" t="e">
        <f>'Date Calcs'!#REF!</f>
        <v>#REF!</v>
      </c>
      <c r="C233" s="72" t="e">
        <f>'Date Calcs'!#REF!</f>
        <v>#REF!</v>
      </c>
      <c r="D233" s="73" t="e">
        <f t="shared" si="125"/>
        <v>#REF!</v>
      </c>
      <c r="E233" s="66">
        <v>44166</v>
      </c>
      <c r="F233" s="73" t="e">
        <f>'Date Calcs'!#REF!</f>
        <v>#REF!</v>
      </c>
      <c r="G233" s="73" t="e">
        <f>IF(VLOOKUP(A233,'Actual Dates'!A4:AF361,8,),'Actual Dates'!#REF!,"")</f>
        <v>#REF!</v>
      </c>
      <c r="H233" s="73" t="e">
        <f t="shared" si="126"/>
        <v>#REF!</v>
      </c>
      <c r="I233" s="73" t="e">
        <f>IF(VLOOKUP(A233,'Actual Dates'!A4:AF356,25,),'Actual Dates'!#REF!,"")</f>
        <v>#REF!</v>
      </c>
      <c r="J233" s="73" t="e">
        <f t="shared" si="127"/>
        <v>#REF!</v>
      </c>
      <c r="K233" s="73" t="e">
        <f>IF(VLOOKUP(A233,'Actual Dates'!A4:AF384,26,),'Actual Dates'!#REF!,"")</f>
        <v>#REF!</v>
      </c>
      <c r="L233" s="73" t="e">
        <f>IF(VLOOKUP(A233,'Actual Dates'!A4:AF384,21,),'Actual Dates'!#REF!,"")</f>
        <v>#REF!</v>
      </c>
      <c r="M233" s="73" t="e">
        <f>'Date Calcs'!#REF!</f>
        <v>#REF!</v>
      </c>
      <c r="N233" s="73" t="e">
        <f>IF(VLOOKUP(A233,'Actual Dates'!A4:AF384,27,),'Actual Dates'!#REF!,"")</f>
        <v>#REF!</v>
      </c>
      <c r="O233" s="74" t="e">
        <f t="shared" si="128"/>
        <v>#REF!</v>
      </c>
      <c r="P233" s="75" t="e">
        <f t="shared" si="129"/>
        <v>#REF!</v>
      </c>
      <c r="Q233" s="75" t="e">
        <f t="shared" si="130"/>
        <v>#REF!</v>
      </c>
      <c r="R233" s="132"/>
      <c r="S233" s="133"/>
    </row>
    <row r="234" spans="1:33" x14ac:dyDescent="0.25">
      <c r="A234" s="70" t="e">
        <f>'Date Calcs'!#REF!</f>
        <v>#REF!</v>
      </c>
      <c r="B234" s="71" t="e">
        <f>'Date Calcs'!#REF!</f>
        <v>#REF!</v>
      </c>
      <c r="C234" s="72" t="e">
        <f>'Date Calcs'!#REF!</f>
        <v>#REF!</v>
      </c>
      <c r="D234" s="73" t="e">
        <f t="shared" si="125"/>
        <v>#REF!</v>
      </c>
      <c r="E234" s="66">
        <v>44166</v>
      </c>
      <c r="F234" s="73" t="e">
        <f>'Date Calcs'!#REF!</f>
        <v>#REF!</v>
      </c>
      <c r="G234" s="73" t="e">
        <f>IF(VLOOKUP(A234,'Actual Dates'!A4:AF362,8,),'Actual Dates'!#REF!,"")</f>
        <v>#REF!</v>
      </c>
      <c r="H234" s="73" t="e">
        <f t="shared" si="126"/>
        <v>#REF!</v>
      </c>
      <c r="I234" s="73" t="e">
        <f>IF(VLOOKUP(A234,'Actual Dates'!A4:AF357,25,),'Actual Dates'!#REF!,"")</f>
        <v>#REF!</v>
      </c>
      <c r="J234" s="73" t="e">
        <f t="shared" si="127"/>
        <v>#REF!</v>
      </c>
      <c r="K234" s="73" t="e">
        <f>IF(VLOOKUP(A234,'Actual Dates'!A4:AF385,26,),'Actual Dates'!#REF!,"")</f>
        <v>#REF!</v>
      </c>
      <c r="L234" s="73" t="e">
        <f>IF(VLOOKUP(A234,'Actual Dates'!A4:AF385,21,),'Actual Dates'!#REF!,"")</f>
        <v>#REF!</v>
      </c>
      <c r="M234" s="73" t="e">
        <f>'Date Calcs'!#REF!</f>
        <v>#REF!</v>
      </c>
      <c r="N234" s="73" t="e">
        <f>IF(VLOOKUP(A234,'Actual Dates'!A4:AF385,27,),'Actual Dates'!#REF!,"")</f>
        <v>#REF!</v>
      </c>
      <c r="O234" s="74" t="e">
        <f t="shared" si="128"/>
        <v>#REF!</v>
      </c>
      <c r="P234" s="75" t="e">
        <f t="shared" si="129"/>
        <v>#REF!</v>
      </c>
      <c r="Q234" s="75" t="e">
        <f t="shared" si="130"/>
        <v>#REF!</v>
      </c>
      <c r="R234" s="132"/>
      <c r="S234" s="133"/>
    </row>
    <row r="235" spans="1:33" x14ac:dyDescent="0.25">
      <c r="A235" s="70" t="e">
        <f>'Date Calcs'!#REF!</f>
        <v>#REF!</v>
      </c>
      <c r="B235" s="71" t="e">
        <f>'Date Calcs'!#REF!</f>
        <v>#REF!</v>
      </c>
      <c r="C235" s="72" t="e">
        <f>'Date Calcs'!#REF!</f>
        <v>#REF!</v>
      </c>
      <c r="D235" s="73" t="e">
        <f t="shared" si="125"/>
        <v>#REF!</v>
      </c>
      <c r="E235" s="66"/>
      <c r="F235" s="73" t="e">
        <f>'Date Calcs'!#REF!</f>
        <v>#REF!</v>
      </c>
      <c r="G235" s="73" t="e">
        <f>IF(VLOOKUP(A235,'Actual Dates'!A4:AF363,8,),'Actual Dates'!#REF!,"")</f>
        <v>#REF!</v>
      </c>
      <c r="H235" s="73" t="e">
        <f t="shared" si="126"/>
        <v>#REF!</v>
      </c>
      <c r="I235" s="73" t="e">
        <f>IF(VLOOKUP(A235,'Actual Dates'!A4:AF358,25,),'Actual Dates'!#REF!,"")</f>
        <v>#REF!</v>
      </c>
      <c r="J235" s="73" t="e">
        <f t="shared" si="127"/>
        <v>#REF!</v>
      </c>
      <c r="K235" s="73" t="e">
        <f>IF(VLOOKUP(A235,'Actual Dates'!A4:AF386,26,),'Actual Dates'!#REF!,"")</f>
        <v>#REF!</v>
      </c>
      <c r="L235" s="73" t="e">
        <f>IF(VLOOKUP(A235,'Actual Dates'!A4:AF386,21,),'Actual Dates'!#REF!,"")</f>
        <v>#REF!</v>
      </c>
      <c r="M235" s="73" t="e">
        <f>'Date Calcs'!#REF!</f>
        <v>#REF!</v>
      </c>
      <c r="N235" s="73" t="e">
        <f>IF(VLOOKUP(A235,'Actual Dates'!A4:AF386,27,),'Actual Dates'!#REF!,"")</f>
        <v>#REF!</v>
      </c>
      <c r="O235" s="74" t="e">
        <f t="shared" si="128"/>
        <v>#REF!</v>
      </c>
      <c r="P235" s="75" t="e">
        <f t="shared" si="129"/>
        <v>#REF!</v>
      </c>
      <c r="Q235" s="75" t="e">
        <f t="shared" si="130"/>
        <v>#REF!</v>
      </c>
      <c r="R235" s="132"/>
      <c r="S235" s="133"/>
    </row>
    <row r="236" spans="1:33" x14ac:dyDescent="0.25">
      <c r="A236" s="70" t="e">
        <f>'Date Calcs'!#REF!</f>
        <v>#REF!</v>
      </c>
      <c r="B236" s="71" t="e">
        <f>'Date Calcs'!#REF!</f>
        <v>#REF!</v>
      </c>
      <c r="C236" s="72" t="e">
        <f>'Date Calcs'!#REF!</f>
        <v>#REF!</v>
      </c>
      <c r="D236" s="73" t="e">
        <f t="shared" ref="D236:D237" si="131">WORKDAY(F236,-1,)</f>
        <v>#REF!</v>
      </c>
      <c r="E236" s="66"/>
      <c r="F236" s="73" t="e">
        <f>'Date Calcs'!#REF!</f>
        <v>#REF!</v>
      </c>
      <c r="G236" s="73" t="e">
        <f>IF(VLOOKUP(A236,'Actual Dates'!A4:AF364,8,),'Actual Dates'!#REF!,"")</f>
        <v>#REF!</v>
      </c>
      <c r="H236" s="73" t="e">
        <f t="shared" ref="H236:H237" si="132">WORKDAY(L236,3,)</f>
        <v>#REF!</v>
      </c>
      <c r="I236" s="73" t="e">
        <f>IF(VLOOKUP(A236,'Actual Dates'!A4:AF359,25,),'Actual Dates'!#REF!,"")</f>
        <v>#REF!</v>
      </c>
      <c r="J236" s="73" t="e">
        <f t="shared" ref="J236:J237" si="133">WORKDAY(L236,4,)</f>
        <v>#REF!</v>
      </c>
      <c r="K236" s="73" t="e">
        <f>IF(VLOOKUP(A236,'Actual Dates'!A4:AF387,26,),'Actual Dates'!#REF!,"")</f>
        <v>#REF!</v>
      </c>
      <c r="L236" s="73" t="e">
        <f>IF(VLOOKUP(A236,'Actual Dates'!A4:AF387,21,),'Actual Dates'!#REF!,"")</f>
        <v>#REF!</v>
      </c>
      <c r="M236" s="73" t="e">
        <f>'Date Calcs'!#REF!</f>
        <v>#REF!</v>
      </c>
      <c r="N236" s="73" t="e">
        <f>IF(VLOOKUP(A236,'Actual Dates'!A4:AF387,27,),'Actual Dates'!#REF!,"")</f>
        <v>#REF!</v>
      </c>
      <c r="O236" s="74" t="e">
        <f t="shared" ref="O236:O237" si="134">N236-C236</f>
        <v>#REF!</v>
      </c>
      <c r="P236" s="75" t="e">
        <f t="shared" ref="P236:P237" si="135">F236-G236</f>
        <v>#REF!</v>
      </c>
      <c r="Q236" s="75" t="e">
        <f t="shared" ref="Q236:Q237" si="136">M236-N236</f>
        <v>#REF!</v>
      </c>
      <c r="R236" s="132"/>
      <c r="S236" s="133"/>
    </row>
    <row r="237" spans="1:33" x14ac:dyDescent="0.25">
      <c r="A237" s="70" t="e">
        <f>'Date Calcs'!#REF!</f>
        <v>#REF!</v>
      </c>
      <c r="B237" s="71" t="e">
        <f>'Date Calcs'!#REF!</f>
        <v>#REF!</v>
      </c>
      <c r="C237" s="72" t="e">
        <f>'Date Calcs'!#REF!</f>
        <v>#REF!</v>
      </c>
      <c r="D237" s="73" t="e">
        <f t="shared" si="131"/>
        <v>#REF!</v>
      </c>
      <c r="E237" s="66"/>
      <c r="F237" s="73" t="e">
        <f>'Date Calcs'!#REF!</f>
        <v>#REF!</v>
      </c>
      <c r="G237" s="73" t="e">
        <f>IF(VLOOKUP(A237,'Actual Dates'!A4:AF365,8,),'Actual Dates'!#REF!,"")</f>
        <v>#REF!</v>
      </c>
      <c r="H237" s="73" t="e">
        <f t="shared" si="132"/>
        <v>#REF!</v>
      </c>
      <c r="I237" s="73" t="e">
        <f>IF(VLOOKUP(A237,'Actual Dates'!A4:AF360,25,),'Actual Dates'!#REF!,"")</f>
        <v>#REF!</v>
      </c>
      <c r="J237" s="73" t="e">
        <f t="shared" si="133"/>
        <v>#REF!</v>
      </c>
      <c r="K237" s="73" t="e">
        <f>IF(VLOOKUP(A237,'Actual Dates'!A4:AF388,26,),'Actual Dates'!#REF!,"")</f>
        <v>#REF!</v>
      </c>
      <c r="L237" s="73" t="e">
        <f>IF(VLOOKUP(A237,'Actual Dates'!A4:AF388,21,),'Actual Dates'!#REF!,"")</f>
        <v>#REF!</v>
      </c>
      <c r="M237" s="73" t="e">
        <f>'Date Calcs'!#REF!</f>
        <v>#REF!</v>
      </c>
      <c r="N237" s="73" t="e">
        <f>IF(VLOOKUP(A237,'Actual Dates'!A4:AF388,27,),'Actual Dates'!#REF!,"")</f>
        <v>#REF!</v>
      </c>
      <c r="O237" s="74" t="e">
        <f t="shared" si="134"/>
        <v>#REF!</v>
      </c>
      <c r="P237" s="75" t="e">
        <f t="shared" si="135"/>
        <v>#REF!</v>
      </c>
      <c r="Q237" s="75" t="e">
        <f t="shared" si="136"/>
        <v>#REF!</v>
      </c>
      <c r="R237" s="132"/>
      <c r="S237" s="133"/>
    </row>
    <row r="238" spans="1:33" x14ac:dyDescent="0.25">
      <c r="A238" s="70" t="e">
        <f>'Date Calcs'!#REF!</f>
        <v>#REF!</v>
      </c>
      <c r="B238" s="71" t="e">
        <f>'Date Calcs'!#REF!</f>
        <v>#REF!</v>
      </c>
      <c r="C238" s="72" t="e">
        <f>'Date Calcs'!#REF!</f>
        <v>#REF!</v>
      </c>
      <c r="D238" s="73" t="e">
        <f t="shared" ref="D238:D243" si="137">WORKDAY(F238,-1,)</f>
        <v>#REF!</v>
      </c>
      <c r="E238" s="66">
        <v>44186</v>
      </c>
      <c r="F238" s="73" t="e">
        <f>'Date Calcs'!#REF!</f>
        <v>#REF!</v>
      </c>
      <c r="G238" s="73" t="e">
        <f>IF(VLOOKUP(A238,'Actual Dates'!A4:AF366,8,),'Actual Dates'!#REF!,"")</f>
        <v>#REF!</v>
      </c>
      <c r="H238" s="73" t="e">
        <f t="shared" ref="H238:H243" si="138">WORKDAY(L238,3,)</f>
        <v>#REF!</v>
      </c>
      <c r="I238" s="73" t="e">
        <f>IF(VLOOKUP(A238,'Actual Dates'!A4:AF361,25,),'Actual Dates'!#REF!,"")</f>
        <v>#REF!</v>
      </c>
      <c r="J238" s="73" t="e">
        <f t="shared" ref="J238:J243" si="139">WORKDAY(L238,4,)</f>
        <v>#REF!</v>
      </c>
      <c r="K238" s="73" t="e">
        <f>IF(VLOOKUP(A238,'Actual Dates'!A4:AF389,26,),'Actual Dates'!#REF!,"")</f>
        <v>#REF!</v>
      </c>
      <c r="L238" s="73" t="e">
        <f>IF(VLOOKUP(A238,'Actual Dates'!A4:AF389,21,),'Actual Dates'!#REF!,"")</f>
        <v>#REF!</v>
      </c>
      <c r="M238" s="73" t="e">
        <f>'Date Calcs'!#REF!</f>
        <v>#REF!</v>
      </c>
      <c r="N238" s="73" t="e">
        <f>IF(VLOOKUP(A238,'Actual Dates'!A4:AF389,27,),'Actual Dates'!#REF!,"")</f>
        <v>#REF!</v>
      </c>
      <c r="O238" s="74" t="e">
        <f t="shared" ref="O238:O243" si="140">N238-C238</f>
        <v>#REF!</v>
      </c>
      <c r="P238" s="75" t="e">
        <f t="shared" ref="P238:P243" si="141">F238-G238</f>
        <v>#REF!</v>
      </c>
      <c r="Q238" s="75" t="e">
        <f t="shared" ref="Q238:Q243" si="142">M238-N238</f>
        <v>#REF!</v>
      </c>
      <c r="R238" s="132"/>
      <c r="S238" s="133"/>
    </row>
    <row r="239" spans="1:33" x14ac:dyDescent="0.25">
      <c r="A239" s="70" t="e">
        <f>'Date Calcs'!#REF!</f>
        <v>#REF!</v>
      </c>
      <c r="B239" s="71" t="e">
        <f>'Date Calcs'!#REF!</f>
        <v>#REF!</v>
      </c>
      <c r="C239" s="72" t="e">
        <f>'Date Calcs'!#REF!</f>
        <v>#REF!</v>
      </c>
      <c r="D239" s="73" t="e">
        <f t="shared" si="137"/>
        <v>#REF!</v>
      </c>
      <c r="E239" s="66">
        <v>44186</v>
      </c>
      <c r="F239" s="73" t="e">
        <f>'Date Calcs'!#REF!</f>
        <v>#REF!</v>
      </c>
      <c r="G239" s="73" t="e">
        <f>IF(VLOOKUP(A239,'Actual Dates'!A4:AF367,8,),'Actual Dates'!#REF!,"")</f>
        <v>#REF!</v>
      </c>
      <c r="H239" s="73" t="e">
        <f t="shared" si="138"/>
        <v>#REF!</v>
      </c>
      <c r="I239" s="73" t="e">
        <f>IF(VLOOKUP(A239,'Actual Dates'!A4:AF362,25,),'Actual Dates'!#REF!,"")</f>
        <v>#REF!</v>
      </c>
      <c r="J239" s="73" t="e">
        <f t="shared" si="139"/>
        <v>#REF!</v>
      </c>
      <c r="K239" s="73" t="e">
        <f>IF(VLOOKUP(A239,'Actual Dates'!A4:AF390,26,),'Actual Dates'!#REF!,"")</f>
        <v>#REF!</v>
      </c>
      <c r="L239" s="73" t="e">
        <f>IF(VLOOKUP(A239,'Actual Dates'!A4:AF390,21,),'Actual Dates'!#REF!,"")</f>
        <v>#REF!</v>
      </c>
      <c r="M239" s="73" t="e">
        <f>'Date Calcs'!#REF!</f>
        <v>#REF!</v>
      </c>
      <c r="N239" s="73" t="e">
        <f>IF(VLOOKUP(A239,'Actual Dates'!A4:AF390,27,),'Actual Dates'!#REF!,"")</f>
        <v>#REF!</v>
      </c>
      <c r="O239" s="74" t="e">
        <f t="shared" si="140"/>
        <v>#REF!</v>
      </c>
      <c r="P239" s="75" t="e">
        <f t="shared" si="141"/>
        <v>#REF!</v>
      </c>
      <c r="Q239" s="75" t="e">
        <f t="shared" si="142"/>
        <v>#REF!</v>
      </c>
      <c r="R239" s="132"/>
      <c r="S239" s="133"/>
    </row>
    <row r="240" spans="1:33" x14ac:dyDescent="0.25">
      <c r="A240" s="70" t="e">
        <f>'Date Calcs'!#REF!</f>
        <v>#REF!</v>
      </c>
      <c r="B240" s="71" t="e">
        <f>'Date Calcs'!#REF!</f>
        <v>#REF!</v>
      </c>
      <c r="C240" s="72" t="e">
        <f>'Date Calcs'!#REF!</f>
        <v>#REF!</v>
      </c>
      <c r="D240" s="73" t="e">
        <f t="shared" si="137"/>
        <v>#REF!</v>
      </c>
      <c r="E240" s="66">
        <v>44186</v>
      </c>
      <c r="F240" s="73" t="e">
        <f>'Date Calcs'!#REF!</f>
        <v>#REF!</v>
      </c>
      <c r="G240" s="73" t="e">
        <f>IF(VLOOKUP(A240,'Actual Dates'!A4:AF368,8,),'Actual Dates'!#REF!,"")</f>
        <v>#REF!</v>
      </c>
      <c r="H240" s="73" t="e">
        <f t="shared" si="138"/>
        <v>#REF!</v>
      </c>
      <c r="I240" s="73" t="e">
        <f>IF(VLOOKUP(A240,'Actual Dates'!A4:AF363,25,),'Actual Dates'!#REF!,"")</f>
        <v>#REF!</v>
      </c>
      <c r="J240" s="73" t="e">
        <f t="shared" si="139"/>
        <v>#REF!</v>
      </c>
      <c r="K240" s="73" t="e">
        <f>IF(VLOOKUP(A240,'Actual Dates'!A4:AF391,26,),'Actual Dates'!#REF!,"")</f>
        <v>#REF!</v>
      </c>
      <c r="L240" s="73" t="e">
        <f>IF(VLOOKUP(A240,'Actual Dates'!A4:AF391,21,),'Actual Dates'!#REF!,"")</f>
        <v>#REF!</v>
      </c>
      <c r="M240" s="73" t="e">
        <f>'Date Calcs'!#REF!</f>
        <v>#REF!</v>
      </c>
      <c r="N240" s="73" t="e">
        <f>IF(VLOOKUP(A240,'Actual Dates'!A4:AF391,27,),'Actual Dates'!#REF!,"")</f>
        <v>#REF!</v>
      </c>
      <c r="O240" s="74" t="e">
        <f t="shared" si="140"/>
        <v>#REF!</v>
      </c>
      <c r="P240" s="75" t="e">
        <f t="shared" si="141"/>
        <v>#REF!</v>
      </c>
      <c r="Q240" s="75" t="e">
        <f t="shared" si="142"/>
        <v>#REF!</v>
      </c>
      <c r="R240" s="132"/>
      <c r="S240" s="133"/>
      <c r="AC240" t="e">
        <f>IF(G240&lt;=F240,1,0)</f>
        <v>#REF!</v>
      </c>
      <c r="AD240" s="136" t="s">
        <v>124</v>
      </c>
      <c r="AE240" s="137" t="e">
        <f>SUM(AC240:AC245)</f>
        <v>#REF!</v>
      </c>
      <c r="AF240" s="137">
        <v>6</v>
      </c>
      <c r="AG240" s="138" t="e">
        <f>AF240/AE240</f>
        <v>#REF!</v>
      </c>
    </row>
    <row r="241" spans="1:33" x14ac:dyDescent="0.25">
      <c r="A241" s="70" t="e">
        <f>'Date Calcs'!#REF!</f>
        <v>#REF!</v>
      </c>
      <c r="B241" s="71" t="e">
        <f>'Date Calcs'!#REF!</f>
        <v>#REF!</v>
      </c>
      <c r="C241" s="72" t="e">
        <f>'Date Calcs'!#REF!</f>
        <v>#REF!</v>
      </c>
      <c r="D241" s="73" t="e">
        <f t="shared" si="137"/>
        <v>#REF!</v>
      </c>
      <c r="E241" s="66">
        <v>44186</v>
      </c>
      <c r="F241" s="73" t="e">
        <f>'Date Calcs'!#REF!</f>
        <v>#REF!</v>
      </c>
      <c r="G241" s="73" t="e">
        <f>IF(VLOOKUP(A241,'Actual Dates'!A4:AF369,8,),'Actual Dates'!#REF!,"")</f>
        <v>#REF!</v>
      </c>
      <c r="H241" s="73" t="e">
        <f t="shared" si="138"/>
        <v>#REF!</v>
      </c>
      <c r="I241" s="73" t="e">
        <f>IF(VLOOKUP(A241,'Actual Dates'!A4:AF364,25,),'Actual Dates'!#REF!,"")</f>
        <v>#REF!</v>
      </c>
      <c r="J241" s="73" t="e">
        <f t="shared" si="139"/>
        <v>#REF!</v>
      </c>
      <c r="K241" s="73" t="e">
        <f>IF(VLOOKUP(A241,'Actual Dates'!A4:AF392,26,),'Actual Dates'!#REF!,"")</f>
        <v>#REF!</v>
      </c>
      <c r="L241" s="73" t="e">
        <f>IF(VLOOKUP(A241,'Actual Dates'!A4:AF392,21,),'Actual Dates'!#REF!,"")</f>
        <v>#REF!</v>
      </c>
      <c r="M241" s="73" t="e">
        <f>'Date Calcs'!#REF!</f>
        <v>#REF!</v>
      </c>
      <c r="N241" s="73" t="e">
        <f>IF(VLOOKUP(A241,'Actual Dates'!A4:AF392,27,),'Actual Dates'!#REF!,"")</f>
        <v>#REF!</v>
      </c>
      <c r="O241" s="74" t="e">
        <f t="shared" si="140"/>
        <v>#REF!</v>
      </c>
      <c r="P241" s="75" t="e">
        <f t="shared" si="141"/>
        <v>#REF!</v>
      </c>
      <c r="Q241" s="75" t="e">
        <f t="shared" si="142"/>
        <v>#REF!</v>
      </c>
      <c r="R241" s="132"/>
      <c r="S241" s="133"/>
      <c r="AC241" t="e">
        <f t="shared" ref="AC241:AC250" si="143">IF(G241&lt;=F241,1,0)</f>
        <v>#REF!</v>
      </c>
      <c r="AD241" s="136"/>
      <c r="AE241" s="137"/>
      <c r="AF241" s="137"/>
      <c r="AG241" s="138"/>
    </row>
    <row r="242" spans="1:33" x14ac:dyDescent="0.25">
      <c r="A242" s="70" t="e">
        <f>'Date Calcs'!#REF!</f>
        <v>#REF!</v>
      </c>
      <c r="B242" s="71" t="e">
        <f>'Date Calcs'!#REF!</f>
        <v>#REF!</v>
      </c>
      <c r="C242" s="72" t="e">
        <f>'Date Calcs'!#REF!</f>
        <v>#REF!</v>
      </c>
      <c r="D242" s="73" t="e">
        <f t="shared" si="137"/>
        <v>#REF!</v>
      </c>
      <c r="E242" s="66" t="s">
        <v>67</v>
      </c>
      <c r="F242" s="73" t="e">
        <f>'Date Calcs'!#REF!</f>
        <v>#REF!</v>
      </c>
      <c r="G242" s="73" t="e">
        <f>IF(VLOOKUP(A242,'Actual Dates'!A4:AF370,8,),'Actual Dates'!#REF!,"")</f>
        <v>#REF!</v>
      </c>
      <c r="H242" s="73" t="e">
        <f t="shared" si="138"/>
        <v>#REF!</v>
      </c>
      <c r="I242" s="73" t="e">
        <f>IF(VLOOKUP(A242,'Actual Dates'!A4:AF365,25,),'Actual Dates'!#REF!,"")</f>
        <v>#REF!</v>
      </c>
      <c r="J242" s="73" t="e">
        <f t="shared" si="139"/>
        <v>#REF!</v>
      </c>
      <c r="K242" s="73" t="e">
        <f>IF(VLOOKUP(A242,'Actual Dates'!A4:AF393,26,),'Actual Dates'!#REF!,"")</f>
        <v>#REF!</v>
      </c>
      <c r="L242" s="73" t="e">
        <f>IF(VLOOKUP(A242,'Actual Dates'!A4:AF393,21,),'Actual Dates'!#REF!,"")</f>
        <v>#REF!</v>
      </c>
      <c r="M242" s="73" t="e">
        <f>'Date Calcs'!#REF!</f>
        <v>#REF!</v>
      </c>
      <c r="N242" s="73" t="e">
        <f>IF(VLOOKUP(A242,'Actual Dates'!A4:AF393,27,),'Actual Dates'!#REF!,"")</f>
        <v>#REF!</v>
      </c>
      <c r="O242" s="74" t="e">
        <f t="shared" si="140"/>
        <v>#REF!</v>
      </c>
      <c r="P242" s="75" t="e">
        <f t="shared" si="141"/>
        <v>#REF!</v>
      </c>
      <c r="Q242" s="75" t="e">
        <f t="shared" si="142"/>
        <v>#REF!</v>
      </c>
      <c r="R242" s="132"/>
      <c r="S242" s="133"/>
      <c r="AC242" t="e">
        <f t="shared" si="143"/>
        <v>#REF!</v>
      </c>
      <c r="AD242" s="136"/>
      <c r="AE242" s="137"/>
      <c r="AF242" s="137"/>
      <c r="AG242" s="138"/>
    </row>
    <row r="243" spans="1:33" x14ac:dyDescent="0.25">
      <c r="A243" s="70" t="e">
        <f>'Date Calcs'!#REF!</f>
        <v>#REF!</v>
      </c>
      <c r="B243" s="71" t="e">
        <f>'Date Calcs'!#REF!</f>
        <v>#REF!</v>
      </c>
      <c r="C243" s="72" t="e">
        <f>'Date Calcs'!#REF!</f>
        <v>#REF!</v>
      </c>
      <c r="D243" s="73" t="e">
        <f t="shared" si="137"/>
        <v>#REF!</v>
      </c>
      <c r="E243" s="66" t="s">
        <v>67</v>
      </c>
      <c r="F243" s="73" t="e">
        <f>'Date Calcs'!#REF!</f>
        <v>#REF!</v>
      </c>
      <c r="G243" s="73" t="e">
        <f>IF(VLOOKUP(A243,'Actual Dates'!A4:AF371,8,),'Actual Dates'!#REF!,"")</f>
        <v>#REF!</v>
      </c>
      <c r="H243" s="73" t="e">
        <f t="shared" si="138"/>
        <v>#REF!</v>
      </c>
      <c r="I243" s="73" t="e">
        <f>IF(VLOOKUP(A243,'Actual Dates'!A4:AF366,25,),'Actual Dates'!#REF!,"")</f>
        <v>#REF!</v>
      </c>
      <c r="J243" s="73" t="e">
        <f t="shared" si="139"/>
        <v>#REF!</v>
      </c>
      <c r="K243" s="73" t="e">
        <f>IF(VLOOKUP(A243,'Actual Dates'!A4:AF394,26,),'Actual Dates'!#REF!,"")</f>
        <v>#REF!</v>
      </c>
      <c r="L243" s="73" t="e">
        <f>IF(VLOOKUP(A243,'Actual Dates'!A4:AF394,21,),'Actual Dates'!#REF!,"")</f>
        <v>#REF!</v>
      </c>
      <c r="M243" s="73" t="e">
        <f>'Date Calcs'!#REF!</f>
        <v>#REF!</v>
      </c>
      <c r="N243" s="73" t="e">
        <f>IF(VLOOKUP(A243,'Actual Dates'!A4:AF394,27,),'Actual Dates'!#REF!,"")</f>
        <v>#REF!</v>
      </c>
      <c r="O243" s="74" t="e">
        <f t="shared" si="140"/>
        <v>#REF!</v>
      </c>
      <c r="P243" s="75" t="e">
        <f t="shared" si="141"/>
        <v>#REF!</v>
      </c>
      <c r="Q243" s="75" t="e">
        <f t="shared" si="142"/>
        <v>#REF!</v>
      </c>
      <c r="R243" s="132"/>
      <c r="S243" s="133"/>
      <c r="AC243" t="e">
        <f t="shared" si="143"/>
        <v>#REF!</v>
      </c>
      <c r="AD243" s="136"/>
      <c r="AE243" s="137"/>
      <c r="AF243" s="137"/>
      <c r="AG243" s="138"/>
    </row>
    <row r="244" spans="1:33" x14ac:dyDescent="0.25">
      <c r="A244" s="70" t="e">
        <f>'Date Calcs'!#REF!</f>
        <v>#REF!</v>
      </c>
      <c r="B244" s="71" t="e">
        <f>'Date Calcs'!#REF!</f>
        <v>#REF!</v>
      </c>
      <c r="C244" s="72" t="e">
        <f>'Date Calcs'!#REF!</f>
        <v>#REF!</v>
      </c>
      <c r="D244" s="73" t="e">
        <f t="shared" ref="D244:D247" si="144">WORKDAY(F244,-1,)</f>
        <v>#REF!</v>
      </c>
      <c r="E244" s="66" t="s">
        <v>67</v>
      </c>
      <c r="F244" s="73" t="e">
        <f>'Date Calcs'!#REF!</f>
        <v>#REF!</v>
      </c>
      <c r="G244" s="73" t="e">
        <f>IF(VLOOKUP(A244,'Actual Dates'!A4:AF372,8,),'Actual Dates'!#REF!,"")</f>
        <v>#REF!</v>
      </c>
      <c r="H244" s="73" t="e">
        <f t="shared" ref="H244:H247" si="145">WORKDAY(L244,3,)</f>
        <v>#REF!</v>
      </c>
      <c r="I244" s="73" t="e">
        <f>IF(VLOOKUP(A244,'Actual Dates'!A4:AF367,25,),'Actual Dates'!#REF!,"")</f>
        <v>#REF!</v>
      </c>
      <c r="J244" s="73" t="e">
        <f t="shared" ref="J244:J247" si="146">WORKDAY(L244,4,)</f>
        <v>#REF!</v>
      </c>
      <c r="K244" s="73" t="e">
        <f>IF(VLOOKUP(A244,'Actual Dates'!A4:AF395,26,),'Actual Dates'!#REF!,"")</f>
        <v>#REF!</v>
      </c>
      <c r="L244" s="73" t="e">
        <f>IF(VLOOKUP(A244,'Actual Dates'!A4:AF395,21,),'Actual Dates'!#REF!,"")</f>
        <v>#REF!</v>
      </c>
      <c r="M244" s="73" t="e">
        <f>'Date Calcs'!#REF!</f>
        <v>#REF!</v>
      </c>
      <c r="N244" s="73" t="e">
        <f>IF(VLOOKUP(A244,'Actual Dates'!A4:AF395,27,),'Actual Dates'!#REF!,"")</f>
        <v>#REF!</v>
      </c>
      <c r="O244" s="74" t="e">
        <f t="shared" ref="O244:O247" si="147">N244-C244</f>
        <v>#REF!</v>
      </c>
      <c r="P244" s="75" t="e">
        <f t="shared" ref="P244:P247" si="148">F244-G244</f>
        <v>#REF!</v>
      </c>
      <c r="Q244" s="75" t="e">
        <f t="shared" ref="Q244:Q247" si="149">M244-N244</f>
        <v>#REF!</v>
      </c>
      <c r="R244" s="132"/>
      <c r="S244" s="133"/>
      <c r="AC244" t="e">
        <f t="shared" si="143"/>
        <v>#REF!</v>
      </c>
      <c r="AD244" s="136"/>
      <c r="AE244" s="137"/>
      <c r="AF244" s="137"/>
      <c r="AG244" s="138"/>
    </row>
    <row r="245" spans="1:33" x14ac:dyDescent="0.25">
      <c r="A245" s="70" t="e">
        <f>'Date Calcs'!#REF!</f>
        <v>#REF!</v>
      </c>
      <c r="B245" s="71" t="e">
        <f>'Date Calcs'!#REF!</f>
        <v>#REF!</v>
      </c>
      <c r="C245" s="72" t="e">
        <f>'Date Calcs'!#REF!</f>
        <v>#REF!</v>
      </c>
      <c r="D245" s="73" t="e">
        <f t="shared" si="144"/>
        <v>#REF!</v>
      </c>
      <c r="E245" s="66" t="s">
        <v>67</v>
      </c>
      <c r="F245" s="73" t="e">
        <f>'Date Calcs'!#REF!</f>
        <v>#REF!</v>
      </c>
      <c r="G245" s="73" t="e">
        <f>IF(VLOOKUP(A245,'Actual Dates'!A4:AF373,8,),'Actual Dates'!#REF!,"")</f>
        <v>#REF!</v>
      </c>
      <c r="H245" s="73" t="e">
        <f t="shared" si="145"/>
        <v>#REF!</v>
      </c>
      <c r="I245" s="73" t="e">
        <f>IF(VLOOKUP(A245,'Actual Dates'!A4:AF368,25,),'Actual Dates'!#REF!,"")</f>
        <v>#REF!</v>
      </c>
      <c r="J245" s="73" t="e">
        <f t="shared" si="146"/>
        <v>#REF!</v>
      </c>
      <c r="K245" s="73" t="e">
        <f>IF(VLOOKUP(A245,'Actual Dates'!A4:AF396,26,),'Actual Dates'!#REF!,"")</f>
        <v>#REF!</v>
      </c>
      <c r="L245" s="73" t="e">
        <f>IF(VLOOKUP(A245,'Actual Dates'!A4:AF396,21,),'Actual Dates'!#REF!,"")</f>
        <v>#REF!</v>
      </c>
      <c r="M245" s="73" t="e">
        <f>'Date Calcs'!#REF!</f>
        <v>#REF!</v>
      </c>
      <c r="N245" s="73" t="e">
        <f>IF(VLOOKUP(A245,'Actual Dates'!A4:AF396,27,),'Actual Dates'!#REF!,"")</f>
        <v>#REF!</v>
      </c>
      <c r="O245" s="74" t="e">
        <f t="shared" si="147"/>
        <v>#REF!</v>
      </c>
      <c r="P245" s="75" t="e">
        <f t="shared" si="148"/>
        <v>#REF!</v>
      </c>
      <c r="Q245" s="75" t="e">
        <f t="shared" si="149"/>
        <v>#REF!</v>
      </c>
      <c r="R245" s="132"/>
      <c r="S245" s="133"/>
      <c r="AC245" t="e">
        <f t="shared" si="143"/>
        <v>#REF!</v>
      </c>
      <c r="AD245" s="136"/>
      <c r="AE245" s="137"/>
      <c r="AF245" s="137"/>
      <c r="AG245" s="138"/>
    </row>
    <row r="246" spans="1:33" x14ac:dyDescent="0.25">
      <c r="A246" s="70" t="e">
        <f>'Date Calcs'!#REF!</f>
        <v>#REF!</v>
      </c>
      <c r="B246" s="71" t="e">
        <f>'Date Calcs'!#REF!</f>
        <v>#REF!</v>
      </c>
      <c r="C246" s="72" t="e">
        <f>'Date Calcs'!#REF!</f>
        <v>#REF!</v>
      </c>
      <c r="D246" s="73" t="e">
        <f t="shared" si="144"/>
        <v>#REF!</v>
      </c>
      <c r="E246" s="66" t="s">
        <v>67</v>
      </c>
      <c r="F246" s="73" t="e">
        <f>'Date Calcs'!#REF!</f>
        <v>#REF!</v>
      </c>
      <c r="G246" s="73" t="e">
        <f>IF(VLOOKUP(A246,'Actual Dates'!A4:AF374,8,),'Actual Dates'!#REF!,"")</f>
        <v>#REF!</v>
      </c>
      <c r="H246" s="73" t="e">
        <f t="shared" si="145"/>
        <v>#REF!</v>
      </c>
      <c r="I246" s="73" t="e">
        <f>IF(VLOOKUP(A246,'Actual Dates'!A4:AF369,25,),'Actual Dates'!#REF!,"")</f>
        <v>#REF!</v>
      </c>
      <c r="J246" s="73" t="e">
        <f t="shared" si="146"/>
        <v>#REF!</v>
      </c>
      <c r="K246" s="73" t="e">
        <f>IF(VLOOKUP(A246,'Actual Dates'!A4:AF397,26,),'Actual Dates'!#REF!,"")</f>
        <v>#REF!</v>
      </c>
      <c r="L246" s="73" t="e">
        <f>IF(VLOOKUP(A246,'Actual Dates'!A4:AF397,21,),'Actual Dates'!#REF!,"")</f>
        <v>#REF!</v>
      </c>
      <c r="M246" s="73" t="e">
        <f>'Date Calcs'!#REF!</f>
        <v>#REF!</v>
      </c>
      <c r="N246" s="73" t="e">
        <f>IF(VLOOKUP(A246,'Actual Dates'!A4:AF397,27,),'Actual Dates'!#REF!,"")</f>
        <v>#REF!</v>
      </c>
      <c r="O246" s="74" t="e">
        <f t="shared" si="147"/>
        <v>#REF!</v>
      </c>
      <c r="P246" s="75" t="e">
        <f t="shared" si="148"/>
        <v>#REF!</v>
      </c>
      <c r="Q246" s="75" t="e">
        <f t="shared" si="149"/>
        <v>#REF!</v>
      </c>
      <c r="R246" s="132"/>
      <c r="S246" s="133"/>
      <c r="AD246" s="6" t="s">
        <v>125</v>
      </c>
      <c r="AE246" s="79" t="e">
        <f>SUM(AC247,AC249)</f>
        <v>#REF!</v>
      </c>
      <c r="AF246" s="79">
        <v>2</v>
      </c>
      <c r="AG246" s="139" t="e">
        <f>AF246/AE246</f>
        <v>#REF!</v>
      </c>
    </row>
    <row r="247" spans="1:33" x14ac:dyDescent="0.25">
      <c r="A247" s="70" t="e">
        <f>'Date Calcs'!#REF!</f>
        <v>#REF!</v>
      </c>
      <c r="B247" s="71" t="e">
        <f>'Date Calcs'!#REF!</f>
        <v>#REF!</v>
      </c>
      <c r="C247" s="72" t="e">
        <f>'Date Calcs'!#REF!</f>
        <v>#REF!</v>
      </c>
      <c r="D247" s="73" t="e">
        <f t="shared" si="144"/>
        <v>#REF!</v>
      </c>
      <c r="E247" s="66" t="s">
        <v>67</v>
      </c>
      <c r="F247" s="73" t="e">
        <f>'Date Calcs'!#REF!</f>
        <v>#REF!</v>
      </c>
      <c r="G247" s="73" t="e">
        <f>IF(VLOOKUP(A247,'Actual Dates'!A4:AF375,8,),'Actual Dates'!#REF!,"")</f>
        <v>#REF!</v>
      </c>
      <c r="H247" s="73" t="e">
        <f t="shared" si="145"/>
        <v>#REF!</v>
      </c>
      <c r="I247" s="73" t="e">
        <f>IF(VLOOKUP(A247,'Actual Dates'!A4:AF370,25,),'Actual Dates'!#REF!,"")</f>
        <v>#REF!</v>
      </c>
      <c r="J247" s="73" t="e">
        <f t="shared" si="146"/>
        <v>#REF!</v>
      </c>
      <c r="K247" s="73" t="e">
        <f>IF(VLOOKUP(A247,'Actual Dates'!A4:AF398,26,),'Actual Dates'!#REF!,"")</f>
        <v>#REF!</v>
      </c>
      <c r="L247" s="73" t="e">
        <f>IF(VLOOKUP(A247,'Actual Dates'!A4:AF398,21,),'Actual Dates'!#REF!,"")</f>
        <v>#REF!</v>
      </c>
      <c r="M247" s="73" t="e">
        <f>'Date Calcs'!#REF!</f>
        <v>#REF!</v>
      </c>
      <c r="N247" s="73" t="e">
        <f>IF(VLOOKUP(A247,'Actual Dates'!A4:AF398,27,),'Actual Dates'!#REF!,"")</f>
        <v>#REF!</v>
      </c>
      <c r="O247" s="74" t="e">
        <f t="shared" si="147"/>
        <v>#REF!</v>
      </c>
      <c r="P247" s="75" t="e">
        <f t="shared" si="148"/>
        <v>#REF!</v>
      </c>
      <c r="Q247" s="75" t="e">
        <f t="shared" si="149"/>
        <v>#REF!</v>
      </c>
      <c r="R247" s="132"/>
      <c r="S247" s="133"/>
      <c r="AC247" t="e">
        <f t="shared" si="143"/>
        <v>#REF!</v>
      </c>
      <c r="AD247" s="6" t="s">
        <v>125</v>
      </c>
      <c r="AE247" s="79"/>
      <c r="AF247" s="79"/>
      <c r="AG247" s="139"/>
    </row>
    <row r="248" spans="1:33" x14ac:dyDescent="0.25">
      <c r="A248" s="70" t="e">
        <f>'Date Calcs'!#REF!</f>
        <v>#REF!</v>
      </c>
      <c r="B248" s="71" t="e">
        <f>'Date Calcs'!#REF!</f>
        <v>#REF!</v>
      </c>
      <c r="C248" s="72" t="e">
        <f>'Date Calcs'!#REF!</f>
        <v>#REF!</v>
      </c>
      <c r="D248" s="73" t="e">
        <f t="shared" ref="D248:D249" si="150">WORKDAY(F248,-1,)</f>
        <v>#REF!</v>
      </c>
      <c r="E248" s="66"/>
      <c r="F248" s="73" t="e">
        <f>'Date Calcs'!#REF!</f>
        <v>#REF!</v>
      </c>
      <c r="G248" s="73" t="e">
        <f>IF(VLOOKUP(A248,'Actual Dates'!A4:AF376,8,),'Actual Dates'!#REF!,"")</f>
        <v>#REF!</v>
      </c>
      <c r="H248" s="73" t="e">
        <f t="shared" ref="H248:H259" si="151">WORKDAY(L248,3,)</f>
        <v>#REF!</v>
      </c>
      <c r="I248" s="73" t="e">
        <f>IF(VLOOKUP(A248,'Actual Dates'!A4:AF371,25,),'Actual Dates'!#REF!,"")</f>
        <v>#REF!</v>
      </c>
      <c r="J248" s="73" t="e">
        <f t="shared" ref="J248:J249" si="152">WORKDAY(L248,4,)</f>
        <v>#REF!</v>
      </c>
      <c r="K248" s="73" t="e">
        <f>IF(VLOOKUP(A248,'Actual Dates'!A4:AF399,26,),'Actual Dates'!#REF!,"")</f>
        <v>#REF!</v>
      </c>
      <c r="L248" s="73" t="e">
        <f>IF(VLOOKUP(A248,'Actual Dates'!A4:AF399,21,),'Actual Dates'!#REF!,"")</f>
        <v>#REF!</v>
      </c>
      <c r="M248" s="73" t="e">
        <f>'Date Calcs'!#REF!</f>
        <v>#REF!</v>
      </c>
      <c r="N248" s="73" t="e">
        <f>IF(VLOOKUP(A248,'Actual Dates'!A4:AF399,27,),'Actual Dates'!#REF!,"")</f>
        <v>#REF!</v>
      </c>
      <c r="O248" s="74" t="e">
        <f t="shared" ref="O248:O249" si="153">N248-C248</f>
        <v>#REF!</v>
      </c>
      <c r="P248" s="75" t="e">
        <f t="shared" ref="P248:P249" si="154">F248-G248</f>
        <v>#REF!</v>
      </c>
      <c r="Q248" s="75" t="e">
        <f t="shared" ref="Q248:Q249" si="155">M248-N248</f>
        <v>#REF!</v>
      </c>
      <c r="R248" s="132"/>
      <c r="S248" s="133"/>
      <c r="AC248" t="e">
        <f t="shared" si="143"/>
        <v>#REF!</v>
      </c>
      <c r="AD248" s="6" t="s">
        <v>139</v>
      </c>
      <c r="AE248" s="79" t="e">
        <f>AC248</f>
        <v>#REF!</v>
      </c>
      <c r="AF248" s="79">
        <v>1</v>
      </c>
      <c r="AG248" s="92" t="e">
        <f>AF248/AE248</f>
        <v>#REF!</v>
      </c>
    </row>
    <row r="249" spans="1:33" x14ac:dyDescent="0.25">
      <c r="A249" s="70" t="e">
        <f>'Date Calcs'!#REF!</f>
        <v>#REF!</v>
      </c>
      <c r="B249" s="71" t="e">
        <f>'Date Calcs'!#REF!</f>
        <v>#REF!</v>
      </c>
      <c r="C249" s="72" t="e">
        <f>'Date Calcs'!#REF!</f>
        <v>#REF!</v>
      </c>
      <c r="D249" s="73" t="e">
        <f t="shared" si="150"/>
        <v>#REF!</v>
      </c>
      <c r="E249" s="66"/>
      <c r="F249" s="73" t="e">
        <f>'Date Calcs'!#REF!</f>
        <v>#REF!</v>
      </c>
      <c r="G249" s="73" t="e">
        <f>IF(VLOOKUP(A249,'Actual Dates'!A4:AF377,8,),'Actual Dates'!#REF!,"")</f>
        <v>#REF!</v>
      </c>
      <c r="H249" s="73" t="e">
        <f t="shared" si="151"/>
        <v>#REF!</v>
      </c>
      <c r="I249" s="73" t="e">
        <f>IF(VLOOKUP(A249,'Actual Dates'!A4:AF372,25,),'Actual Dates'!#REF!,"")</f>
        <v>#REF!</v>
      </c>
      <c r="J249" s="73" t="e">
        <f t="shared" si="152"/>
        <v>#REF!</v>
      </c>
      <c r="K249" s="73" t="e">
        <f>IF(VLOOKUP(A249,'Actual Dates'!A4:AF400,26,),'Actual Dates'!#REF!,"")</f>
        <v>#REF!</v>
      </c>
      <c r="L249" s="73" t="e">
        <f>IF(VLOOKUP(A249,'Actual Dates'!A4:AF400,21,),'Actual Dates'!#REF!,"")</f>
        <v>#REF!</v>
      </c>
      <c r="M249" s="73" t="e">
        <f>'Date Calcs'!#REF!</f>
        <v>#REF!</v>
      </c>
      <c r="N249" s="73" t="e">
        <f>IF(VLOOKUP(A249,'Actual Dates'!A4:AF400,27,),'Actual Dates'!#REF!,"")</f>
        <v>#REF!</v>
      </c>
      <c r="O249" s="74" t="e">
        <f t="shared" si="153"/>
        <v>#REF!</v>
      </c>
      <c r="P249" s="75" t="e">
        <f t="shared" si="154"/>
        <v>#REF!</v>
      </c>
      <c r="Q249" s="75" t="e">
        <f t="shared" si="155"/>
        <v>#REF!</v>
      </c>
      <c r="R249" s="132"/>
      <c r="S249" s="133"/>
      <c r="AC249" t="e">
        <f t="shared" si="143"/>
        <v>#REF!</v>
      </c>
      <c r="AD249" s="6" t="s">
        <v>125</v>
      </c>
      <c r="AE249" s="79"/>
      <c r="AF249" s="79"/>
      <c r="AG249" s="91"/>
    </row>
    <row r="250" spans="1:33" x14ac:dyDescent="0.25">
      <c r="A250" s="70" t="e">
        <f>'Date Calcs'!#REF!</f>
        <v>#REF!</v>
      </c>
      <c r="B250" s="71" t="e">
        <f>'Date Calcs'!#REF!</f>
        <v>#REF!</v>
      </c>
      <c r="C250" s="72" t="e">
        <f>'Date Calcs'!#REF!</f>
        <v>#REF!</v>
      </c>
      <c r="D250" s="73" t="e">
        <f t="shared" ref="D250:D252" si="156">WORKDAY(F250,-1,)</f>
        <v>#REF!</v>
      </c>
      <c r="E250" s="66">
        <v>44279</v>
      </c>
      <c r="F250" s="73" t="e">
        <f>'Date Calcs'!#REF!</f>
        <v>#REF!</v>
      </c>
      <c r="G250" s="73" t="e">
        <f>IF(VLOOKUP(A250,'Actual Dates'!A4:AF378,8,),'Actual Dates'!#REF!,"")</f>
        <v>#REF!</v>
      </c>
      <c r="H250" s="73" t="e">
        <f t="shared" si="151"/>
        <v>#REF!</v>
      </c>
      <c r="I250" s="73" t="e">
        <f>IF(VLOOKUP(A250,'Actual Dates'!A4:AF373,25,),'Actual Dates'!#REF!,"")</f>
        <v>#REF!</v>
      </c>
      <c r="J250" s="73" t="e">
        <f t="shared" ref="J250:J252" si="157">WORKDAY(L250,4,)</f>
        <v>#REF!</v>
      </c>
      <c r="K250" s="73" t="e">
        <f>IF(VLOOKUP(A250,'Actual Dates'!A4:AF401,26,),'Actual Dates'!#REF!,"")</f>
        <v>#REF!</v>
      </c>
      <c r="L250" s="73" t="e">
        <f>IF(VLOOKUP(A250,'Actual Dates'!A4:AF401,21,),'Actual Dates'!#REF!,"")</f>
        <v>#REF!</v>
      </c>
      <c r="M250" s="73" t="e">
        <f>'Date Calcs'!#REF!</f>
        <v>#REF!</v>
      </c>
      <c r="N250" s="73" t="e">
        <f>IF(VLOOKUP(A250,'Actual Dates'!A4:AF401,27,),'Actual Dates'!#REF!,"")</f>
        <v>#REF!</v>
      </c>
      <c r="O250" s="74" t="e">
        <f t="shared" ref="O250:O252" si="158">N250-C250</f>
        <v>#REF!</v>
      </c>
      <c r="P250" s="75" t="e">
        <f t="shared" ref="P250:P252" si="159">F250-G250</f>
        <v>#REF!</v>
      </c>
      <c r="Q250" s="75" t="e">
        <f t="shared" ref="Q250:Q252" si="160">M250-N250</f>
        <v>#REF!</v>
      </c>
      <c r="R250" s="132"/>
      <c r="S250" s="133"/>
      <c r="AC250" t="e">
        <f t="shared" si="143"/>
        <v>#REF!</v>
      </c>
      <c r="AD250" s="6" t="s">
        <v>139</v>
      </c>
      <c r="AE250" s="79">
        <v>1</v>
      </c>
      <c r="AF250" s="79">
        <v>1</v>
      </c>
      <c r="AG250" s="92"/>
    </row>
    <row r="251" spans="1:33" x14ac:dyDescent="0.25">
      <c r="A251" s="70" t="e">
        <f>'Date Calcs'!#REF!</f>
        <v>#REF!</v>
      </c>
      <c r="B251" s="71" t="e">
        <f>'Date Calcs'!#REF!</f>
        <v>#REF!</v>
      </c>
      <c r="C251" s="72" t="e">
        <f>'Date Calcs'!#REF!</f>
        <v>#REF!</v>
      </c>
      <c r="D251" s="73" t="e">
        <f t="shared" si="156"/>
        <v>#REF!</v>
      </c>
      <c r="E251" s="66"/>
      <c r="F251" s="73" t="e">
        <f>'Date Calcs'!#REF!</f>
        <v>#REF!</v>
      </c>
      <c r="G251" s="73" t="e">
        <f>IF(VLOOKUP(A251,'Actual Dates'!A4:AF379,8,),'Actual Dates'!#REF!,"")</f>
        <v>#REF!</v>
      </c>
      <c r="H251" s="73" t="e">
        <f t="shared" si="151"/>
        <v>#REF!</v>
      </c>
      <c r="I251" s="73" t="e">
        <f>IF(VLOOKUP(A251,'Actual Dates'!A4:AF374,25,),'Actual Dates'!#REF!,"")</f>
        <v>#REF!</v>
      </c>
      <c r="J251" s="73" t="e">
        <f t="shared" si="157"/>
        <v>#REF!</v>
      </c>
      <c r="K251" s="73" t="e">
        <f>IF(VLOOKUP(A251,'Actual Dates'!A4:AF402,26,),'Actual Dates'!#REF!,"")</f>
        <v>#REF!</v>
      </c>
      <c r="L251" s="73" t="e">
        <f>IF(VLOOKUP(A251,'Actual Dates'!A4:AF402,21,),'Actual Dates'!#REF!,"")</f>
        <v>#REF!</v>
      </c>
      <c r="M251" s="73" t="e">
        <f>'Date Calcs'!#REF!</f>
        <v>#REF!</v>
      </c>
      <c r="N251" s="73" t="e">
        <f>IF(VLOOKUP(A251,'Actual Dates'!A4:AF402,27,),'Actual Dates'!#REF!,"")</f>
        <v>#REF!</v>
      </c>
      <c r="O251" s="74" t="e">
        <f t="shared" si="158"/>
        <v>#REF!</v>
      </c>
      <c r="P251" s="75" t="e">
        <f t="shared" si="159"/>
        <v>#REF!</v>
      </c>
      <c r="Q251" s="75" t="e">
        <f t="shared" si="160"/>
        <v>#REF!</v>
      </c>
      <c r="R251" s="132"/>
      <c r="S251" s="133"/>
      <c r="AE251" s="79"/>
      <c r="AF251" s="79"/>
      <c r="AG251" s="92"/>
    </row>
    <row r="252" spans="1:33" x14ac:dyDescent="0.25">
      <c r="A252" s="70" t="e">
        <f>'Date Calcs'!#REF!</f>
        <v>#REF!</v>
      </c>
      <c r="B252" s="71" t="e">
        <f>'Date Calcs'!#REF!</f>
        <v>#REF!</v>
      </c>
      <c r="C252" s="72" t="e">
        <f>'Date Calcs'!#REF!</f>
        <v>#REF!</v>
      </c>
      <c r="D252" s="73" t="e">
        <f t="shared" si="156"/>
        <v>#REF!</v>
      </c>
      <c r="E252" s="66"/>
      <c r="F252" s="73" t="e">
        <f>'Date Calcs'!#REF!</f>
        <v>#REF!</v>
      </c>
      <c r="G252" s="73" t="e">
        <f>IF(VLOOKUP(A252,'Actual Dates'!A4:AF380,8,),'Actual Dates'!#REF!,"")</f>
        <v>#REF!</v>
      </c>
      <c r="H252" s="73" t="e">
        <f t="shared" si="151"/>
        <v>#REF!</v>
      </c>
      <c r="I252" s="73" t="e">
        <f>IF(VLOOKUP(A252,'Actual Dates'!A4:AF375,25,),'Actual Dates'!#REF!,"")</f>
        <v>#REF!</v>
      </c>
      <c r="J252" s="73" t="e">
        <f t="shared" si="157"/>
        <v>#REF!</v>
      </c>
      <c r="K252" s="73" t="e">
        <f>IF(VLOOKUP(A252,'Actual Dates'!A4:AF403,26,),'Actual Dates'!#REF!,"")</f>
        <v>#REF!</v>
      </c>
      <c r="L252" s="73" t="e">
        <f>IF(VLOOKUP(A252,'Actual Dates'!A4:AF403,21,),'Actual Dates'!#REF!,"")</f>
        <v>#REF!</v>
      </c>
      <c r="M252" s="73" t="e">
        <f>'Date Calcs'!#REF!</f>
        <v>#REF!</v>
      </c>
      <c r="N252" s="73" t="e">
        <f>IF(VLOOKUP(A252,'Actual Dates'!A4:AF403,27,),'Actual Dates'!#REF!,"")</f>
        <v>#REF!</v>
      </c>
      <c r="O252" s="74" t="e">
        <f t="shared" si="158"/>
        <v>#REF!</v>
      </c>
      <c r="P252" s="75" t="e">
        <f t="shared" si="159"/>
        <v>#REF!</v>
      </c>
      <c r="Q252" s="75" t="e">
        <f t="shared" si="160"/>
        <v>#REF!</v>
      </c>
      <c r="R252" s="132"/>
      <c r="S252" s="133"/>
      <c r="AE252" s="79"/>
      <c r="AF252" s="79"/>
      <c r="AG252" s="92"/>
    </row>
    <row r="253" spans="1:33" x14ac:dyDescent="0.25">
      <c r="A253" s="70" t="e">
        <f>'Date Calcs'!#REF!</f>
        <v>#REF!</v>
      </c>
      <c r="B253" s="71" t="e">
        <f>'Date Calcs'!#REF!</f>
        <v>#REF!</v>
      </c>
      <c r="C253" s="72" t="e">
        <f>'Date Calcs'!#REF!</f>
        <v>#REF!</v>
      </c>
      <c r="D253" s="73" t="e">
        <f t="shared" ref="D253:D258" si="161">WORKDAY(F253,-1,)</f>
        <v>#REF!</v>
      </c>
      <c r="E253" s="66">
        <v>44280</v>
      </c>
      <c r="F253" s="73" t="e">
        <f>'Date Calcs'!#REF!</f>
        <v>#REF!</v>
      </c>
      <c r="G253" s="73" t="e">
        <f>IF(VLOOKUP(A253,'Actual Dates'!A4:AF381,8,),'Actual Dates'!#REF!,"")</f>
        <v>#REF!</v>
      </c>
      <c r="H253" s="73" t="e">
        <f t="shared" si="151"/>
        <v>#REF!</v>
      </c>
      <c r="I253" s="73" t="e">
        <f>IF(VLOOKUP(A253,'Actual Dates'!A4:AF376,25,),'Actual Dates'!#REF!,"")</f>
        <v>#REF!</v>
      </c>
      <c r="J253" s="73" t="e">
        <f t="shared" ref="J253:J258" si="162">WORKDAY(L253,4,)</f>
        <v>#REF!</v>
      </c>
      <c r="K253" s="73" t="e">
        <f>IF(VLOOKUP(A253,'Actual Dates'!A4:AF404,26,),'Actual Dates'!#REF!,"")</f>
        <v>#REF!</v>
      </c>
      <c r="L253" s="73" t="e">
        <f>IF(VLOOKUP(A253,'Actual Dates'!A4:AF404,21,),'Actual Dates'!#REF!,"")</f>
        <v>#REF!</v>
      </c>
      <c r="M253" s="73" t="e">
        <f>'Date Calcs'!#REF!</f>
        <v>#REF!</v>
      </c>
      <c r="N253" s="73" t="e">
        <f>IF(VLOOKUP(A253,'Actual Dates'!A4:AF404,27,),'Actual Dates'!#REF!,"")</f>
        <v>#REF!</v>
      </c>
      <c r="O253" s="74" t="e">
        <f t="shared" ref="O253:O258" si="163">N253-C253</f>
        <v>#REF!</v>
      </c>
      <c r="P253" s="75" t="e">
        <f t="shared" ref="P253:P258" si="164">F253-G253</f>
        <v>#REF!</v>
      </c>
      <c r="Q253" s="75" t="e">
        <f t="shared" ref="Q253:Q258" si="165">M253-N253</f>
        <v>#REF!</v>
      </c>
      <c r="R253" s="132"/>
      <c r="S253" s="133"/>
      <c r="AE253" s="79"/>
      <c r="AF253" s="79"/>
      <c r="AG253" s="92"/>
    </row>
    <row r="254" spans="1:33" x14ac:dyDescent="0.25">
      <c r="A254" s="70" t="e">
        <f>'Date Calcs'!#REF!</f>
        <v>#REF!</v>
      </c>
      <c r="B254" s="71" t="e">
        <f>'Date Calcs'!#REF!</f>
        <v>#REF!</v>
      </c>
      <c r="C254" s="72" t="e">
        <f>'Date Calcs'!#REF!</f>
        <v>#REF!</v>
      </c>
      <c r="D254" s="73" t="e">
        <f t="shared" si="161"/>
        <v>#REF!</v>
      </c>
      <c r="E254" s="66"/>
      <c r="F254" s="73" t="e">
        <f>'Date Calcs'!#REF!</f>
        <v>#REF!</v>
      </c>
      <c r="G254" s="73" t="e">
        <f>IF(VLOOKUP(A254,'Actual Dates'!A4:AF382,8,),'Actual Dates'!#REF!,"")</f>
        <v>#REF!</v>
      </c>
      <c r="H254" s="73" t="e">
        <f t="shared" si="151"/>
        <v>#REF!</v>
      </c>
      <c r="I254" s="73" t="e">
        <f>IF(VLOOKUP(A254,'Actual Dates'!A4:AF377,25,),'Actual Dates'!#REF!,"")</f>
        <v>#REF!</v>
      </c>
      <c r="J254" s="73" t="e">
        <f t="shared" si="162"/>
        <v>#REF!</v>
      </c>
      <c r="K254" s="73" t="e">
        <f>IF(VLOOKUP(A254,'Actual Dates'!A4:AF405,26,),'Actual Dates'!#REF!,"")</f>
        <v>#REF!</v>
      </c>
      <c r="L254" s="73" t="e">
        <f>IF(VLOOKUP(A254,'Actual Dates'!A4:AF405,21,),'Actual Dates'!#REF!,"")</f>
        <v>#REF!</v>
      </c>
      <c r="M254" s="73" t="e">
        <f>'Date Calcs'!#REF!</f>
        <v>#REF!</v>
      </c>
      <c r="N254" s="73" t="e">
        <f>IF(VLOOKUP(A254,'Actual Dates'!A4:AF405,27,),'Actual Dates'!#REF!,"")</f>
        <v>#REF!</v>
      </c>
      <c r="O254" s="74" t="e">
        <f t="shared" si="163"/>
        <v>#REF!</v>
      </c>
      <c r="P254" s="75" t="e">
        <f t="shared" si="164"/>
        <v>#REF!</v>
      </c>
      <c r="Q254" s="75" t="e">
        <f t="shared" si="165"/>
        <v>#REF!</v>
      </c>
      <c r="R254" s="132"/>
      <c r="S254" s="133"/>
      <c r="AE254" s="79"/>
      <c r="AF254" s="79"/>
      <c r="AG254" s="92"/>
    </row>
    <row r="255" spans="1:33" x14ac:dyDescent="0.25">
      <c r="A255" s="70" t="e">
        <f>'Date Calcs'!#REF!</f>
        <v>#REF!</v>
      </c>
      <c r="B255" s="71" t="e">
        <f>'Date Calcs'!#REF!</f>
        <v>#REF!</v>
      </c>
      <c r="C255" s="72" t="e">
        <f>'Date Calcs'!#REF!</f>
        <v>#REF!</v>
      </c>
      <c r="D255" s="73" t="e">
        <f t="shared" si="161"/>
        <v>#REF!</v>
      </c>
      <c r="E255" s="66">
        <v>44303</v>
      </c>
      <c r="F255" s="73" t="e">
        <f>'Date Calcs'!#REF!</f>
        <v>#REF!</v>
      </c>
      <c r="G255" s="73" t="e">
        <f>IF(VLOOKUP(A255,'Actual Dates'!A4:AF383,8,),'Actual Dates'!#REF!,"")</f>
        <v>#REF!</v>
      </c>
      <c r="H255" s="73" t="e">
        <f t="shared" si="151"/>
        <v>#REF!</v>
      </c>
      <c r="I255" s="73" t="e">
        <f>IF(VLOOKUP(A255,'Actual Dates'!A4:AF378,25,),'Actual Dates'!#REF!,"")</f>
        <v>#REF!</v>
      </c>
      <c r="J255" s="73" t="e">
        <f t="shared" si="162"/>
        <v>#REF!</v>
      </c>
      <c r="K255" s="73" t="e">
        <f>IF(VLOOKUP(A255,'Actual Dates'!A4:AF406,26,),'Actual Dates'!#REF!,"")</f>
        <v>#REF!</v>
      </c>
      <c r="L255" s="73" t="e">
        <f>IF(VLOOKUP(A255,'Actual Dates'!A4:AF406,21,),'Actual Dates'!#REF!,"")</f>
        <v>#REF!</v>
      </c>
      <c r="M255" s="73" t="e">
        <f>'Date Calcs'!#REF!</f>
        <v>#REF!</v>
      </c>
      <c r="N255" s="73" t="e">
        <f>IF(VLOOKUP(A255,'Actual Dates'!A4:AF406,27,),'Actual Dates'!#REF!,"")</f>
        <v>#REF!</v>
      </c>
      <c r="O255" s="74" t="e">
        <f t="shared" si="163"/>
        <v>#REF!</v>
      </c>
      <c r="P255" s="75" t="e">
        <f t="shared" si="164"/>
        <v>#REF!</v>
      </c>
      <c r="Q255" s="75" t="e">
        <f t="shared" si="165"/>
        <v>#REF!</v>
      </c>
      <c r="R255" s="132"/>
      <c r="S255" s="133"/>
      <c r="AE255" s="79"/>
      <c r="AF255" s="79"/>
      <c r="AG255" s="92"/>
    </row>
    <row r="256" spans="1:33" x14ac:dyDescent="0.25">
      <c r="A256" s="70" t="e">
        <f>'Date Calcs'!#REF!</f>
        <v>#REF!</v>
      </c>
      <c r="B256" s="71" t="e">
        <f>'Date Calcs'!#REF!</f>
        <v>#REF!</v>
      </c>
      <c r="C256" s="72" t="e">
        <f>'Date Calcs'!#REF!</f>
        <v>#REF!</v>
      </c>
      <c r="D256" s="73" t="e">
        <f t="shared" si="161"/>
        <v>#REF!</v>
      </c>
      <c r="E256" s="66">
        <v>44281</v>
      </c>
      <c r="F256" s="73" t="e">
        <f>'Date Calcs'!#REF!</f>
        <v>#REF!</v>
      </c>
      <c r="G256" s="73" t="e">
        <f>IF(VLOOKUP(A256,'Actual Dates'!A4:AF384,8,),'Actual Dates'!#REF!,"")</f>
        <v>#REF!</v>
      </c>
      <c r="H256" s="73" t="e">
        <f t="shared" si="151"/>
        <v>#REF!</v>
      </c>
      <c r="I256" s="73" t="e">
        <f>IF(VLOOKUP(A256,'Actual Dates'!A4:AF379,25,),'Actual Dates'!#REF!,"")</f>
        <v>#REF!</v>
      </c>
      <c r="J256" s="73" t="e">
        <f t="shared" si="162"/>
        <v>#REF!</v>
      </c>
      <c r="K256" s="73" t="e">
        <f>IF(VLOOKUP(A256,'Actual Dates'!A4:AF407,26,),'Actual Dates'!#REF!,"")</f>
        <v>#REF!</v>
      </c>
      <c r="L256" s="73" t="e">
        <f>IF(VLOOKUP(A256,'Actual Dates'!A4:AF407,21,),'Actual Dates'!#REF!,"")</f>
        <v>#REF!</v>
      </c>
      <c r="M256" s="73" t="e">
        <f>'Date Calcs'!#REF!</f>
        <v>#REF!</v>
      </c>
      <c r="N256" s="73" t="e">
        <f>IF(VLOOKUP(A256,'Actual Dates'!A4:AF407,27,),'Actual Dates'!#REF!,"")</f>
        <v>#REF!</v>
      </c>
      <c r="O256" s="74" t="e">
        <f t="shared" si="163"/>
        <v>#REF!</v>
      </c>
      <c r="P256" s="75" t="e">
        <f t="shared" si="164"/>
        <v>#REF!</v>
      </c>
      <c r="Q256" s="75" t="e">
        <f t="shared" si="165"/>
        <v>#REF!</v>
      </c>
      <c r="R256" s="132"/>
      <c r="S256" s="133"/>
      <c r="AE256" s="79"/>
      <c r="AF256" s="79"/>
      <c r="AG256" s="92"/>
    </row>
    <row r="257" spans="1:33" x14ac:dyDescent="0.25">
      <c r="A257" s="70" t="e">
        <f>'Date Calcs'!#REF!</f>
        <v>#REF!</v>
      </c>
      <c r="B257" s="71" t="e">
        <f>'Date Calcs'!#REF!</f>
        <v>#REF!</v>
      </c>
      <c r="C257" s="72" t="e">
        <f>'Date Calcs'!#REF!</f>
        <v>#REF!</v>
      </c>
      <c r="D257" s="73" t="e">
        <f t="shared" si="161"/>
        <v>#REF!</v>
      </c>
      <c r="E257" s="66"/>
      <c r="F257" s="73" t="e">
        <f>'Date Calcs'!#REF!</f>
        <v>#REF!</v>
      </c>
      <c r="G257" s="73" t="e">
        <f>IF(VLOOKUP(A257,'Actual Dates'!A4:AF385,8,),'Actual Dates'!#REF!,"")</f>
        <v>#REF!</v>
      </c>
      <c r="H257" s="73" t="e">
        <f t="shared" si="151"/>
        <v>#REF!</v>
      </c>
      <c r="I257" s="73" t="e">
        <f>IF(VLOOKUP(A257,'Actual Dates'!A4:AF380,25,),'Actual Dates'!#REF!,"")</f>
        <v>#REF!</v>
      </c>
      <c r="J257" s="73" t="e">
        <f t="shared" si="162"/>
        <v>#REF!</v>
      </c>
      <c r="K257" s="73" t="e">
        <f>IF(VLOOKUP(A257,'Actual Dates'!A4:AF408,26,),'Actual Dates'!#REF!,"")</f>
        <v>#REF!</v>
      </c>
      <c r="L257" s="73" t="e">
        <f>IF(VLOOKUP(A257,'Actual Dates'!A4:AF408,21,),'Actual Dates'!#REF!,"")</f>
        <v>#REF!</v>
      </c>
      <c r="M257" s="73" t="e">
        <f>'Date Calcs'!#REF!</f>
        <v>#REF!</v>
      </c>
      <c r="N257" s="73" t="e">
        <f>IF(VLOOKUP(A257,'Actual Dates'!A4:AF408,27,),'Actual Dates'!#REF!,"")</f>
        <v>#REF!</v>
      </c>
      <c r="O257" s="74" t="e">
        <f t="shared" si="163"/>
        <v>#REF!</v>
      </c>
      <c r="P257" s="75" t="e">
        <f t="shared" si="164"/>
        <v>#REF!</v>
      </c>
      <c r="Q257" s="75" t="e">
        <f t="shared" si="165"/>
        <v>#REF!</v>
      </c>
      <c r="R257" s="132"/>
      <c r="S257" s="133"/>
      <c r="AF257" s="79"/>
      <c r="AG257" s="92"/>
    </row>
    <row r="258" spans="1:33" x14ac:dyDescent="0.25">
      <c r="A258" s="70" t="e">
        <f>'Date Calcs'!#REF!</f>
        <v>#REF!</v>
      </c>
      <c r="B258" s="71" t="e">
        <f>'Date Calcs'!#REF!</f>
        <v>#REF!</v>
      </c>
      <c r="C258" s="72" t="e">
        <f>'Date Calcs'!#REF!</f>
        <v>#REF!</v>
      </c>
      <c r="D258" s="73" t="e">
        <f t="shared" si="161"/>
        <v>#REF!</v>
      </c>
      <c r="E258" s="66">
        <v>44333</v>
      </c>
      <c r="F258" s="73" t="e">
        <f>'Date Calcs'!#REF!</f>
        <v>#REF!</v>
      </c>
      <c r="G258" s="73" t="e">
        <f>IF(VLOOKUP(A258,'Actual Dates'!A4:AF386,8,),'Actual Dates'!#REF!,"")</f>
        <v>#REF!</v>
      </c>
      <c r="H258" s="73" t="e">
        <f t="shared" si="151"/>
        <v>#REF!</v>
      </c>
      <c r="I258" s="73" t="e">
        <f>IF(VLOOKUP(A258,'Actual Dates'!A4:AF381,25,),'Actual Dates'!#REF!,"")</f>
        <v>#REF!</v>
      </c>
      <c r="J258" s="73" t="e">
        <f t="shared" si="162"/>
        <v>#REF!</v>
      </c>
      <c r="K258" s="73" t="e">
        <f>IF(VLOOKUP(A258,'Actual Dates'!A4:AF409,26,),'Actual Dates'!#REF!,"")</f>
        <v>#REF!</v>
      </c>
      <c r="L258" s="73" t="e">
        <f>IF(VLOOKUP(A258,'Actual Dates'!A4:AF409,21,),'Actual Dates'!#REF!,"")</f>
        <v>#REF!</v>
      </c>
      <c r="M258" s="73" t="e">
        <f>'Date Calcs'!#REF!</f>
        <v>#REF!</v>
      </c>
      <c r="N258" s="73" t="e">
        <f>IF(VLOOKUP(A258,'Actual Dates'!A4:AF409,27,),'Actual Dates'!#REF!,"")</f>
        <v>#REF!</v>
      </c>
      <c r="O258" s="74" t="e">
        <f t="shared" si="163"/>
        <v>#REF!</v>
      </c>
      <c r="P258" s="75" t="e">
        <f t="shared" si="164"/>
        <v>#REF!</v>
      </c>
      <c r="Q258" s="75" t="e">
        <f t="shared" si="165"/>
        <v>#REF!</v>
      </c>
      <c r="R258" s="132"/>
      <c r="S258" s="133"/>
    </row>
    <row r="259" spans="1:33" x14ac:dyDescent="0.25">
      <c r="A259" s="70" t="e">
        <f>'Date Calcs'!#REF!</f>
        <v>#REF!</v>
      </c>
      <c r="B259" s="71" t="e">
        <f>'Date Calcs'!#REF!</f>
        <v>#REF!</v>
      </c>
      <c r="C259" s="72" t="e">
        <f>'Date Calcs'!#REF!</f>
        <v>#REF!</v>
      </c>
      <c r="D259" s="73" t="e">
        <f t="shared" ref="D259" si="166">WORKDAY(F259,-1,)</f>
        <v>#REF!</v>
      </c>
      <c r="E259" s="66">
        <v>44282</v>
      </c>
      <c r="F259" s="73" t="e">
        <f>'Date Calcs'!#REF!</f>
        <v>#REF!</v>
      </c>
      <c r="G259" s="73" t="e">
        <f>IF(VLOOKUP(A259,'Actual Dates'!A4:AF387,8,),'Actual Dates'!#REF!,"")</f>
        <v>#REF!</v>
      </c>
      <c r="H259" s="73" t="e">
        <f t="shared" si="151"/>
        <v>#REF!</v>
      </c>
      <c r="I259" s="73" t="e">
        <f>IF(VLOOKUP(A259,'Actual Dates'!A4:AF382,25,),'Actual Dates'!#REF!,"")</f>
        <v>#REF!</v>
      </c>
      <c r="J259" s="73" t="e">
        <f t="shared" ref="J259" si="167">WORKDAY(L259,4,)</f>
        <v>#REF!</v>
      </c>
      <c r="K259" s="73" t="e">
        <f>IF(VLOOKUP(A259,'Actual Dates'!A4:AF410,26,),'Actual Dates'!#REF!,"")</f>
        <v>#REF!</v>
      </c>
      <c r="L259" s="73" t="e">
        <f>IF(VLOOKUP(A259,'Actual Dates'!A4:AF410,21,),'Actual Dates'!#REF!,"")</f>
        <v>#REF!</v>
      </c>
      <c r="M259" s="73" t="e">
        <f>'Date Calcs'!#REF!</f>
        <v>#REF!</v>
      </c>
      <c r="N259" s="73" t="e">
        <f>IF(VLOOKUP(A259,'Actual Dates'!A4:AF410,27,),'Actual Dates'!#REF!,"")</f>
        <v>#REF!</v>
      </c>
      <c r="O259" s="74" t="e">
        <f t="shared" ref="O259" si="168">N259-C259</f>
        <v>#REF!</v>
      </c>
      <c r="P259" s="75" t="e">
        <f t="shared" ref="P259" si="169">F259-G259</f>
        <v>#REF!</v>
      </c>
      <c r="Q259" s="75" t="e">
        <f t="shared" ref="Q259" si="170">M259-N259</f>
        <v>#REF!</v>
      </c>
      <c r="R259" s="132"/>
      <c r="S259" s="133"/>
    </row>
    <row r="260" spans="1:33" x14ac:dyDescent="0.25">
      <c r="A260" s="70" t="e">
        <f>'Date Calcs'!#REF!</f>
        <v>#REF!</v>
      </c>
      <c r="B260" s="71" t="e">
        <f>'Date Calcs'!#REF!</f>
        <v>#REF!</v>
      </c>
      <c r="C260" s="72" t="e">
        <f>'Date Calcs'!#REF!</f>
        <v>#REF!</v>
      </c>
      <c r="D260" s="73" t="e">
        <f t="shared" ref="D260:D264" si="171">WORKDAY(F260,-1,)</f>
        <v>#REF!</v>
      </c>
      <c r="E260" s="66">
        <v>44283</v>
      </c>
      <c r="F260" s="73" t="e">
        <f>'Date Calcs'!#REF!</f>
        <v>#REF!</v>
      </c>
      <c r="G260" s="73" t="e">
        <f>IF(VLOOKUP(A260,'Actual Dates'!A4:AF388,8,),'Actual Dates'!#REF!,"")</f>
        <v>#REF!</v>
      </c>
      <c r="H260" s="73" t="e">
        <f t="shared" ref="H260:H264" si="172">WORKDAY(L260,3,)</f>
        <v>#REF!</v>
      </c>
      <c r="I260" s="73" t="e">
        <f>IF(VLOOKUP(A260,'Actual Dates'!A4:AF383,25,),'Actual Dates'!#REF!,"")</f>
        <v>#REF!</v>
      </c>
      <c r="J260" s="73" t="e">
        <f t="shared" ref="J260:J264" si="173">WORKDAY(L260,4,)</f>
        <v>#REF!</v>
      </c>
      <c r="K260" s="73" t="e">
        <f>IF(VLOOKUP(A260,'Actual Dates'!A4:AF411,26,),'Actual Dates'!#REF!,"")</f>
        <v>#REF!</v>
      </c>
      <c r="L260" s="73" t="e">
        <f>IF(VLOOKUP(A260,'Actual Dates'!A4:AF411,21,),'Actual Dates'!#REF!,"")</f>
        <v>#REF!</v>
      </c>
      <c r="M260" s="73" t="e">
        <f>'Date Calcs'!#REF!</f>
        <v>#REF!</v>
      </c>
      <c r="N260" s="73" t="e">
        <f>IF(VLOOKUP(A260,'Actual Dates'!A4:AF411,27,),'Actual Dates'!#REF!,"")</f>
        <v>#REF!</v>
      </c>
      <c r="O260" s="74" t="e">
        <f t="shared" ref="O260:O264" si="174">N260-C260</f>
        <v>#REF!</v>
      </c>
      <c r="P260" s="75" t="e">
        <f t="shared" ref="P260:P264" si="175">F260-G260</f>
        <v>#REF!</v>
      </c>
      <c r="Q260" s="75" t="e">
        <f t="shared" ref="Q260:Q264" si="176">M260-N260</f>
        <v>#REF!</v>
      </c>
      <c r="R260" s="132"/>
      <c r="S260" s="133"/>
    </row>
    <row r="261" spans="1:33" x14ac:dyDescent="0.25">
      <c r="A261" s="70" t="e">
        <f>'Date Calcs'!#REF!</f>
        <v>#REF!</v>
      </c>
      <c r="B261" s="71" t="e">
        <f>'Date Calcs'!#REF!</f>
        <v>#REF!</v>
      </c>
      <c r="C261" s="72" t="e">
        <f>'Date Calcs'!#REF!</f>
        <v>#REF!</v>
      </c>
      <c r="D261" s="73" t="e">
        <f t="shared" si="171"/>
        <v>#REF!</v>
      </c>
      <c r="E261" s="66">
        <v>44284</v>
      </c>
      <c r="F261" s="73" t="e">
        <f>'Date Calcs'!#REF!</f>
        <v>#REF!</v>
      </c>
      <c r="G261" s="73" t="e">
        <f>IF(VLOOKUP(A261,'Actual Dates'!A4:AF389,8,),'Actual Dates'!#REF!,"")</f>
        <v>#REF!</v>
      </c>
      <c r="H261" s="73" t="e">
        <f t="shared" si="172"/>
        <v>#REF!</v>
      </c>
      <c r="I261" s="73" t="e">
        <f>IF(VLOOKUP(A261,'Actual Dates'!A4:AF384,25,),'Actual Dates'!#REF!,"")</f>
        <v>#REF!</v>
      </c>
      <c r="J261" s="73" t="e">
        <f t="shared" si="173"/>
        <v>#REF!</v>
      </c>
      <c r="K261" s="73" t="e">
        <f>IF(VLOOKUP(A261,'Actual Dates'!A4:AF412,26,),'Actual Dates'!#REF!,"")</f>
        <v>#REF!</v>
      </c>
      <c r="L261" s="73" t="e">
        <f>IF(VLOOKUP(A261,'Actual Dates'!A4:AF412,21,),'Actual Dates'!#REF!,"")</f>
        <v>#REF!</v>
      </c>
      <c r="M261" s="73" t="e">
        <f>'Date Calcs'!#REF!</f>
        <v>#REF!</v>
      </c>
      <c r="N261" s="73" t="e">
        <f>IF(VLOOKUP(A261,'Actual Dates'!A4:AF412,27,),'Actual Dates'!#REF!,"")</f>
        <v>#REF!</v>
      </c>
      <c r="O261" s="74" t="e">
        <f t="shared" si="174"/>
        <v>#REF!</v>
      </c>
      <c r="P261" s="75" t="e">
        <f t="shared" si="175"/>
        <v>#REF!</v>
      </c>
      <c r="Q261" s="75" t="e">
        <f t="shared" si="176"/>
        <v>#REF!</v>
      </c>
      <c r="R261" s="132"/>
      <c r="S261" s="133"/>
    </row>
    <row r="262" spans="1:33" x14ac:dyDescent="0.25">
      <c r="A262" s="70" t="e">
        <f>'Date Calcs'!#REF!</f>
        <v>#REF!</v>
      </c>
      <c r="B262" s="71" t="e">
        <f>'Date Calcs'!#REF!</f>
        <v>#REF!</v>
      </c>
      <c r="C262" s="72" t="e">
        <f>'Date Calcs'!#REF!</f>
        <v>#REF!</v>
      </c>
      <c r="D262" s="73" t="e">
        <f t="shared" si="171"/>
        <v>#REF!</v>
      </c>
      <c r="E262" s="66">
        <v>44285</v>
      </c>
      <c r="F262" s="73" t="e">
        <f>'Date Calcs'!#REF!</f>
        <v>#REF!</v>
      </c>
      <c r="G262" s="73" t="e">
        <f>IF(VLOOKUP(A262,'Actual Dates'!A4:AF390,8,),'Actual Dates'!#REF!,"")</f>
        <v>#REF!</v>
      </c>
      <c r="H262" s="73" t="e">
        <f t="shared" si="172"/>
        <v>#REF!</v>
      </c>
      <c r="I262" s="73" t="e">
        <f>IF(VLOOKUP(A262,'Actual Dates'!A4:AF385,25,),'Actual Dates'!#REF!,"")</f>
        <v>#REF!</v>
      </c>
      <c r="J262" s="73" t="e">
        <f t="shared" si="173"/>
        <v>#REF!</v>
      </c>
      <c r="K262" s="73" t="e">
        <f>IF(VLOOKUP(A262,'Actual Dates'!A4:AF413,26,),'Actual Dates'!#REF!,"")</f>
        <v>#REF!</v>
      </c>
      <c r="L262" s="73" t="e">
        <f>IF(VLOOKUP(A262,'Actual Dates'!A4:AF413,21,),'Actual Dates'!#REF!,"")</f>
        <v>#REF!</v>
      </c>
      <c r="M262" s="73" t="e">
        <f>'Date Calcs'!#REF!</f>
        <v>#REF!</v>
      </c>
      <c r="N262" s="73" t="e">
        <f>IF(VLOOKUP(A262,'Actual Dates'!A4:AF413,27,),'Actual Dates'!#REF!,"")</f>
        <v>#REF!</v>
      </c>
      <c r="O262" s="74" t="e">
        <f t="shared" si="174"/>
        <v>#REF!</v>
      </c>
      <c r="P262" s="75" t="e">
        <f t="shared" si="175"/>
        <v>#REF!</v>
      </c>
      <c r="Q262" s="75" t="e">
        <f t="shared" si="176"/>
        <v>#REF!</v>
      </c>
      <c r="R262" s="132"/>
      <c r="S262" s="133"/>
    </row>
    <row r="263" spans="1:33" x14ac:dyDescent="0.25">
      <c r="A263" s="70" t="e">
        <f>'Date Calcs'!#REF!</f>
        <v>#REF!</v>
      </c>
      <c r="B263" s="71" t="e">
        <f>'Date Calcs'!#REF!</f>
        <v>#REF!</v>
      </c>
      <c r="C263" s="72" t="e">
        <f>'Date Calcs'!#REF!</f>
        <v>#REF!</v>
      </c>
      <c r="D263" s="73" t="e">
        <f t="shared" si="171"/>
        <v>#REF!</v>
      </c>
      <c r="E263" s="66">
        <v>44286</v>
      </c>
      <c r="F263" s="73" t="e">
        <f>'Date Calcs'!#REF!</f>
        <v>#REF!</v>
      </c>
      <c r="G263" s="73" t="e">
        <f>IF(VLOOKUP(A263,'Actual Dates'!A4:AF391,8,),'Actual Dates'!#REF!,"")</f>
        <v>#REF!</v>
      </c>
      <c r="H263" s="73" t="e">
        <f t="shared" si="172"/>
        <v>#REF!</v>
      </c>
      <c r="I263" s="73" t="e">
        <f>IF(VLOOKUP(A263,'Actual Dates'!A4:AF386,25,),'Actual Dates'!#REF!,"")</f>
        <v>#REF!</v>
      </c>
      <c r="J263" s="73" t="e">
        <f t="shared" si="173"/>
        <v>#REF!</v>
      </c>
      <c r="K263" s="73" t="e">
        <f>IF(VLOOKUP(A263,'Actual Dates'!A4:AF414,26,),'Actual Dates'!#REF!,"")</f>
        <v>#REF!</v>
      </c>
      <c r="L263" s="73" t="e">
        <f>IF(VLOOKUP(A263,'Actual Dates'!A4:AF414,21,),'Actual Dates'!#REF!,"")</f>
        <v>#REF!</v>
      </c>
      <c r="M263" s="73" t="e">
        <f>'Date Calcs'!#REF!</f>
        <v>#REF!</v>
      </c>
      <c r="N263" s="73" t="e">
        <f>IF(VLOOKUP(A263,'Actual Dates'!A4:AF414,27,),'Actual Dates'!#REF!,"")</f>
        <v>#REF!</v>
      </c>
      <c r="O263" s="74" t="e">
        <f t="shared" si="174"/>
        <v>#REF!</v>
      </c>
      <c r="P263" s="75" t="e">
        <f t="shared" si="175"/>
        <v>#REF!</v>
      </c>
      <c r="Q263" s="75" t="e">
        <f t="shared" si="176"/>
        <v>#REF!</v>
      </c>
      <c r="R263" s="132"/>
      <c r="S263" s="133"/>
    </row>
    <row r="264" spans="1:33" x14ac:dyDescent="0.25">
      <c r="A264" s="70" t="e">
        <f>'Date Calcs'!#REF!</f>
        <v>#REF!</v>
      </c>
      <c r="B264" s="71" t="e">
        <f>'Date Calcs'!#REF!</f>
        <v>#REF!</v>
      </c>
      <c r="C264" s="72" t="e">
        <f>'Date Calcs'!#REF!</f>
        <v>#REF!</v>
      </c>
      <c r="D264" s="73" t="e">
        <f t="shared" si="171"/>
        <v>#REF!</v>
      </c>
      <c r="E264" s="66">
        <v>44287</v>
      </c>
      <c r="F264" s="73" t="e">
        <f>'Date Calcs'!#REF!</f>
        <v>#REF!</v>
      </c>
      <c r="G264" s="73" t="e">
        <f>IF(VLOOKUP(A264,'Actual Dates'!A4:AF392,8,),'Actual Dates'!#REF!,"")</f>
        <v>#REF!</v>
      </c>
      <c r="H264" s="73" t="e">
        <f t="shared" si="172"/>
        <v>#REF!</v>
      </c>
      <c r="I264" s="73" t="e">
        <f>IF(VLOOKUP(A264,'Actual Dates'!A4:AF387,25,),'Actual Dates'!#REF!,"")</f>
        <v>#REF!</v>
      </c>
      <c r="J264" s="73" t="e">
        <f t="shared" si="173"/>
        <v>#REF!</v>
      </c>
      <c r="K264" s="73" t="e">
        <f>IF(VLOOKUP(A264,'Actual Dates'!A4:AF415,26,),'Actual Dates'!#REF!,"")</f>
        <v>#REF!</v>
      </c>
      <c r="L264" s="73" t="e">
        <f>IF(VLOOKUP(A264,'Actual Dates'!A4:AF415,21,),'Actual Dates'!#REF!,"")</f>
        <v>#REF!</v>
      </c>
      <c r="M264" s="73" t="e">
        <f>'Date Calcs'!#REF!</f>
        <v>#REF!</v>
      </c>
      <c r="N264" s="73" t="e">
        <f>IF(VLOOKUP(A264,'Actual Dates'!A4:AF415,27,),'Actual Dates'!#REF!,"")</f>
        <v>#REF!</v>
      </c>
      <c r="O264" s="74" t="e">
        <f t="shared" si="174"/>
        <v>#REF!</v>
      </c>
      <c r="P264" s="75" t="e">
        <f t="shared" si="175"/>
        <v>#REF!</v>
      </c>
      <c r="Q264" s="75" t="e">
        <f t="shared" si="176"/>
        <v>#REF!</v>
      </c>
      <c r="R264" s="132"/>
      <c r="S264" s="133"/>
    </row>
    <row r="265" spans="1:33" x14ac:dyDescent="0.25">
      <c r="A265" s="70" t="e">
        <f>'Date Calcs'!#REF!</f>
        <v>#REF!</v>
      </c>
      <c r="B265" s="71" t="e">
        <f>'Date Calcs'!#REF!</f>
        <v>#REF!</v>
      </c>
      <c r="C265" s="72" t="e">
        <f>'Date Calcs'!#REF!</f>
        <v>#REF!</v>
      </c>
      <c r="D265" s="73" t="e">
        <f t="shared" ref="D265:D328" si="177">WORKDAY(F265,-1,)</f>
        <v>#REF!</v>
      </c>
      <c r="E265" s="66">
        <v>44288</v>
      </c>
      <c r="F265" s="73" t="e">
        <f>'Date Calcs'!#REF!</f>
        <v>#REF!</v>
      </c>
      <c r="G265" s="73" t="e">
        <f>IF(VLOOKUP(A265,'Actual Dates'!A4:AF393,8,),'Actual Dates'!#REF!,"")</f>
        <v>#REF!</v>
      </c>
      <c r="H265" s="73" t="e">
        <f t="shared" ref="H265:H328" si="178">WORKDAY(L265,3,)</f>
        <v>#REF!</v>
      </c>
      <c r="I265" s="73" t="e">
        <f>IF(VLOOKUP(A265,'Actual Dates'!A4:AF388,25,),'Actual Dates'!#REF!,"")</f>
        <v>#REF!</v>
      </c>
      <c r="J265" s="73" t="e">
        <f t="shared" ref="J265:J328" si="179">WORKDAY(L265,4,)</f>
        <v>#REF!</v>
      </c>
      <c r="K265" s="73" t="e">
        <f>IF(VLOOKUP(A265,'Actual Dates'!A4:AF416,26,),'Actual Dates'!#REF!,"")</f>
        <v>#REF!</v>
      </c>
      <c r="L265" s="73" t="e">
        <f>IF(VLOOKUP(A265,'Actual Dates'!A4:AF416,21,),'Actual Dates'!#REF!,"")</f>
        <v>#REF!</v>
      </c>
      <c r="M265" s="73" t="e">
        <f>'Date Calcs'!#REF!</f>
        <v>#REF!</v>
      </c>
      <c r="N265" s="73" t="e">
        <f>IF(VLOOKUP(A265,'Actual Dates'!A4:AF416,27,),'Actual Dates'!#REF!,"")</f>
        <v>#REF!</v>
      </c>
      <c r="O265" s="74" t="e">
        <f t="shared" ref="O265:O328" si="180">N265-C265</f>
        <v>#REF!</v>
      </c>
      <c r="P265" s="75" t="e">
        <f t="shared" ref="P265:P328" si="181">F265-G265</f>
        <v>#REF!</v>
      </c>
      <c r="Q265" s="75" t="e">
        <f t="shared" ref="Q265:Q328" si="182">M265-N265</f>
        <v>#REF!</v>
      </c>
      <c r="R265" s="132"/>
      <c r="S265" s="133"/>
    </row>
    <row r="266" spans="1:33" x14ac:dyDescent="0.25">
      <c r="A266" s="70" t="e">
        <f>'Date Calcs'!#REF!</f>
        <v>#REF!</v>
      </c>
      <c r="B266" s="71" t="e">
        <f>'Date Calcs'!#REF!</f>
        <v>#REF!</v>
      </c>
      <c r="C266" s="72" t="e">
        <f>'Date Calcs'!#REF!</f>
        <v>#REF!</v>
      </c>
      <c r="D266" s="73" t="e">
        <f t="shared" si="177"/>
        <v>#REF!</v>
      </c>
      <c r="E266" s="66">
        <v>44289</v>
      </c>
      <c r="F266" s="73" t="e">
        <f>'Date Calcs'!#REF!</f>
        <v>#REF!</v>
      </c>
      <c r="G266" s="73" t="e">
        <f>IF(VLOOKUP(A266,'Actual Dates'!A4:AF394,8,),'Actual Dates'!#REF!,"")</f>
        <v>#REF!</v>
      </c>
      <c r="H266" s="73" t="e">
        <f t="shared" si="178"/>
        <v>#REF!</v>
      </c>
      <c r="I266" s="73" t="e">
        <f>IF(VLOOKUP(A266,'Actual Dates'!A4:AF389,25,),'Actual Dates'!#REF!,"")</f>
        <v>#REF!</v>
      </c>
      <c r="J266" s="73" t="e">
        <f t="shared" si="179"/>
        <v>#REF!</v>
      </c>
      <c r="K266" s="73" t="e">
        <f>IF(VLOOKUP(A266,'Actual Dates'!A4:AF417,26,),'Actual Dates'!#REF!,"")</f>
        <v>#REF!</v>
      </c>
      <c r="L266" s="73" t="e">
        <f>IF(VLOOKUP(A266,'Actual Dates'!A4:AF417,21,),'Actual Dates'!#REF!,"")</f>
        <v>#REF!</v>
      </c>
      <c r="M266" s="73" t="e">
        <f>'Date Calcs'!#REF!</f>
        <v>#REF!</v>
      </c>
      <c r="N266" s="73" t="e">
        <f>IF(VLOOKUP(A266,'Actual Dates'!A4:AF417,27,),'Actual Dates'!#REF!,"")</f>
        <v>#REF!</v>
      </c>
      <c r="O266" s="74" t="e">
        <f t="shared" si="180"/>
        <v>#REF!</v>
      </c>
      <c r="P266" s="75" t="e">
        <f t="shared" si="181"/>
        <v>#REF!</v>
      </c>
      <c r="Q266" s="75" t="e">
        <f t="shared" si="182"/>
        <v>#REF!</v>
      </c>
      <c r="R266" s="132"/>
      <c r="S266" s="133"/>
    </row>
    <row r="267" spans="1:33" x14ac:dyDescent="0.25">
      <c r="A267" s="70" t="e">
        <f>'Date Calcs'!#REF!</f>
        <v>#REF!</v>
      </c>
      <c r="B267" s="71" t="e">
        <f>'Date Calcs'!#REF!</f>
        <v>#REF!</v>
      </c>
      <c r="C267" s="72" t="e">
        <f>'Date Calcs'!#REF!</f>
        <v>#REF!</v>
      </c>
      <c r="D267" s="73" t="e">
        <f t="shared" si="177"/>
        <v>#REF!</v>
      </c>
      <c r="E267" s="66">
        <v>44290</v>
      </c>
      <c r="F267" s="73" t="e">
        <f>'Date Calcs'!#REF!</f>
        <v>#REF!</v>
      </c>
      <c r="G267" s="73" t="e">
        <f>IF(VLOOKUP(A267,'Actual Dates'!A4:AF395,8,),'Actual Dates'!#REF!,"")</f>
        <v>#REF!</v>
      </c>
      <c r="H267" s="73" t="e">
        <f t="shared" si="178"/>
        <v>#REF!</v>
      </c>
      <c r="I267" s="73" t="e">
        <f>IF(VLOOKUP(A267,'Actual Dates'!A4:AF390,25,),'Actual Dates'!#REF!,"")</f>
        <v>#REF!</v>
      </c>
      <c r="J267" s="73" t="e">
        <f t="shared" si="179"/>
        <v>#REF!</v>
      </c>
      <c r="K267" s="73" t="e">
        <f>IF(VLOOKUP(A267,'Actual Dates'!A4:AF418,26,),'Actual Dates'!#REF!,"")</f>
        <v>#REF!</v>
      </c>
      <c r="L267" s="73" t="e">
        <f>IF(VLOOKUP(A267,'Actual Dates'!A4:AF418,21,),'Actual Dates'!#REF!,"")</f>
        <v>#REF!</v>
      </c>
      <c r="M267" s="73" t="e">
        <f>'Date Calcs'!#REF!</f>
        <v>#REF!</v>
      </c>
      <c r="N267" s="73" t="e">
        <f>IF(VLOOKUP(A267,'Actual Dates'!A4:AF418,27,),'Actual Dates'!#REF!,"")</f>
        <v>#REF!</v>
      </c>
      <c r="O267" s="74" t="e">
        <f t="shared" si="180"/>
        <v>#REF!</v>
      </c>
      <c r="P267" s="75" t="e">
        <f t="shared" si="181"/>
        <v>#REF!</v>
      </c>
      <c r="Q267" s="75" t="e">
        <f t="shared" si="182"/>
        <v>#REF!</v>
      </c>
      <c r="R267" s="132"/>
      <c r="S267" s="133"/>
    </row>
    <row r="268" spans="1:33" x14ac:dyDescent="0.25">
      <c r="A268" s="70" t="e">
        <f>'Date Calcs'!#REF!</f>
        <v>#REF!</v>
      </c>
      <c r="B268" s="71" t="e">
        <f>'Date Calcs'!#REF!</f>
        <v>#REF!</v>
      </c>
      <c r="C268" s="72" t="e">
        <f>'Date Calcs'!#REF!</f>
        <v>#REF!</v>
      </c>
      <c r="D268" s="73" t="e">
        <f t="shared" si="177"/>
        <v>#REF!</v>
      </c>
      <c r="E268" s="66">
        <v>44291</v>
      </c>
      <c r="F268" s="73" t="e">
        <f>'Date Calcs'!#REF!</f>
        <v>#REF!</v>
      </c>
      <c r="G268" s="73" t="e">
        <f>IF(VLOOKUP(A268,'Actual Dates'!A4:AF396,8,),'Actual Dates'!#REF!,"")</f>
        <v>#REF!</v>
      </c>
      <c r="H268" s="73" t="e">
        <f t="shared" si="178"/>
        <v>#REF!</v>
      </c>
      <c r="I268" s="73" t="e">
        <f>IF(VLOOKUP(A268,'Actual Dates'!A4:AF391,25,),'Actual Dates'!#REF!,"")</f>
        <v>#REF!</v>
      </c>
      <c r="J268" s="73" t="e">
        <f t="shared" si="179"/>
        <v>#REF!</v>
      </c>
      <c r="K268" s="73" t="e">
        <f>IF(VLOOKUP(A268,'Actual Dates'!A4:AF419,26,),'Actual Dates'!#REF!,"")</f>
        <v>#REF!</v>
      </c>
      <c r="L268" s="73" t="e">
        <f>IF(VLOOKUP(A268,'Actual Dates'!A4:AF419,21,),'Actual Dates'!#REF!,"")</f>
        <v>#REF!</v>
      </c>
      <c r="M268" s="73" t="e">
        <f>'Date Calcs'!#REF!</f>
        <v>#REF!</v>
      </c>
      <c r="N268" s="73" t="e">
        <f>IF(VLOOKUP(A268,'Actual Dates'!A4:AF419,27,),'Actual Dates'!#REF!,"")</f>
        <v>#REF!</v>
      </c>
      <c r="O268" s="74" t="e">
        <f t="shared" si="180"/>
        <v>#REF!</v>
      </c>
      <c r="P268" s="75" t="e">
        <f t="shared" si="181"/>
        <v>#REF!</v>
      </c>
      <c r="Q268" s="75" t="e">
        <f t="shared" si="182"/>
        <v>#REF!</v>
      </c>
      <c r="R268" s="132"/>
      <c r="S268" s="133"/>
    </row>
    <row r="269" spans="1:33" x14ac:dyDescent="0.25">
      <c r="A269" s="70" t="e">
        <f>'Date Calcs'!#REF!</f>
        <v>#REF!</v>
      </c>
      <c r="B269" s="71" t="e">
        <f>'Date Calcs'!#REF!</f>
        <v>#REF!</v>
      </c>
      <c r="C269" s="72" t="e">
        <f>'Date Calcs'!#REF!</f>
        <v>#REF!</v>
      </c>
      <c r="D269" s="73" t="e">
        <f t="shared" si="177"/>
        <v>#REF!</v>
      </c>
      <c r="E269" s="66">
        <v>44292</v>
      </c>
      <c r="F269" s="73" t="e">
        <f>'Date Calcs'!#REF!</f>
        <v>#REF!</v>
      </c>
      <c r="G269" s="73" t="e">
        <f>IF(VLOOKUP(A269,'Actual Dates'!A4:AF397,8,),'Actual Dates'!#REF!,"")</f>
        <v>#REF!</v>
      </c>
      <c r="H269" s="73" t="e">
        <f t="shared" si="178"/>
        <v>#REF!</v>
      </c>
      <c r="I269" s="73" t="e">
        <f>IF(VLOOKUP(A269,'Actual Dates'!A4:AF392,25,),'Actual Dates'!#REF!,"")</f>
        <v>#REF!</v>
      </c>
      <c r="J269" s="73" t="e">
        <f t="shared" si="179"/>
        <v>#REF!</v>
      </c>
      <c r="K269" s="73" t="e">
        <f>IF(VLOOKUP(A269,'Actual Dates'!A4:AF420,26,),'Actual Dates'!#REF!,"")</f>
        <v>#REF!</v>
      </c>
      <c r="L269" s="73" t="e">
        <f>IF(VLOOKUP(A269,'Actual Dates'!A4:AF420,21,),'Actual Dates'!#REF!,"")</f>
        <v>#REF!</v>
      </c>
      <c r="M269" s="73" t="e">
        <f>'Date Calcs'!#REF!</f>
        <v>#REF!</v>
      </c>
      <c r="N269" s="73" t="e">
        <f>IF(VLOOKUP(A269,'Actual Dates'!A4:AF420,27,),'Actual Dates'!#REF!,"")</f>
        <v>#REF!</v>
      </c>
      <c r="O269" s="74" t="e">
        <f t="shared" si="180"/>
        <v>#REF!</v>
      </c>
      <c r="P269" s="75" t="e">
        <f t="shared" si="181"/>
        <v>#REF!</v>
      </c>
      <c r="Q269" s="75" t="e">
        <f t="shared" si="182"/>
        <v>#REF!</v>
      </c>
      <c r="R269" s="132"/>
      <c r="S269" s="133"/>
    </row>
    <row r="270" spans="1:33" x14ac:dyDescent="0.25">
      <c r="A270" s="70" t="e">
        <f>'Date Calcs'!#REF!</f>
        <v>#REF!</v>
      </c>
      <c r="B270" s="71" t="e">
        <f>'Date Calcs'!#REF!</f>
        <v>#REF!</v>
      </c>
      <c r="C270" s="72" t="e">
        <f>'Date Calcs'!#REF!</f>
        <v>#REF!</v>
      </c>
      <c r="D270" s="73" t="e">
        <f t="shared" si="177"/>
        <v>#REF!</v>
      </c>
      <c r="E270" s="66">
        <v>44293</v>
      </c>
      <c r="F270" s="73" t="e">
        <f>'Date Calcs'!#REF!</f>
        <v>#REF!</v>
      </c>
      <c r="G270" s="73" t="e">
        <f>IF(VLOOKUP(A270,'Actual Dates'!A4:AF398,8,),'Actual Dates'!#REF!,"")</f>
        <v>#REF!</v>
      </c>
      <c r="H270" s="73" t="e">
        <f t="shared" si="178"/>
        <v>#REF!</v>
      </c>
      <c r="I270" s="73" t="e">
        <f>IF(VLOOKUP(A270,'Actual Dates'!A4:AF393,25,),'Actual Dates'!#REF!,"")</f>
        <v>#REF!</v>
      </c>
      <c r="J270" s="73" t="e">
        <f t="shared" si="179"/>
        <v>#REF!</v>
      </c>
      <c r="K270" s="73" t="e">
        <f>IF(VLOOKUP(A270,'Actual Dates'!A4:AF421,26,),'Actual Dates'!#REF!,"")</f>
        <v>#REF!</v>
      </c>
      <c r="L270" s="73" t="e">
        <f>IF(VLOOKUP(A270,'Actual Dates'!A4:AF421,21,),'Actual Dates'!#REF!,"")</f>
        <v>#REF!</v>
      </c>
      <c r="M270" s="73" t="e">
        <f>'Date Calcs'!#REF!</f>
        <v>#REF!</v>
      </c>
      <c r="N270" s="73" t="e">
        <f>IF(VLOOKUP(A270,'Actual Dates'!A4:AF421,27,),'Actual Dates'!#REF!,"")</f>
        <v>#REF!</v>
      </c>
      <c r="O270" s="74" t="e">
        <f t="shared" si="180"/>
        <v>#REF!</v>
      </c>
      <c r="P270" s="75" t="e">
        <f t="shared" si="181"/>
        <v>#REF!</v>
      </c>
      <c r="Q270" s="75" t="e">
        <f t="shared" si="182"/>
        <v>#REF!</v>
      </c>
      <c r="R270" s="132"/>
      <c r="S270" s="133"/>
    </row>
    <row r="271" spans="1:33" x14ac:dyDescent="0.25">
      <c r="A271" s="70" t="e">
        <f>'Date Calcs'!#REF!</f>
        <v>#REF!</v>
      </c>
      <c r="B271" s="71" t="e">
        <f>'Date Calcs'!#REF!</f>
        <v>#REF!</v>
      </c>
      <c r="C271" s="72" t="e">
        <f>'Date Calcs'!#REF!</f>
        <v>#REF!</v>
      </c>
      <c r="D271" s="73" t="e">
        <f t="shared" si="177"/>
        <v>#REF!</v>
      </c>
      <c r="E271" s="66">
        <v>44294</v>
      </c>
      <c r="F271" s="73" t="e">
        <f>'Date Calcs'!#REF!</f>
        <v>#REF!</v>
      </c>
      <c r="G271" s="73" t="e">
        <f>IF(VLOOKUP(A271,'Actual Dates'!A4:AF399,8,),'Actual Dates'!#REF!,"")</f>
        <v>#REF!</v>
      </c>
      <c r="H271" s="73" t="e">
        <f t="shared" si="178"/>
        <v>#REF!</v>
      </c>
      <c r="I271" s="73" t="e">
        <f>IF(VLOOKUP(A271,'Actual Dates'!A4:AF394,25,),'Actual Dates'!#REF!,"")</f>
        <v>#REF!</v>
      </c>
      <c r="J271" s="73" t="e">
        <f t="shared" si="179"/>
        <v>#REF!</v>
      </c>
      <c r="K271" s="73" t="e">
        <f>IF(VLOOKUP(A271,'Actual Dates'!A4:AF422,26,),'Actual Dates'!#REF!,"")</f>
        <v>#REF!</v>
      </c>
      <c r="L271" s="73" t="e">
        <f>IF(VLOOKUP(A271,'Actual Dates'!A4:AF422,21,),'Actual Dates'!#REF!,"")</f>
        <v>#REF!</v>
      </c>
      <c r="M271" s="73" t="e">
        <f>'Date Calcs'!#REF!</f>
        <v>#REF!</v>
      </c>
      <c r="N271" s="73" t="e">
        <f>IF(VLOOKUP(A271,'Actual Dates'!A4:AF422,27,),'Actual Dates'!#REF!,"")</f>
        <v>#REF!</v>
      </c>
      <c r="O271" s="74" t="e">
        <f t="shared" si="180"/>
        <v>#REF!</v>
      </c>
      <c r="P271" s="75" t="e">
        <f t="shared" si="181"/>
        <v>#REF!</v>
      </c>
      <c r="Q271" s="75" t="e">
        <f t="shared" si="182"/>
        <v>#REF!</v>
      </c>
      <c r="R271" s="132"/>
      <c r="S271" s="133"/>
    </row>
    <row r="272" spans="1:33" x14ac:dyDescent="0.25">
      <c r="A272" s="70" t="e">
        <f>'Date Calcs'!#REF!</f>
        <v>#REF!</v>
      </c>
      <c r="B272" s="71" t="e">
        <f>'Date Calcs'!#REF!</f>
        <v>#REF!</v>
      </c>
      <c r="C272" s="72" t="e">
        <f>'Date Calcs'!#REF!</f>
        <v>#REF!</v>
      </c>
      <c r="D272" s="73" t="e">
        <f t="shared" si="177"/>
        <v>#REF!</v>
      </c>
      <c r="E272" s="66">
        <v>44295</v>
      </c>
      <c r="F272" s="73" t="e">
        <f>'Date Calcs'!#REF!</f>
        <v>#REF!</v>
      </c>
      <c r="G272" s="73" t="e">
        <f>IF(VLOOKUP(A272,'Actual Dates'!A4:AF400,8,),'Actual Dates'!#REF!,"")</f>
        <v>#REF!</v>
      </c>
      <c r="H272" s="73" t="e">
        <f t="shared" si="178"/>
        <v>#REF!</v>
      </c>
      <c r="I272" s="73" t="e">
        <f>IF(VLOOKUP(A272,'Actual Dates'!A4:AF395,25,),'Actual Dates'!#REF!,"")</f>
        <v>#REF!</v>
      </c>
      <c r="J272" s="73" t="e">
        <f t="shared" si="179"/>
        <v>#REF!</v>
      </c>
      <c r="K272" s="73" t="e">
        <f>IF(VLOOKUP(A272,'Actual Dates'!A4:AF423,26,),'Actual Dates'!#REF!,"")</f>
        <v>#REF!</v>
      </c>
      <c r="L272" s="73" t="e">
        <f>IF(VLOOKUP(A272,'Actual Dates'!A4:AF423,21,),'Actual Dates'!#REF!,"")</f>
        <v>#REF!</v>
      </c>
      <c r="M272" s="73" t="e">
        <f>'Date Calcs'!#REF!</f>
        <v>#REF!</v>
      </c>
      <c r="N272" s="73" t="e">
        <f>IF(VLOOKUP(A272,'Actual Dates'!A4:AF423,27,),'Actual Dates'!#REF!,"")</f>
        <v>#REF!</v>
      </c>
      <c r="O272" s="74" t="e">
        <f t="shared" si="180"/>
        <v>#REF!</v>
      </c>
      <c r="P272" s="75" t="e">
        <f t="shared" si="181"/>
        <v>#REF!</v>
      </c>
      <c r="Q272" s="75" t="e">
        <f t="shared" si="182"/>
        <v>#REF!</v>
      </c>
      <c r="R272" s="132"/>
      <c r="S272" s="133"/>
    </row>
    <row r="273" spans="1:19" x14ac:dyDescent="0.25">
      <c r="A273" s="70" t="e">
        <f>'Date Calcs'!#REF!</f>
        <v>#REF!</v>
      </c>
      <c r="B273" s="71" t="e">
        <f>'Date Calcs'!#REF!</f>
        <v>#REF!</v>
      </c>
      <c r="C273" s="72" t="e">
        <f>'Date Calcs'!#REF!</f>
        <v>#REF!</v>
      </c>
      <c r="D273" s="73" t="e">
        <f t="shared" si="177"/>
        <v>#REF!</v>
      </c>
      <c r="E273" s="66">
        <v>44296</v>
      </c>
      <c r="F273" s="73" t="e">
        <f>'Date Calcs'!#REF!</f>
        <v>#REF!</v>
      </c>
      <c r="G273" s="73" t="e">
        <f>IF(VLOOKUP(A273,'Actual Dates'!A4:AF401,8,),'Actual Dates'!#REF!,"")</f>
        <v>#REF!</v>
      </c>
      <c r="H273" s="73" t="e">
        <f t="shared" si="178"/>
        <v>#REF!</v>
      </c>
      <c r="I273" s="73" t="e">
        <f>IF(VLOOKUP(A273,'Actual Dates'!A4:AF396,25,),'Actual Dates'!#REF!,"")</f>
        <v>#REF!</v>
      </c>
      <c r="J273" s="73" t="e">
        <f t="shared" si="179"/>
        <v>#REF!</v>
      </c>
      <c r="K273" s="73" t="e">
        <f>IF(VLOOKUP(A273,'Actual Dates'!A4:AF424,26,),'Actual Dates'!#REF!,"")</f>
        <v>#REF!</v>
      </c>
      <c r="L273" s="73" t="e">
        <f>IF(VLOOKUP(A273,'Actual Dates'!A4:AF424,21,),'Actual Dates'!#REF!,"")</f>
        <v>#REF!</v>
      </c>
      <c r="M273" s="73" t="e">
        <f>'Date Calcs'!#REF!</f>
        <v>#REF!</v>
      </c>
      <c r="N273" s="73" t="e">
        <f>IF(VLOOKUP(A273,'Actual Dates'!A4:AF424,27,),'Actual Dates'!#REF!,"")</f>
        <v>#REF!</v>
      </c>
      <c r="O273" s="74" t="e">
        <f t="shared" si="180"/>
        <v>#REF!</v>
      </c>
      <c r="P273" s="75" t="e">
        <f t="shared" si="181"/>
        <v>#REF!</v>
      </c>
      <c r="Q273" s="75" t="e">
        <f t="shared" si="182"/>
        <v>#REF!</v>
      </c>
      <c r="R273" s="132"/>
      <c r="S273" s="133"/>
    </row>
    <row r="274" spans="1:19" x14ac:dyDescent="0.25">
      <c r="A274" s="70" t="e">
        <f>'Date Calcs'!#REF!</f>
        <v>#REF!</v>
      </c>
      <c r="B274" s="71" t="e">
        <f>'Date Calcs'!#REF!</f>
        <v>#REF!</v>
      </c>
      <c r="C274" s="72" t="e">
        <f>'Date Calcs'!#REF!</f>
        <v>#REF!</v>
      </c>
      <c r="D274" s="73" t="e">
        <f t="shared" si="177"/>
        <v>#REF!</v>
      </c>
      <c r="E274" s="66">
        <v>44297</v>
      </c>
      <c r="F274" s="73" t="e">
        <f>'Date Calcs'!#REF!</f>
        <v>#REF!</v>
      </c>
      <c r="G274" s="73" t="e">
        <f>IF(VLOOKUP(A274,'Actual Dates'!A4:AF402,8,),'Actual Dates'!#REF!,"")</f>
        <v>#REF!</v>
      </c>
      <c r="H274" s="73" t="e">
        <f t="shared" si="178"/>
        <v>#REF!</v>
      </c>
      <c r="I274" s="73" t="e">
        <f>IF(VLOOKUP(A274,'Actual Dates'!A4:AF397,25,),'Actual Dates'!#REF!,"")</f>
        <v>#REF!</v>
      </c>
      <c r="J274" s="73" t="e">
        <f t="shared" si="179"/>
        <v>#REF!</v>
      </c>
      <c r="K274" s="73" t="e">
        <f>IF(VLOOKUP(A274,'Actual Dates'!A4:AF425,26,),'Actual Dates'!#REF!,"")</f>
        <v>#REF!</v>
      </c>
      <c r="L274" s="73" t="e">
        <f>IF(VLOOKUP(A274,'Actual Dates'!A4:AF425,21,),'Actual Dates'!#REF!,"")</f>
        <v>#REF!</v>
      </c>
      <c r="M274" s="73" t="e">
        <f>'Date Calcs'!#REF!</f>
        <v>#REF!</v>
      </c>
      <c r="N274" s="73" t="e">
        <f>IF(VLOOKUP(A274,'Actual Dates'!A4:AF425,27,),'Actual Dates'!#REF!,"")</f>
        <v>#REF!</v>
      </c>
      <c r="O274" s="74" t="e">
        <f t="shared" si="180"/>
        <v>#REF!</v>
      </c>
      <c r="P274" s="75" t="e">
        <f t="shared" si="181"/>
        <v>#REF!</v>
      </c>
      <c r="Q274" s="75" t="e">
        <f t="shared" si="182"/>
        <v>#REF!</v>
      </c>
      <c r="R274" s="132"/>
      <c r="S274" s="133"/>
    </row>
    <row r="275" spans="1:19" x14ac:dyDescent="0.25">
      <c r="A275" s="70" t="e">
        <f>'Date Calcs'!#REF!</f>
        <v>#REF!</v>
      </c>
      <c r="B275" s="71" t="e">
        <f>'Date Calcs'!#REF!</f>
        <v>#REF!</v>
      </c>
      <c r="C275" s="72" t="e">
        <f>'Date Calcs'!#REF!</f>
        <v>#REF!</v>
      </c>
      <c r="D275" s="73" t="e">
        <f t="shared" si="177"/>
        <v>#REF!</v>
      </c>
      <c r="E275" s="66">
        <v>44298</v>
      </c>
      <c r="F275" s="73" t="e">
        <f>'Date Calcs'!#REF!</f>
        <v>#REF!</v>
      </c>
      <c r="G275" s="73" t="e">
        <f>IF(VLOOKUP(A275,'Actual Dates'!A4:AF403,8,),'Actual Dates'!#REF!,"")</f>
        <v>#REF!</v>
      </c>
      <c r="H275" s="73" t="e">
        <f t="shared" si="178"/>
        <v>#REF!</v>
      </c>
      <c r="I275" s="73" t="e">
        <f>IF(VLOOKUP(A275,'Actual Dates'!A4:AF398,25,),'Actual Dates'!#REF!,"")</f>
        <v>#REF!</v>
      </c>
      <c r="J275" s="73" t="e">
        <f t="shared" si="179"/>
        <v>#REF!</v>
      </c>
      <c r="K275" s="73" t="e">
        <f>IF(VLOOKUP(A275,'Actual Dates'!A4:AF426,26,),'Actual Dates'!#REF!,"")</f>
        <v>#REF!</v>
      </c>
      <c r="L275" s="73" t="e">
        <f>IF(VLOOKUP(A275,'Actual Dates'!A4:AF426,21,),'Actual Dates'!#REF!,"")</f>
        <v>#REF!</v>
      </c>
      <c r="M275" s="73" t="e">
        <f>'Date Calcs'!#REF!</f>
        <v>#REF!</v>
      </c>
      <c r="N275" s="73" t="e">
        <f>IF(VLOOKUP(A275,'Actual Dates'!A4:AF426,27,),'Actual Dates'!#REF!,"")</f>
        <v>#REF!</v>
      </c>
      <c r="O275" s="74" t="e">
        <f t="shared" si="180"/>
        <v>#REF!</v>
      </c>
      <c r="P275" s="75" t="e">
        <f t="shared" si="181"/>
        <v>#REF!</v>
      </c>
      <c r="Q275" s="75" t="e">
        <f t="shared" si="182"/>
        <v>#REF!</v>
      </c>
      <c r="R275" s="132"/>
      <c r="S275" s="133"/>
    </row>
    <row r="276" spans="1:19" x14ac:dyDescent="0.25">
      <c r="A276" s="70" t="e">
        <f>'Date Calcs'!#REF!</f>
        <v>#REF!</v>
      </c>
      <c r="B276" s="71" t="e">
        <f>'Date Calcs'!#REF!</f>
        <v>#REF!</v>
      </c>
      <c r="C276" s="72" t="e">
        <f>'Date Calcs'!#REF!</f>
        <v>#REF!</v>
      </c>
      <c r="D276" s="73" t="e">
        <f t="shared" si="177"/>
        <v>#REF!</v>
      </c>
      <c r="E276" s="66">
        <v>44299</v>
      </c>
      <c r="F276" s="73" t="e">
        <f>'Date Calcs'!#REF!</f>
        <v>#REF!</v>
      </c>
      <c r="G276" s="73" t="e">
        <f>IF(VLOOKUP(A276,'Actual Dates'!A4:AF404,8,),'Actual Dates'!#REF!,"")</f>
        <v>#REF!</v>
      </c>
      <c r="H276" s="73" t="e">
        <f t="shared" si="178"/>
        <v>#REF!</v>
      </c>
      <c r="I276" s="73" t="e">
        <f>IF(VLOOKUP(A276,'Actual Dates'!A4:AF399,25,),'Actual Dates'!#REF!,"")</f>
        <v>#REF!</v>
      </c>
      <c r="J276" s="73" t="e">
        <f t="shared" si="179"/>
        <v>#REF!</v>
      </c>
      <c r="K276" s="73" t="e">
        <f>IF(VLOOKUP(A276,'Actual Dates'!A4:AF427,26,),'Actual Dates'!#REF!,"")</f>
        <v>#REF!</v>
      </c>
      <c r="L276" s="73" t="e">
        <f>IF(VLOOKUP(A276,'Actual Dates'!A4:AF427,21,),'Actual Dates'!#REF!,"")</f>
        <v>#REF!</v>
      </c>
      <c r="M276" s="73" t="e">
        <f>'Date Calcs'!#REF!</f>
        <v>#REF!</v>
      </c>
      <c r="N276" s="73" t="e">
        <f>IF(VLOOKUP(A276,'Actual Dates'!A4:AF427,27,),'Actual Dates'!#REF!,"")</f>
        <v>#REF!</v>
      </c>
      <c r="O276" s="74" t="e">
        <f t="shared" si="180"/>
        <v>#REF!</v>
      </c>
      <c r="P276" s="75" t="e">
        <f t="shared" si="181"/>
        <v>#REF!</v>
      </c>
      <c r="Q276" s="75" t="e">
        <f t="shared" si="182"/>
        <v>#REF!</v>
      </c>
      <c r="R276" s="132"/>
      <c r="S276" s="133"/>
    </row>
    <row r="277" spans="1:19" x14ac:dyDescent="0.25">
      <c r="A277" s="70" t="e">
        <f>'Date Calcs'!#REF!</f>
        <v>#REF!</v>
      </c>
      <c r="B277" s="71" t="e">
        <f>'Date Calcs'!#REF!</f>
        <v>#REF!</v>
      </c>
      <c r="C277" s="72" t="e">
        <f>'Date Calcs'!#REF!</f>
        <v>#REF!</v>
      </c>
      <c r="D277" s="73" t="e">
        <f t="shared" si="177"/>
        <v>#REF!</v>
      </c>
      <c r="E277" s="66">
        <v>44300</v>
      </c>
      <c r="F277" s="73" t="e">
        <f>'Date Calcs'!#REF!</f>
        <v>#REF!</v>
      </c>
      <c r="G277" s="73" t="e">
        <f>IF(VLOOKUP(A277,'Actual Dates'!A4:AF405,8,),'Actual Dates'!#REF!,"")</f>
        <v>#REF!</v>
      </c>
      <c r="H277" s="73" t="e">
        <f t="shared" si="178"/>
        <v>#REF!</v>
      </c>
      <c r="I277" s="73" t="e">
        <f>IF(VLOOKUP(A277,'Actual Dates'!A4:AF400,25,),'Actual Dates'!#REF!,"")</f>
        <v>#REF!</v>
      </c>
      <c r="J277" s="73" t="e">
        <f t="shared" si="179"/>
        <v>#REF!</v>
      </c>
      <c r="K277" s="73" t="e">
        <f>IF(VLOOKUP(A277,'Actual Dates'!A4:AF428,26,),'Actual Dates'!#REF!,"")</f>
        <v>#REF!</v>
      </c>
      <c r="L277" s="73" t="e">
        <f>IF(VLOOKUP(A277,'Actual Dates'!A4:AF428,21,),'Actual Dates'!#REF!,"")</f>
        <v>#REF!</v>
      </c>
      <c r="M277" s="73" t="e">
        <f>'Date Calcs'!#REF!</f>
        <v>#REF!</v>
      </c>
      <c r="N277" s="73" t="e">
        <f>IF(VLOOKUP(A277,'Actual Dates'!A4:AF428,27,),'Actual Dates'!#REF!,"")</f>
        <v>#REF!</v>
      </c>
      <c r="O277" s="74" t="e">
        <f t="shared" si="180"/>
        <v>#REF!</v>
      </c>
      <c r="P277" s="75" t="e">
        <f t="shared" si="181"/>
        <v>#REF!</v>
      </c>
      <c r="Q277" s="75" t="e">
        <f t="shared" si="182"/>
        <v>#REF!</v>
      </c>
      <c r="R277" s="132"/>
      <c r="S277" s="133"/>
    </row>
    <row r="278" spans="1:19" x14ac:dyDescent="0.25">
      <c r="A278" s="70" t="e">
        <f>'Date Calcs'!#REF!</f>
        <v>#REF!</v>
      </c>
      <c r="B278" s="71" t="e">
        <f>'Date Calcs'!#REF!</f>
        <v>#REF!</v>
      </c>
      <c r="C278" s="72" t="e">
        <f>'Date Calcs'!#REF!</f>
        <v>#REF!</v>
      </c>
      <c r="D278" s="73" t="e">
        <f t="shared" si="177"/>
        <v>#REF!</v>
      </c>
      <c r="E278" s="66">
        <v>44301</v>
      </c>
      <c r="F278" s="73" t="e">
        <f>'Date Calcs'!#REF!</f>
        <v>#REF!</v>
      </c>
      <c r="G278" s="73" t="e">
        <f>IF(VLOOKUP(A278,'Actual Dates'!A4:AF406,8,),'Actual Dates'!#REF!,"")</f>
        <v>#REF!</v>
      </c>
      <c r="H278" s="73" t="e">
        <f t="shared" si="178"/>
        <v>#REF!</v>
      </c>
      <c r="I278" s="73" t="e">
        <f>IF(VLOOKUP(A278,'Actual Dates'!A4:AF401,25,),'Actual Dates'!#REF!,"")</f>
        <v>#REF!</v>
      </c>
      <c r="J278" s="73" t="e">
        <f t="shared" si="179"/>
        <v>#REF!</v>
      </c>
      <c r="K278" s="73" t="e">
        <f>IF(VLOOKUP(A278,'Actual Dates'!A4:AF429,26,),'Actual Dates'!#REF!,"")</f>
        <v>#REF!</v>
      </c>
      <c r="L278" s="73" t="e">
        <f>IF(VLOOKUP(A278,'Actual Dates'!A4:AF429,21,),'Actual Dates'!#REF!,"")</f>
        <v>#REF!</v>
      </c>
      <c r="M278" s="73" t="e">
        <f>'Date Calcs'!#REF!</f>
        <v>#REF!</v>
      </c>
      <c r="N278" s="73" t="e">
        <f>IF(VLOOKUP(A278,'Actual Dates'!A4:AF429,27,),'Actual Dates'!#REF!,"")</f>
        <v>#REF!</v>
      </c>
      <c r="O278" s="74" t="e">
        <f t="shared" si="180"/>
        <v>#REF!</v>
      </c>
      <c r="P278" s="75" t="e">
        <f t="shared" si="181"/>
        <v>#REF!</v>
      </c>
      <c r="Q278" s="75" t="e">
        <f t="shared" si="182"/>
        <v>#REF!</v>
      </c>
      <c r="R278" s="132"/>
      <c r="S278" s="133"/>
    </row>
    <row r="279" spans="1:19" x14ac:dyDescent="0.25">
      <c r="A279" s="70" t="e">
        <f>'Date Calcs'!#REF!</f>
        <v>#REF!</v>
      </c>
      <c r="B279" s="71" t="e">
        <f>'Date Calcs'!#REF!</f>
        <v>#REF!</v>
      </c>
      <c r="C279" s="72" t="e">
        <f>'Date Calcs'!#REF!</f>
        <v>#REF!</v>
      </c>
      <c r="D279" s="73" t="e">
        <f t="shared" si="177"/>
        <v>#REF!</v>
      </c>
      <c r="E279" s="66">
        <v>44302</v>
      </c>
      <c r="F279" s="73" t="e">
        <f>'Date Calcs'!#REF!</f>
        <v>#REF!</v>
      </c>
      <c r="G279" s="73" t="e">
        <f>IF(VLOOKUP(A279,'Actual Dates'!A4:AF407,8,),'Actual Dates'!#REF!,"")</f>
        <v>#REF!</v>
      </c>
      <c r="H279" s="73" t="e">
        <f t="shared" si="178"/>
        <v>#REF!</v>
      </c>
      <c r="I279" s="73" t="e">
        <f>IF(VLOOKUP(A279,'Actual Dates'!A4:AF402,25,),'Actual Dates'!#REF!,"")</f>
        <v>#REF!</v>
      </c>
      <c r="J279" s="73" t="e">
        <f t="shared" si="179"/>
        <v>#REF!</v>
      </c>
      <c r="K279" s="73" t="e">
        <f>IF(VLOOKUP(A279,'Actual Dates'!A4:AF430,26,),'Actual Dates'!#REF!,"")</f>
        <v>#REF!</v>
      </c>
      <c r="L279" s="73" t="e">
        <f>IF(VLOOKUP(A279,'Actual Dates'!A4:AF430,21,),'Actual Dates'!#REF!,"")</f>
        <v>#REF!</v>
      </c>
      <c r="M279" s="73" t="e">
        <f>'Date Calcs'!#REF!</f>
        <v>#REF!</v>
      </c>
      <c r="N279" s="73" t="e">
        <f>IF(VLOOKUP(A279,'Actual Dates'!A4:AF430,27,),'Actual Dates'!#REF!,"")</f>
        <v>#REF!</v>
      </c>
      <c r="O279" s="74" t="e">
        <f t="shared" si="180"/>
        <v>#REF!</v>
      </c>
      <c r="P279" s="75" t="e">
        <f t="shared" si="181"/>
        <v>#REF!</v>
      </c>
      <c r="Q279" s="75" t="e">
        <f t="shared" si="182"/>
        <v>#REF!</v>
      </c>
      <c r="R279" s="132"/>
      <c r="S279" s="133"/>
    </row>
    <row r="280" spans="1:19" x14ac:dyDescent="0.25">
      <c r="A280" s="70" t="e">
        <f>'Date Calcs'!#REF!</f>
        <v>#REF!</v>
      </c>
      <c r="B280" s="71" t="e">
        <f>'Date Calcs'!#REF!</f>
        <v>#REF!</v>
      </c>
      <c r="C280" s="72" t="e">
        <f>'Date Calcs'!#REF!</f>
        <v>#REF!</v>
      </c>
      <c r="D280" s="73" t="e">
        <f t="shared" si="177"/>
        <v>#REF!</v>
      </c>
      <c r="E280" s="66">
        <v>44303</v>
      </c>
      <c r="F280" s="73" t="e">
        <f>'Date Calcs'!#REF!</f>
        <v>#REF!</v>
      </c>
      <c r="G280" s="73" t="e">
        <f>IF(VLOOKUP(A280,'Actual Dates'!A4:AF408,8,),'Actual Dates'!#REF!,"")</f>
        <v>#REF!</v>
      </c>
      <c r="H280" s="73" t="e">
        <f t="shared" si="178"/>
        <v>#REF!</v>
      </c>
      <c r="I280" s="73" t="e">
        <f>IF(VLOOKUP(A280,'Actual Dates'!A4:AF403,25,),'Actual Dates'!#REF!,"")</f>
        <v>#REF!</v>
      </c>
      <c r="J280" s="73" t="e">
        <f t="shared" si="179"/>
        <v>#REF!</v>
      </c>
      <c r="K280" s="73" t="e">
        <f>IF(VLOOKUP(A280,'Actual Dates'!A4:AF431,26,),'Actual Dates'!#REF!,"")</f>
        <v>#REF!</v>
      </c>
      <c r="L280" s="73" t="e">
        <f>IF(VLOOKUP(A280,'Actual Dates'!A4:AF431,21,),'Actual Dates'!#REF!,"")</f>
        <v>#REF!</v>
      </c>
      <c r="M280" s="73" t="e">
        <f>'Date Calcs'!#REF!</f>
        <v>#REF!</v>
      </c>
      <c r="N280" s="73" t="e">
        <f>IF(VLOOKUP(A280,'Actual Dates'!A4:AF431,27,),'Actual Dates'!#REF!,"")</f>
        <v>#REF!</v>
      </c>
      <c r="O280" s="74" t="e">
        <f t="shared" si="180"/>
        <v>#REF!</v>
      </c>
      <c r="P280" s="75" t="e">
        <f t="shared" si="181"/>
        <v>#REF!</v>
      </c>
      <c r="Q280" s="75" t="e">
        <f t="shared" si="182"/>
        <v>#REF!</v>
      </c>
      <c r="R280" s="132"/>
      <c r="S280" s="133"/>
    </row>
    <row r="281" spans="1:19" x14ac:dyDescent="0.25">
      <c r="A281" s="70" t="e">
        <f>'Date Calcs'!#REF!</f>
        <v>#REF!</v>
      </c>
      <c r="B281" s="71" t="e">
        <f>'Date Calcs'!#REF!</f>
        <v>#REF!</v>
      </c>
      <c r="C281" s="72" t="e">
        <f>'Date Calcs'!#REF!</f>
        <v>#REF!</v>
      </c>
      <c r="D281" s="73" t="e">
        <f t="shared" si="177"/>
        <v>#REF!</v>
      </c>
      <c r="E281" s="66">
        <v>44304</v>
      </c>
      <c r="F281" s="73" t="e">
        <f>'Date Calcs'!#REF!</f>
        <v>#REF!</v>
      </c>
      <c r="G281" s="73" t="e">
        <f>IF(VLOOKUP(A281,'Actual Dates'!A4:AF409,8,),'Actual Dates'!#REF!,"")</f>
        <v>#REF!</v>
      </c>
      <c r="H281" s="73" t="e">
        <f t="shared" si="178"/>
        <v>#REF!</v>
      </c>
      <c r="I281" s="73" t="e">
        <f>IF(VLOOKUP(A281,'Actual Dates'!A4:AF404,25,),'Actual Dates'!#REF!,"")</f>
        <v>#REF!</v>
      </c>
      <c r="J281" s="73" t="e">
        <f t="shared" si="179"/>
        <v>#REF!</v>
      </c>
      <c r="K281" s="73" t="e">
        <f>IF(VLOOKUP(A281,'Actual Dates'!A4:AF432,26,),'Actual Dates'!#REF!,"")</f>
        <v>#REF!</v>
      </c>
      <c r="L281" s="73" t="e">
        <f>IF(VLOOKUP(A281,'Actual Dates'!A4:AF432,21,),'Actual Dates'!#REF!,"")</f>
        <v>#REF!</v>
      </c>
      <c r="M281" s="73" t="e">
        <f>'Date Calcs'!#REF!</f>
        <v>#REF!</v>
      </c>
      <c r="N281" s="73" t="e">
        <f>IF(VLOOKUP(A281,'Actual Dates'!A4:AF432,27,),'Actual Dates'!#REF!,"")</f>
        <v>#REF!</v>
      </c>
      <c r="O281" s="74" t="e">
        <f t="shared" si="180"/>
        <v>#REF!</v>
      </c>
      <c r="P281" s="75" t="e">
        <f t="shared" si="181"/>
        <v>#REF!</v>
      </c>
      <c r="Q281" s="75" t="e">
        <f t="shared" si="182"/>
        <v>#REF!</v>
      </c>
      <c r="R281" s="132"/>
      <c r="S281" s="133"/>
    </row>
    <row r="282" spans="1:19" x14ac:dyDescent="0.25">
      <c r="A282" s="70" t="e">
        <f>'Date Calcs'!#REF!</f>
        <v>#REF!</v>
      </c>
      <c r="B282" s="71" t="e">
        <f>'Date Calcs'!#REF!</f>
        <v>#REF!</v>
      </c>
      <c r="C282" s="72" t="e">
        <f>'Date Calcs'!#REF!</f>
        <v>#REF!</v>
      </c>
      <c r="D282" s="73" t="e">
        <f t="shared" si="177"/>
        <v>#REF!</v>
      </c>
      <c r="E282" s="66">
        <v>44305</v>
      </c>
      <c r="F282" s="73" t="e">
        <f>'Date Calcs'!#REF!</f>
        <v>#REF!</v>
      </c>
      <c r="G282" s="73" t="e">
        <f>IF(VLOOKUP(A282,'Actual Dates'!A4:AF410,8,),'Actual Dates'!#REF!,"")</f>
        <v>#REF!</v>
      </c>
      <c r="H282" s="73" t="e">
        <f t="shared" si="178"/>
        <v>#REF!</v>
      </c>
      <c r="I282" s="73" t="e">
        <f>IF(VLOOKUP(A282,'Actual Dates'!A4:AF405,25,),'Actual Dates'!#REF!,"")</f>
        <v>#REF!</v>
      </c>
      <c r="J282" s="73" t="e">
        <f t="shared" si="179"/>
        <v>#REF!</v>
      </c>
      <c r="K282" s="73" t="e">
        <f>IF(VLOOKUP(A282,'Actual Dates'!A4:AF433,26,),'Actual Dates'!#REF!,"")</f>
        <v>#REF!</v>
      </c>
      <c r="L282" s="73" t="e">
        <f>IF(VLOOKUP(A282,'Actual Dates'!A4:AF433,21,),'Actual Dates'!#REF!,"")</f>
        <v>#REF!</v>
      </c>
      <c r="M282" s="73" t="e">
        <f>'Date Calcs'!#REF!</f>
        <v>#REF!</v>
      </c>
      <c r="N282" s="73" t="e">
        <f>IF(VLOOKUP(A282,'Actual Dates'!A4:AF433,27,),'Actual Dates'!#REF!,"")</f>
        <v>#REF!</v>
      </c>
      <c r="O282" s="74" t="e">
        <f t="shared" si="180"/>
        <v>#REF!</v>
      </c>
      <c r="P282" s="75" t="e">
        <f t="shared" si="181"/>
        <v>#REF!</v>
      </c>
      <c r="Q282" s="75" t="e">
        <f t="shared" si="182"/>
        <v>#REF!</v>
      </c>
      <c r="R282" s="132"/>
      <c r="S282" s="133"/>
    </row>
    <row r="283" spans="1:19" x14ac:dyDescent="0.25">
      <c r="A283" s="70" t="e">
        <f>'Date Calcs'!#REF!</f>
        <v>#REF!</v>
      </c>
      <c r="B283" s="71" t="e">
        <f>'Date Calcs'!#REF!</f>
        <v>#REF!</v>
      </c>
      <c r="C283" s="72" t="e">
        <f>'Date Calcs'!#REF!</f>
        <v>#REF!</v>
      </c>
      <c r="D283" s="73" t="e">
        <f t="shared" si="177"/>
        <v>#REF!</v>
      </c>
      <c r="E283" s="66">
        <v>44306</v>
      </c>
      <c r="F283" s="73" t="e">
        <f>'Date Calcs'!#REF!</f>
        <v>#REF!</v>
      </c>
      <c r="G283" s="73" t="e">
        <f>IF(VLOOKUP(A283,'Actual Dates'!A4:AF411,8,),'Actual Dates'!#REF!,"")</f>
        <v>#REF!</v>
      </c>
      <c r="H283" s="73" t="e">
        <f t="shared" si="178"/>
        <v>#REF!</v>
      </c>
      <c r="I283" s="73" t="e">
        <f>IF(VLOOKUP(A283,'Actual Dates'!A4:AF406,25,),'Actual Dates'!#REF!,"")</f>
        <v>#REF!</v>
      </c>
      <c r="J283" s="73" t="e">
        <f t="shared" si="179"/>
        <v>#REF!</v>
      </c>
      <c r="K283" s="73" t="e">
        <f>IF(VLOOKUP(A283,'Actual Dates'!A4:AF434,26,),'Actual Dates'!#REF!,"")</f>
        <v>#REF!</v>
      </c>
      <c r="L283" s="73" t="e">
        <f>IF(VLOOKUP(A283,'Actual Dates'!A4:AF434,21,),'Actual Dates'!#REF!,"")</f>
        <v>#REF!</v>
      </c>
      <c r="M283" s="73" t="e">
        <f>'Date Calcs'!#REF!</f>
        <v>#REF!</v>
      </c>
      <c r="N283" s="73" t="e">
        <f>IF(VLOOKUP(A283,'Actual Dates'!A4:AF434,27,),'Actual Dates'!#REF!,"")</f>
        <v>#REF!</v>
      </c>
      <c r="O283" s="74" t="e">
        <f t="shared" si="180"/>
        <v>#REF!</v>
      </c>
      <c r="P283" s="75" t="e">
        <f t="shared" si="181"/>
        <v>#REF!</v>
      </c>
      <c r="Q283" s="75" t="e">
        <f t="shared" si="182"/>
        <v>#REF!</v>
      </c>
      <c r="R283" s="132"/>
      <c r="S283" s="133"/>
    </row>
    <row r="284" spans="1:19" x14ac:dyDescent="0.25">
      <c r="A284" s="70" t="e">
        <f>'Date Calcs'!#REF!</f>
        <v>#REF!</v>
      </c>
      <c r="B284" s="71" t="e">
        <f>'Date Calcs'!#REF!</f>
        <v>#REF!</v>
      </c>
      <c r="C284" s="72" t="e">
        <f>'Date Calcs'!#REF!</f>
        <v>#REF!</v>
      </c>
      <c r="D284" s="73" t="e">
        <f t="shared" si="177"/>
        <v>#REF!</v>
      </c>
      <c r="E284" s="66">
        <v>44307</v>
      </c>
      <c r="F284" s="73" t="e">
        <f>'Date Calcs'!#REF!</f>
        <v>#REF!</v>
      </c>
      <c r="G284" s="73" t="e">
        <f>IF(VLOOKUP(A284,'Actual Dates'!A4:AF412,8,),'Actual Dates'!#REF!,"")</f>
        <v>#REF!</v>
      </c>
      <c r="H284" s="73" t="e">
        <f t="shared" si="178"/>
        <v>#REF!</v>
      </c>
      <c r="I284" s="73" t="e">
        <f>IF(VLOOKUP(A284,'Actual Dates'!A4:AF407,25,),'Actual Dates'!#REF!,"")</f>
        <v>#REF!</v>
      </c>
      <c r="J284" s="73" t="e">
        <f t="shared" si="179"/>
        <v>#REF!</v>
      </c>
      <c r="K284" s="73" t="e">
        <f>IF(VLOOKUP(A284,'Actual Dates'!A4:AF435,26,),'Actual Dates'!#REF!,"")</f>
        <v>#REF!</v>
      </c>
      <c r="L284" s="73" t="e">
        <f>IF(VLOOKUP(A284,'Actual Dates'!A4:AF435,21,),'Actual Dates'!#REF!,"")</f>
        <v>#REF!</v>
      </c>
      <c r="M284" s="73" t="e">
        <f>'Date Calcs'!#REF!</f>
        <v>#REF!</v>
      </c>
      <c r="N284" s="73" t="e">
        <f>IF(VLOOKUP(A284,'Actual Dates'!A4:AF435,27,),'Actual Dates'!#REF!,"")</f>
        <v>#REF!</v>
      </c>
      <c r="O284" s="74" t="e">
        <f t="shared" si="180"/>
        <v>#REF!</v>
      </c>
      <c r="P284" s="75" t="e">
        <f t="shared" si="181"/>
        <v>#REF!</v>
      </c>
      <c r="Q284" s="75" t="e">
        <f t="shared" si="182"/>
        <v>#REF!</v>
      </c>
      <c r="R284" s="132"/>
      <c r="S284" s="133"/>
    </row>
    <row r="285" spans="1:19" x14ac:dyDescent="0.25">
      <c r="A285" s="70" t="e">
        <f>'Date Calcs'!#REF!</f>
        <v>#REF!</v>
      </c>
      <c r="B285" s="71" t="e">
        <f>'Date Calcs'!#REF!</f>
        <v>#REF!</v>
      </c>
      <c r="C285" s="72" t="e">
        <f>'Date Calcs'!#REF!</f>
        <v>#REF!</v>
      </c>
      <c r="D285" s="73" t="e">
        <f t="shared" si="177"/>
        <v>#REF!</v>
      </c>
      <c r="E285" s="66">
        <v>44308</v>
      </c>
      <c r="F285" s="73" t="e">
        <f>'Date Calcs'!#REF!</f>
        <v>#REF!</v>
      </c>
      <c r="G285" s="73" t="e">
        <f>IF(VLOOKUP(A285,'Actual Dates'!A4:AF413,8,),'Actual Dates'!#REF!,"")</f>
        <v>#REF!</v>
      </c>
      <c r="H285" s="73" t="e">
        <f t="shared" si="178"/>
        <v>#REF!</v>
      </c>
      <c r="I285" s="73" t="e">
        <f>IF(VLOOKUP(A285,'Actual Dates'!A4:AF408,25,),'Actual Dates'!#REF!,"")</f>
        <v>#REF!</v>
      </c>
      <c r="J285" s="73" t="e">
        <f t="shared" si="179"/>
        <v>#REF!</v>
      </c>
      <c r="K285" s="73" t="e">
        <f>IF(VLOOKUP(A285,'Actual Dates'!A4:AF436,26,),'Actual Dates'!#REF!,"")</f>
        <v>#REF!</v>
      </c>
      <c r="L285" s="73" t="e">
        <f>IF(VLOOKUP(A285,'Actual Dates'!A4:AF436,21,),'Actual Dates'!#REF!,"")</f>
        <v>#REF!</v>
      </c>
      <c r="M285" s="73" t="e">
        <f>'Date Calcs'!#REF!</f>
        <v>#REF!</v>
      </c>
      <c r="N285" s="73" t="e">
        <f>IF(VLOOKUP(A285,'Actual Dates'!A4:AF436,27,),'Actual Dates'!#REF!,"")</f>
        <v>#REF!</v>
      </c>
      <c r="O285" s="74" t="e">
        <f t="shared" si="180"/>
        <v>#REF!</v>
      </c>
      <c r="P285" s="75" t="e">
        <f t="shared" si="181"/>
        <v>#REF!</v>
      </c>
      <c r="Q285" s="75" t="e">
        <f t="shared" si="182"/>
        <v>#REF!</v>
      </c>
      <c r="R285" s="132"/>
      <c r="S285" s="133"/>
    </row>
    <row r="286" spans="1:19" x14ac:dyDescent="0.25">
      <c r="A286" s="70" t="e">
        <f>'Date Calcs'!#REF!</f>
        <v>#REF!</v>
      </c>
      <c r="B286" s="71" t="e">
        <f>'Date Calcs'!#REF!</f>
        <v>#REF!</v>
      </c>
      <c r="C286" s="72" t="e">
        <f>'Date Calcs'!#REF!</f>
        <v>#REF!</v>
      </c>
      <c r="D286" s="73" t="e">
        <f t="shared" si="177"/>
        <v>#REF!</v>
      </c>
      <c r="E286" s="66">
        <v>44309</v>
      </c>
      <c r="F286" s="73" t="e">
        <f>'Date Calcs'!#REF!</f>
        <v>#REF!</v>
      </c>
      <c r="G286" s="73" t="e">
        <f>IF(VLOOKUP(A286,'Actual Dates'!A4:AF414,8,),'Actual Dates'!#REF!,"")</f>
        <v>#REF!</v>
      </c>
      <c r="H286" s="73" t="e">
        <f t="shared" si="178"/>
        <v>#REF!</v>
      </c>
      <c r="I286" s="73" t="e">
        <f>IF(VLOOKUP(A286,'Actual Dates'!A4:AF409,25,),'Actual Dates'!#REF!,"")</f>
        <v>#REF!</v>
      </c>
      <c r="J286" s="73" t="e">
        <f t="shared" si="179"/>
        <v>#REF!</v>
      </c>
      <c r="K286" s="73" t="e">
        <f>IF(VLOOKUP(A286,'Actual Dates'!A4:AF437,26,),'Actual Dates'!#REF!,"")</f>
        <v>#REF!</v>
      </c>
      <c r="L286" s="73" t="e">
        <f>IF(VLOOKUP(A286,'Actual Dates'!A4:AF437,21,),'Actual Dates'!#REF!,"")</f>
        <v>#REF!</v>
      </c>
      <c r="M286" s="73" t="e">
        <f>'Date Calcs'!#REF!</f>
        <v>#REF!</v>
      </c>
      <c r="N286" s="73" t="e">
        <f>IF(VLOOKUP(A286,'Actual Dates'!A4:AF437,27,),'Actual Dates'!#REF!,"")</f>
        <v>#REF!</v>
      </c>
      <c r="O286" s="74" t="e">
        <f t="shared" si="180"/>
        <v>#REF!</v>
      </c>
      <c r="P286" s="75" t="e">
        <f t="shared" si="181"/>
        <v>#REF!</v>
      </c>
      <c r="Q286" s="75" t="e">
        <f t="shared" si="182"/>
        <v>#REF!</v>
      </c>
      <c r="R286" s="132"/>
      <c r="S286" s="133"/>
    </row>
    <row r="287" spans="1:19" x14ac:dyDescent="0.25">
      <c r="A287" s="70" t="e">
        <f>'Date Calcs'!#REF!</f>
        <v>#REF!</v>
      </c>
      <c r="B287" s="71" t="e">
        <f>'Date Calcs'!#REF!</f>
        <v>#REF!</v>
      </c>
      <c r="C287" s="72" t="e">
        <f>'Date Calcs'!#REF!</f>
        <v>#REF!</v>
      </c>
      <c r="D287" s="73" t="e">
        <f t="shared" si="177"/>
        <v>#REF!</v>
      </c>
      <c r="E287" s="66">
        <v>44310</v>
      </c>
      <c r="F287" s="73" t="e">
        <f>'Date Calcs'!#REF!</f>
        <v>#REF!</v>
      </c>
      <c r="G287" s="73" t="e">
        <f>IF(VLOOKUP(A287,'Actual Dates'!A4:AF415,8,),'Actual Dates'!#REF!,"")</f>
        <v>#REF!</v>
      </c>
      <c r="H287" s="73" t="e">
        <f t="shared" si="178"/>
        <v>#REF!</v>
      </c>
      <c r="I287" s="73" t="e">
        <f>IF(VLOOKUP(A287,'Actual Dates'!A4:AF410,25,),'Actual Dates'!#REF!,"")</f>
        <v>#REF!</v>
      </c>
      <c r="J287" s="73" t="e">
        <f t="shared" si="179"/>
        <v>#REF!</v>
      </c>
      <c r="K287" s="73" t="e">
        <f>IF(VLOOKUP(A287,'Actual Dates'!A4:AF438,26,),'Actual Dates'!#REF!,"")</f>
        <v>#REF!</v>
      </c>
      <c r="L287" s="73" t="e">
        <f>IF(VLOOKUP(A287,'Actual Dates'!A4:AF438,21,),'Actual Dates'!#REF!,"")</f>
        <v>#REF!</v>
      </c>
      <c r="M287" s="73" t="e">
        <f>'Date Calcs'!#REF!</f>
        <v>#REF!</v>
      </c>
      <c r="N287" s="73" t="e">
        <f>IF(VLOOKUP(A287,'Actual Dates'!A4:AF438,27,),'Actual Dates'!#REF!,"")</f>
        <v>#REF!</v>
      </c>
      <c r="O287" s="74" t="e">
        <f t="shared" si="180"/>
        <v>#REF!</v>
      </c>
      <c r="P287" s="75" t="e">
        <f t="shared" si="181"/>
        <v>#REF!</v>
      </c>
      <c r="Q287" s="75" t="e">
        <f t="shared" si="182"/>
        <v>#REF!</v>
      </c>
      <c r="R287" s="132"/>
      <c r="S287" s="133"/>
    </row>
    <row r="288" spans="1:19" x14ac:dyDescent="0.25">
      <c r="A288" s="70" t="e">
        <f>'Date Calcs'!#REF!</f>
        <v>#REF!</v>
      </c>
      <c r="B288" s="71" t="e">
        <f>'Date Calcs'!#REF!</f>
        <v>#REF!</v>
      </c>
      <c r="C288" s="72" t="e">
        <f>'Date Calcs'!#REF!</f>
        <v>#REF!</v>
      </c>
      <c r="D288" s="73" t="e">
        <f t="shared" si="177"/>
        <v>#REF!</v>
      </c>
      <c r="E288" s="66">
        <v>44311</v>
      </c>
      <c r="F288" s="73" t="e">
        <f>'Date Calcs'!#REF!</f>
        <v>#REF!</v>
      </c>
      <c r="G288" s="73" t="e">
        <f>IF(VLOOKUP(A288,'Actual Dates'!A4:AF416,8,),'Actual Dates'!#REF!,"")</f>
        <v>#REF!</v>
      </c>
      <c r="H288" s="73" t="e">
        <f t="shared" si="178"/>
        <v>#REF!</v>
      </c>
      <c r="I288" s="73" t="e">
        <f>IF(VLOOKUP(A288,'Actual Dates'!A4:AF411,25,),'Actual Dates'!#REF!,"")</f>
        <v>#REF!</v>
      </c>
      <c r="J288" s="73" t="e">
        <f t="shared" si="179"/>
        <v>#REF!</v>
      </c>
      <c r="K288" s="73" t="e">
        <f>IF(VLOOKUP(A288,'Actual Dates'!A4:AF439,26,),'Actual Dates'!#REF!,"")</f>
        <v>#REF!</v>
      </c>
      <c r="L288" s="73" t="e">
        <f>IF(VLOOKUP(A288,'Actual Dates'!A4:AF439,21,),'Actual Dates'!#REF!,"")</f>
        <v>#REF!</v>
      </c>
      <c r="M288" s="73" t="e">
        <f>'Date Calcs'!#REF!</f>
        <v>#REF!</v>
      </c>
      <c r="N288" s="73" t="e">
        <f>IF(VLOOKUP(A288,'Actual Dates'!A4:AF439,27,),'Actual Dates'!#REF!,"")</f>
        <v>#REF!</v>
      </c>
      <c r="O288" s="74" t="e">
        <f t="shared" si="180"/>
        <v>#REF!</v>
      </c>
      <c r="P288" s="75" t="e">
        <f t="shared" si="181"/>
        <v>#REF!</v>
      </c>
      <c r="Q288" s="75" t="e">
        <f t="shared" si="182"/>
        <v>#REF!</v>
      </c>
      <c r="R288" s="132"/>
      <c r="S288" s="133"/>
    </row>
    <row r="289" spans="1:19" x14ac:dyDescent="0.25">
      <c r="A289" s="70" t="e">
        <f>'Date Calcs'!#REF!</f>
        <v>#REF!</v>
      </c>
      <c r="B289" s="71" t="e">
        <f>'Date Calcs'!#REF!</f>
        <v>#REF!</v>
      </c>
      <c r="C289" s="72" t="e">
        <f>'Date Calcs'!#REF!</f>
        <v>#REF!</v>
      </c>
      <c r="D289" s="73" t="e">
        <f t="shared" si="177"/>
        <v>#REF!</v>
      </c>
      <c r="E289" s="66">
        <v>44312</v>
      </c>
      <c r="F289" s="73" t="e">
        <f>'Date Calcs'!#REF!</f>
        <v>#REF!</v>
      </c>
      <c r="G289" s="73" t="e">
        <f>IF(VLOOKUP(A289,'Actual Dates'!A4:AF417,8,),'Actual Dates'!#REF!,"")</f>
        <v>#REF!</v>
      </c>
      <c r="H289" s="73" t="e">
        <f t="shared" si="178"/>
        <v>#REF!</v>
      </c>
      <c r="I289" s="73" t="e">
        <f>IF(VLOOKUP(A289,'Actual Dates'!A4:AF412,25,),'Actual Dates'!#REF!,"")</f>
        <v>#REF!</v>
      </c>
      <c r="J289" s="73" t="e">
        <f t="shared" si="179"/>
        <v>#REF!</v>
      </c>
      <c r="K289" s="73" t="e">
        <f>IF(VLOOKUP(A289,'Actual Dates'!A4:AF440,26,),'Actual Dates'!#REF!,"")</f>
        <v>#REF!</v>
      </c>
      <c r="L289" s="73" t="e">
        <f>IF(VLOOKUP(A289,'Actual Dates'!A4:AF440,21,),'Actual Dates'!#REF!,"")</f>
        <v>#REF!</v>
      </c>
      <c r="M289" s="73" t="e">
        <f>'Date Calcs'!#REF!</f>
        <v>#REF!</v>
      </c>
      <c r="N289" s="73" t="e">
        <f>IF(VLOOKUP(A289,'Actual Dates'!A4:AF440,27,),'Actual Dates'!#REF!,"")</f>
        <v>#REF!</v>
      </c>
      <c r="O289" s="74" t="e">
        <f t="shared" si="180"/>
        <v>#REF!</v>
      </c>
      <c r="P289" s="75" t="e">
        <f t="shared" si="181"/>
        <v>#REF!</v>
      </c>
      <c r="Q289" s="75" t="e">
        <f t="shared" si="182"/>
        <v>#REF!</v>
      </c>
      <c r="R289" s="132"/>
      <c r="S289" s="133"/>
    </row>
    <row r="290" spans="1:19" x14ac:dyDescent="0.25">
      <c r="A290" s="70" t="e">
        <f>'Date Calcs'!#REF!</f>
        <v>#REF!</v>
      </c>
      <c r="B290" s="71" t="e">
        <f>'Date Calcs'!#REF!</f>
        <v>#REF!</v>
      </c>
      <c r="C290" s="72" t="e">
        <f>'Date Calcs'!#REF!</f>
        <v>#REF!</v>
      </c>
      <c r="D290" s="73" t="e">
        <f t="shared" si="177"/>
        <v>#REF!</v>
      </c>
      <c r="E290" s="66">
        <v>44313</v>
      </c>
      <c r="F290" s="73" t="e">
        <f>'Date Calcs'!#REF!</f>
        <v>#REF!</v>
      </c>
      <c r="G290" s="73" t="e">
        <f>IF(VLOOKUP(A290,'Actual Dates'!A4:AF418,8,),'Actual Dates'!#REF!,"")</f>
        <v>#REF!</v>
      </c>
      <c r="H290" s="73" t="e">
        <f t="shared" si="178"/>
        <v>#REF!</v>
      </c>
      <c r="I290" s="73" t="e">
        <f>IF(VLOOKUP(A290,'Actual Dates'!A4:AF413,25,),'Actual Dates'!#REF!,"")</f>
        <v>#REF!</v>
      </c>
      <c r="J290" s="73" t="e">
        <f t="shared" si="179"/>
        <v>#REF!</v>
      </c>
      <c r="K290" s="73" t="e">
        <f>IF(VLOOKUP(A290,'Actual Dates'!A4:AF441,26,),'Actual Dates'!#REF!,"")</f>
        <v>#REF!</v>
      </c>
      <c r="L290" s="73" t="e">
        <f>IF(VLOOKUP(A290,'Actual Dates'!A4:AF441,21,),'Actual Dates'!#REF!,"")</f>
        <v>#REF!</v>
      </c>
      <c r="M290" s="73" t="e">
        <f>'Date Calcs'!#REF!</f>
        <v>#REF!</v>
      </c>
      <c r="N290" s="73" t="e">
        <f>IF(VLOOKUP(A290,'Actual Dates'!A4:AF441,27,),'Actual Dates'!#REF!,"")</f>
        <v>#REF!</v>
      </c>
      <c r="O290" s="74" t="e">
        <f t="shared" si="180"/>
        <v>#REF!</v>
      </c>
      <c r="P290" s="75" t="e">
        <f t="shared" si="181"/>
        <v>#REF!</v>
      </c>
      <c r="Q290" s="75" t="e">
        <f t="shared" si="182"/>
        <v>#REF!</v>
      </c>
      <c r="R290" s="132"/>
      <c r="S290" s="133"/>
    </row>
    <row r="291" spans="1:19" x14ac:dyDescent="0.25">
      <c r="A291" s="70" t="e">
        <f>'Date Calcs'!#REF!</f>
        <v>#REF!</v>
      </c>
      <c r="B291" s="71" t="e">
        <f>'Date Calcs'!#REF!</f>
        <v>#REF!</v>
      </c>
      <c r="C291" s="72" t="e">
        <f>'Date Calcs'!#REF!</f>
        <v>#REF!</v>
      </c>
      <c r="D291" s="73" t="e">
        <f t="shared" si="177"/>
        <v>#REF!</v>
      </c>
      <c r="E291" s="66">
        <v>44314</v>
      </c>
      <c r="F291" s="73" t="e">
        <f>'Date Calcs'!#REF!</f>
        <v>#REF!</v>
      </c>
      <c r="G291" s="73" t="e">
        <f>IF(VLOOKUP(A291,'Actual Dates'!A4:AF419,8,),'Actual Dates'!#REF!,"")</f>
        <v>#REF!</v>
      </c>
      <c r="H291" s="73" t="e">
        <f t="shared" si="178"/>
        <v>#REF!</v>
      </c>
      <c r="I291" s="73" t="e">
        <f>IF(VLOOKUP(A291,'Actual Dates'!A4:AF414,25,),'Actual Dates'!#REF!,"")</f>
        <v>#REF!</v>
      </c>
      <c r="J291" s="73" t="e">
        <f t="shared" si="179"/>
        <v>#REF!</v>
      </c>
      <c r="K291" s="73" t="e">
        <f>IF(VLOOKUP(A291,'Actual Dates'!A4:AF442,26,),'Actual Dates'!#REF!,"")</f>
        <v>#REF!</v>
      </c>
      <c r="L291" s="73" t="e">
        <f>IF(VLOOKUP(A291,'Actual Dates'!A4:AF442,21,),'Actual Dates'!#REF!,"")</f>
        <v>#REF!</v>
      </c>
      <c r="M291" s="73" t="e">
        <f>'Date Calcs'!#REF!</f>
        <v>#REF!</v>
      </c>
      <c r="N291" s="73" t="e">
        <f>IF(VLOOKUP(A291,'Actual Dates'!A4:AF442,27,),'Actual Dates'!#REF!,"")</f>
        <v>#REF!</v>
      </c>
      <c r="O291" s="74" t="e">
        <f t="shared" si="180"/>
        <v>#REF!</v>
      </c>
      <c r="P291" s="75" t="e">
        <f t="shared" si="181"/>
        <v>#REF!</v>
      </c>
      <c r="Q291" s="75" t="e">
        <f t="shared" si="182"/>
        <v>#REF!</v>
      </c>
      <c r="R291" s="132"/>
      <c r="S291" s="133"/>
    </row>
    <row r="292" spans="1:19" x14ac:dyDescent="0.25">
      <c r="A292" s="70" t="e">
        <f>'Date Calcs'!#REF!</f>
        <v>#REF!</v>
      </c>
      <c r="B292" s="71" t="e">
        <f>'Date Calcs'!#REF!</f>
        <v>#REF!</v>
      </c>
      <c r="C292" s="72" t="e">
        <f>'Date Calcs'!#REF!</f>
        <v>#REF!</v>
      </c>
      <c r="D292" s="73" t="e">
        <f t="shared" si="177"/>
        <v>#REF!</v>
      </c>
      <c r="E292" s="66">
        <v>44315</v>
      </c>
      <c r="F292" s="73" t="e">
        <f>'Date Calcs'!#REF!</f>
        <v>#REF!</v>
      </c>
      <c r="G292" s="73" t="e">
        <f>IF(VLOOKUP(A292,'Actual Dates'!A4:AF420,8,),'Actual Dates'!#REF!,"")</f>
        <v>#REF!</v>
      </c>
      <c r="H292" s="73" t="e">
        <f t="shared" si="178"/>
        <v>#REF!</v>
      </c>
      <c r="I292" s="73" t="e">
        <f>IF(VLOOKUP(A292,'Actual Dates'!A4:AF415,25,),'Actual Dates'!#REF!,"")</f>
        <v>#REF!</v>
      </c>
      <c r="J292" s="73" t="e">
        <f t="shared" si="179"/>
        <v>#REF!</v>
      </c>
      <c r="K292" s="73" t="e">
        <f>IF(VLOOKUP(A292,'Actual Dates'!A4:AF443,26,),'Actual Dates'!#REF!,"")</f>
        <v>#REF!</v>
      </c>
      <c r="L292" s="73" t="e">
        <f>IF(VLOOKUP(A292,'Actual Dates'!A4:AF443,21,),'Actual Dates'!#REF!,"")</f>
        <v>#REF!</v>
      </c>
      <c r="M292" s="73" t="e">
        <f>'Date Calcs'!#REF!</f>
        <v>#REF!</v>
      </c>
      <c r="N292" s="73" t="e">
        <f>IF(VLOOKUP(A292,'Actual Dates'!A4:AF443,27,),'Actual Dates'!#REF!,"")</f>
        <v>#REF!</v>
      </c>
      <c r="O292" s="74" t="e">
        <f t="shared" si="180"/>
        <v>#REF!</v>
      </c>
      <c r="P292" s="75" t="e">
        <f t="shared" si="181"/>
        <v>#REF!</v>
      </c>
      <c r="Q292" s="75" t="e">
        <f t="shared" si="182"/>
        <v>#REF!</v>
      </c>
      <c r="R292" s="132"/>
      <c r="S292" s="133"/>
    </row>
    <row r="293" spans="1:19" x14ac:dyDescent="0.25">
      <c r="A293" s="70" t="e">
        <f>'Date Calcs'!#REF!</f>
        <v>#REF!</v>
      </c>
      <c r="B293" s="71" t="e">
        <f>'Date Calcs'!#REF!</f>
        <v>#REF!</v>
      </c>
      <c r="C293" s="72" t="e">
        <f>'Date Calcs'!#REF!</f>
        <v>#REF!</v>
      </c>
      <c r="D293" s="73" t="e">
        <f t="shared" si="177"/>
        <v>#REF!</v>
      </c>
      <c r="E293" s="66">
        <v>44316</v>
      </c>
      <c r="F293" s="73" t="e">
        <f>'Date Calcs'!#REF!</f>
        <v>#REF!</v>
      </c>
      <c r="G293" s="73" t="e">
        <f>IF(VLOOKUP(A293,'Actual Dates'!A4:AF421,8,),'Actual Dates'!#REF!,"")</f>
        <v>#REF!</v>
      </c>
      <c r="H293" s="73" t="e">
        <f t="shared" si="178"/>
        <v>#REF!</v>
      </c>
      <c r="I293" s="73" t="e">
        <f>IF(VLOOKUP(A293,'Actual Dates'!A4:AF416,25,),'Actual Dates'!#REF!,"")</f>
        <v>#REF!</v>
      </c>
      <c r="J293" s="73" t="e">
        <f t="shared" si="179"/>
        <v>#REF!</v>
      </c>
      <c r="K293" s="73" t="e">
        <f>IF(VLOOKUP(A293,'Actual Dates'!A4:AF444,26,),'Actual Dates'!#REF!,"")</f>
        <v>#REF!</v>
      </c>
      <c r="L293" s="73" t="e">
        <f>IF(VLOOKUP(A293,'Actual Dates'!A4:AF444,21,),'Actual Dates'!#REF!,"")</f>
        <v>#REF!</v>
      </c>
      <c r="M293" s="73" t="e">
        <f>'Date Calcs'!#REF!</f>
        <v>#REF!</v>
      </c>
      <c r="N293" s="73" t="e">
        <f>IF(VLOOKUP(A293,'Actual Dates'!A4:AF444,27,),'Actual Dates'!#REF!,"")</f>
        <v>#REF!</v>
      </c>
      <c r="O293" s="74" t="e">
        <f t="shared" si="180"/>
        <v>#REF!</v>
      </c>
      <c r="P293" s="75" t="e">
        <f t="shared" si="181"/>
        <v>#REF!</v>
      </c>
      <c r="Q293" s="75" t="e">
        <f t="shared" si="182"/>
        <v>#REF!</v>
      </c>
      <c r="R293" s="132"/>
      <c r="S293" s="133"/>
    </row>
    <row r="294" spans="1:19" x14ac:dyDescent="0.25">
      <c r="A294" s="70" t="e">
        <f>'Date Calcs'!#REF!</f>
        <v>#REF!</v>
      </c>
      <c r="B294" s="71" t="e">
        <f>'Date Calcs'!#REF!</f>
        <v>#REF!</v>
      </c>
      <c r="C294" s="72" t="e">
        <f>'Date Calcs'!#REF!</f>
        <v>#REF!</v>
      </c>
      <c r="D294" s="73" t="e">
        <f t="shared" si="177"/>
        <v>#REF!</v>
      </c>
      <c r="E294" s="66">
        <v>44317</v>
      </c>
      <c r="F294" s="73" t="e">
        <f>'Date Calcs'!#REF!</f>
        <v>#REF!</v>
      </c>
      <c r="G294" s="73" t="e">
        <f>IF(VLOOKUP(A294,'Actual Dates'!A4:AF422,8,),'Actual Dates'!#REF!,"")</f>
        <v>#REF!</v>
      </c>
      <c r="H294" s="73" t="e">
        <f t="shared" si="178"/>
        <v>#REF!</v>
      </c>
      <c r="I294" s="73" t="e">
        <f>IF(VLOOKUP(A294,'Actual Dates'!A4:AF417,25,),'Actual Dates'!#REF!,"")</f>
        <v>#REF!</v>
      </c>
      <c r="J294" s="73" t="e">
        <f t="shared" si="179"/>
        <v>#REF!</v>
      </c>
      <c r="K294" s="73" t="e">
        <f>IF(VLOOKUP(A294,'Actual Dates'!A4:AF445,26,),'Actual Dates'!#REF!,"")</f>
        <v>#REF!</v>
      </c>
      <c r="L294" s="73" t="e">
        <f>IF(VLOOKUP(A294,'Actual Dates'!A4:AF445,21,),'Actual Dates'!#REF!,"")</f>
        <v>#REF!</v>
      </c>
      <c r="M294" s="73" t="e">
        <f>'Date Calcs'!#REF!</f>
        <v>#REF!</v>
      </c>
      <c r="N294" s="73" t="e">
        <f>IF(VLOOKUP(A294,'Actual Dates'!A4:AF445,27,),'Actual Dates'!#REF!,"")</f>
        <v>#REF!</v>
      </c>
      <c r="O294" s="74" t="e">
        <f t="shared" si="180"/>
        <v>#REF!</v>
      </c>
      <c r="P294" s="75" t="e">
        <f t="shared" si="181"/>
        <v>#REF!</v>
      </c>
      <c r="Q294" s="75" t="e">
        <f t="shared" si="182"/>
        <v>#REF!</v>
      </c>
      <c r="R294" s="132"/>
      <c r="S294" s="133"/>
    </row>
    <row r="295" spans="1:19" x14ac:dyDescent="0.25">
      <c r="A295" s="70" t="e">
        <f>'Date Calcs'!#REF!</f>
        <v>#REF!</v>
      </c>
      <c r="B295" s="71" t="e">
        <f>'Date Calcs'!#REF!</f>
        <v>#REF!</v>
      </c>
      <c r="C295" s="72" t="e">
        <f>'Date Calcs'!#REF!</f>
        <v>#REF!</v>
      </c>
      <c r="D295" s="73" t="e">
        <f t="shared" si="177"/>
        <v>#REF!</v>
      </c>
      <c r="E295" s="66">
        <v>44318</v>
      </c>
      <c r="F295" s="73" t="e">
        <f>'Date Calcs'!#REF!</f>
        <v>#REF!</v>
      </c>
      <c r="G295" s="73" t="e">
        <f>IF(VLOOKUP(A295,'Actual Dates'!A4:AF423,8,),'Actual Dates'!#REF!,"")</f>
        <v>#REF!</v>
      </c>
      <c r="H295" s="73" t="e">
        <f t="shared" si="178"/>
        <v>#REF!</v>
      </c>
      <c r="I295" s="73" t="e">
        <f>IF(VLOOKUP(A295,'Actual Dates'!A4:AF418,25,),'Actual Dates'!#REF!,"")</f>
        <v>#REF!</v>
      </c>
      <c r="J295" s="73" t="e">
        <f t="shared" si="179"/>
        <v>#REF!</v>
      </c>
      <c r="K295" s="73" t="e">
        <f>IF(VLOOKUP(A295,'Actual Dates'!A4:AF446,26,),'Actual Dates'!#REF!,"")</f>
        <v>#REF!</v>
      </c>
      <c r="L295" s="73" t="e">
        <f>IF(VLOOKUP(A295,'Actual Dates'!A4:AF446,21,),'Actual Dates'!#REF!,"")</f>
        <v>#REF!</v>
      </c>
      <c r="M295" s="73" t="e">
        <f>'Date Calcs'!#REF!</f>
        <v>#REF!</v>
      </c>
      <c r="N295" s="73" t="e">
        <f>IF(VLOOKUP(A295,'Actual Dates'!A4:AF446,27,),'Actual Dates'!#REF!,"")</f>
        <v>#REF!</v>
      </c>
      <c r="O295" s="74" t="e">
        <f t="shared" si="180"/>
        <v>#REF!</v>
      </c>
      <c r="P295" s="75" t="e">
        <f t="shared" si="181"/>
        <v>#REF!</v>
      </c>
      <c r="Q295" s="75" t="e">
        <f t="shared" si="182"/>
        <v>#REF!</v>
      </c>
      <c r="R295" s="132"/>
      <c r="S295" s="133"/>
    </row>
    <row r="296" spans="1:19" x14ac:dyDescent="0.25">
      <c r="A296" s="70" t="e">
        <f>'Date Calcs'!#REF!</f>
        <v>#REF!</v>
      </c>
      <c r="B296" s="71" t="e">
        <f>'Date Calcs'!#REF!</f>
        <v>#REF!</v>
      </c>
      <c r="C296" s="72" t="e">
        <f>'Date Calcs'!#REF!</f>
        <v>#REF!</v>
      </c>
      <c r="D296" s="73" t="e">
        <f t="shared" si="177"/>
        <v>#REF!</v>
      </c>
      <c r="E296" s="66">
        <v>44319</v>
      </c>
      <c r="F296" s="73" t="e">
        <f>'Date Calcs'!#REF!</f>
        <v>#REF!</v>
      </c>
      <c r="G296" s="73" t="e">
        <f>IF(VLOOKUP(A296,'Actual Dates'!A4:AF424,8,),'Actual Dates'!#REF!,"")</f>
        <v>#REF!</v>
      </c>
      <c r="H296" s="73" t="e">
        <f t="shared" si="178"/>
        <v>#REF!</v>
      </c>
      <c r="I296" s="73" t="e">
        <f>IF(VLOOKUP(A296,'Actual Dates'!A4:AF419,25,),'Actual Dates'!#REF!,"")</f>
        <v>#REF!</v>
      </c>
      <c r="J296" s="73" t="e">
        <f t="shared" si="179"/>
        <v>#REF!</v>
      </c>
      <c r="K296" s="73" t="e">
        <f>IF(VLOOKUP(A296,'Actual Dates'!A4:AF447,26,),'Actual Dates'!#REF!,"")</f>
        <v>#REF!</v>
      </c>
      <c r="L296" s="73" t="e">
        <f>IF(VLOOKUP(A296,'Actual Dates'!A4:AF447,21,),'Actual Dates'!#REF!,"")</f>
        <v>#REF!</v>
      </c>
      <c r="M296" s="73" t="e">
        <f>'Date Calcs'!#REF!</f>
        <v>#REF!</v>
      </c>
      <c r="N296" s="73" t="e">
        <f>IF(VLOOKUP(A296,'Actual Dates'!A4:AF447,27,),'Actual Dates'!#REF!,"")</f>
        <v>#REF!</v>
      </c>
      <c r="O296" s="74" t="e">
        <f t="shared" si="180"/>
        <v>#REF!</v>
      </c>
      <c r="P296" s="75" t="e">
        <f t="shared" si="181"/>
        <v>#REF!</v>
      </c>
      <c r="Q296" s="75" t="e">
        <f t="shared" si="182"/>
        <v>#REF!</v>
      </c>
      <c r="R296" s="132"/>
      <c r="S296" s="133"/>
    </row>
    <row r="297" spans="1:19" x14ac:dyDescent="0.25">
      <c r="A297" s="70" t="e">
        <f>'Date Calcs'!#REF!</f>
        <v>#REF!</v>
      </c>
      <c r="B297" s="71" t="e">
        <f>'Date Calcs'!#REF!</f>
        <v>#REF!</v>
      </c>
      <c r="C297" s="72" t="e">
        <f>'Date Calcs'!#REF!</f>
        <v>#REF!</v>
      </c>
      <c r="D297" s="73" t="e">
        <f t="shared" si="177"/>
        <v>#REF!</v>
      </c>
      <c r="E297" s="66">
        <v>44320</v>
      </c>
      <c r="F297" s="73" t="e">
        <f>'Date Calcs'!#REF!</f>
        <v>#REF!</v>
      </c>
      <c r="G297" s="73" t="e">
        <f>IF(VLOOKUP(A297,'Actual Dates'!A4:AF425,8,),'Actual Dates'!#REF!,"")</f>
        <v>#REF!</v>
      </c>
      <c r="H297" s="73" t="e">
        <f t="shared" si="178"/>
        <v>#REF!</v>
      </c>
      <c r="I297" s="73" t="e">
        <f>IF(VLOOKUP(A297,'Actual Dates'!A4:AF420,25,),'Actual Dates'!#REF!,"")</f>
        <v>#REF!</v>
      </c>
      <c r="J297" s="73" t="e">
        <f t="shared" si="179"/>
        <v>#REF!</v>
      </c>
      <c r="K297" s="73" t="e">
        <f>IF(VLOOKUP(A297,'Actual Dates'!A4:AF448,26,),'Actual Dates'!#REF!,"")</f>
        <v>#REF!</v>
      </c>
      <c r="L297" s="73" t="e">
        <f>IF(VLOOKUP(A297,'Actual Dates'!A4:AF448,21,),'Actual Dates'!#REF!,"")</f>
        <v>#REF!</v>
      </c>
      <c r="M297" s="73" t="e">
        <f>'Date Calcs'!#REF!</f>
        <v>#REF!</v>
      </c>
      <c r="N297" s="73" t="e">
        <f>IF(VLOOKUP(A297,'Actual Dates'!A4:AF448,27,),'Actual Dates'!#REF!,"")</f>
        <v>#REF!</v>
      </c>
      <c r="O297" s="74" t="e">
        <f t="shared" si="180"/>
        <v>#REF!</v>
      </c>
      <c r="P297" s="75" t="e">
        <f t="shared" si="181"/>
        <v>#REF!</v>
      </c>
      <c r="Q297" s="75" t="e">
        <f t="shared" si="182"/>
        <v>#REF!</v>
      </c>
      <c r="R297" s="132"/>
      <c r="S297" s="133"/>
    </row>
    <row r="298" spans="1:19" x14ac:dyDescent="0.25">
      <c r="A298" s="70" t="e">
        <f>'Date Calcs'!#REF!</f>
        <v>#REF!</v>
      </c>
      <c r="B298" s="71" t="e">
        <f>'Date Calcs'!#REF!</f>
        <v>#REF!</v>
      </c>
      <c r="C298" s="72" t="e">
        <f>'Date Calcs'!#REF!</f>
        <v>#REF!</v>
      </c>
      <c r="D298" s="73" t="e">
        <f t="shared" si="177"/>
        <v>#REF!</v>
      </c>
      <c r="E298" s="66">
        <v>44321</v>
      </c>
      <c r="F298" s="73" t="e">
        <f>'Date Calcs'!#REF!</f>
        <v>#REF!</v>
      </c>
      <c r="G298" s="73" t="e">
        <f>IF(VLOOKUP(A298,'Actual Dates'!A4:AF426,8,),'Actual Dates'!#REF!,"")</f>
        <v>#REF!</v>
      </c>
      <c r="H298" s="73" t="e">
        <f t="shared" si="178"/>
        <v>#REF!</v>
      </c>
      <c r="I298" s="73" t="e">
        <f>IF(VLOOKUP(A298,'Actual Dates'!A4:AF421,25,),'Actual Dates'!#REF!,"")</f>
        <v>#REF!</v>
      </c>
      <c r="J298" s="73" t="e">
        <f t="shared" si="179"/>
        <v>#REF!</v>
      </c>
      <c r="K298" s="73" t="e">
        <f>IF(VLOOKUP(A298,'Actual Dates'!A4:AF449,26,),'Actual Dates'!#REF!,"")</f>
        <v>#REF!</v>
      </c>
      <c r="L298" s="73" t="e">
        <f>IF(VLOOKUP(A298,'Actual Dates'!A4:AF449,21,),'Actual Dates'!#REF!,"")</f>
        <v>#REF!</v>
      </c>
      <c r="M298" s="73" t="e">
        <f>'Date Calcs'!#REF!</f>
        <v>#REF!</v>
      </c>
      <c r="N298" s="73" t="e">
        <f>IF(VLOOKUP(A298,'Actual Dates'!A4:AF449,27,),'Actual Dates'!#REF!,"")</f>
        <v>#REF!</v>
      </c>
      <c r="O298" s="74" t="e">
        <f t="shared" si="180"/>
        <v>#REF!</v>
      </c>
      <c r="P298" s="75" t="e">
        <f t="shared" si="181"/>
        <v>#REF!</v>
      </c>
      <c r="Q298" s="75" t="e">
        <f t="shared" si="182"/>
        <v>#REF!</v>
      </c>
      <c r="R298" s="132"/>
      <c r="S298" s="133"/>
    </row>
    <row r="299" spans="1:19" x14ac:dyDescent="0.25">
      <c r="A299" s="70" t="e">
        <f>'Date Calcs'!#REF!</f>
        <v>#REF!</v>
      </c>
      <c r="B299" s="71" t="e">
        <f>'Date Calcs'!#REF!</f>
        <v>#REF!</v>
      </c>
      <c r="C299" s="72" t="e">
        <f>'Date Calcs'!#REF!</f>
        <v>#REF!</v>
      </c>
      <c r="D299" s="73" t="e">
        <f t="shared" si="177"/>
        <v>#REF!</v>
      </c>
      <c r="E299" s="66">
        <v>44322</v>
      </c>
      <c r="F299" s="73" t="e">
        <f>'Date Calcs'!#REF!</f>
        <v>#REF!</v>
      </c>
      <c r="G299" s="73" t="e">
        <f>IF(VLOOKUP(A299,'Actual Dates'!A4:AF427,8,),'Actual Dates'!#REF!,"")</f>
        <v>#REF!</v>
      </c>
      <c r="H299" s="73" t="e">
        <f t="shared" si="178"/>
        <v>#REF!</v>
      </c>
      <c r="I299" s="73" t="e">
        <f>IF(VLOOKUP(A299,'Actual Dates'!A4:AF422,25,),'Actual Dates'!#REF!,"")</f>
        <v>#REF!</v>
      </c>
      <c r="J299" s="73" t="e">
        <f t="shared" si="179"/>
        <v>#REF!</v>
      </c>
      <c r="K299" s="73" t="e">
        <f>IF(VLOOKUP(A299,'Actual Dates'!A4:AF450,26,),'Actual Dates'!#REF!,"")</f>
        <v>#REF!</v>
      </c>
      <c r="L299" s="73" t="e">
        <f>IF(VLOOKUP(A299,'Actual Dates'!A4:AF450,21,),'Actual Dates'!#REF!,"")</f>
        <v>#REF!</v>
      </c>
      <c r="M299" s="73" t="e">
        <f>'Date Calcs'!#REF!</f>
        <v>#REF!</v>
      </c>
      <c r="N299" s="73" t="e">
        <f>IF(VLOOKUP(A299,'Actual Dates'!A4:AF450,27,),'Actual Dates'!#REF!,"")</f>
        <v>#REF!</v>
      </c>
      <c r="O299" s="74" t="e">
        <f t="shared" si="180"/>
        <v>#REF!</v>
      </c>
      <c r="P299" s="75" t="e">
        <f t="shared" si="181"/>
        <v>#REF!</v>
      </c>
      <c r="Q299" s="75" t="e">
        <f t="shared" si="182"/>
        <v>#REF!</v>
      </c>
      <c r="R299" s="132"/>
      <c r="S299" s="133"/>
    </row>
    <row r="300" spans="1:19" x14ac:dyDescent="0.25">
      <c r="A300" s="70" t="e">
        <f>'Date Calcs'!#REF!</f>
        <v>#REF!</v>
      </c>
      <c r="B300" s="71" t="e">
        <f>'Date Calcs'!#REF!</f>
        <v>#REF!</v>
      </c>
      <c r="C300" s="72" t="e">
        <f>'Date Calcs'!#REF!</f>
        <v>#REF!</v>
      </c>
      <c r="D300" s="73" t="e">
        <f t="shared" si="177"/>
        <v>#REF!</v>
      </c>
      <c r="E300" s="66">
        <v>44323</v>
      </c>
      <c r="F300" s="73" t="e">
        <f>'Date Calcs'!#REF!</f>
        <v>#REF!</v>
      </c>
      <c r="G300" s="73" t="e">
        <f>IF(VLOOKUP(A300,'Actual Dates'!A4:AF428,8,),'Actual Dates'!#REF!,"")</f>
        <v>#REF!</v>
      </c>
      <c r="H300" s="73" t="e">
        <f t="shared" si="178"/>
        <v>#REF!</v>
      </c>
      <c r="I300" s="73" t="e">
        <f>IF(VLOOKUP(A300,'Actual Dates'!A4:AF423,25,),'Actual Dates'!#REF!,"")</f>
        <v>#REF!</v>
      </c>
      <c r="J300" s="73" t="e">
        <f t="shared" si="179"/>
        <v>#REF!</v>
      </c>
      <c r="K300" s="73" t="e">
        <f>IF(VLOOKUP(A300,'Actual Dates'!A4:AF451,26,),'Actual Dates'!#REF!,"")</f>
        <v>#REF!</v>
      </c>
      <c r="L300" s="73" t="e">
        <f>IF(VLOOKUP(A300,'Actual Dates'!A4:AF451,21,),'Actual Dates'!#REF!,"")</f>
        <v>#REF!</v>
      </c>
      <c r="M300" s="73" t="e">
        <f>'Date Calcs'!#REF!</f>
        <v>#REF!</v>
      </c>
      <c r="N300" s="73" t="e">
        <f>IF(VLOOKUP(A300,'Actual Dates'!A4:AF451,27,),'Actual Dates'!#REF!,"")</f>
        <v>#REF!</v>
      </c>
      <c r="O300" s="74" t="e">
        <f t="shared" si="180"/>
        <v>#REF!</v>
      </c>
      <c r="P300" s="75" t="e">
        <f t="shared" si="181"/>
        <v>#REF!</v>
      </c>
      <c r="Q300" s="75" t="e">
        <f t="shared" si="182"/>
        <v>#REF!</v>
      </c>
      <c r="R300" s="132"/>
      <c r="S300" s="133"/>
    </row>
    <row r="301" spans="1:19" x14ac:dyDescent="0.25">
      <c r="A301" s="70" t="e">
        <f>'Date Calcs'!#REF!</f>
        <v>#REF!</v>
      </c>
      <c r="B301" s="71" t="e">
        <f>'Date Calcs'!#REF!</f>
        <v>#REF!</v>
      </c>
      <c r="C301" s="72" t="e">
        <f>'Date Calcs'!#REF!</f>
        <v>#REF!</v>
      </c>
      <c r="D301" s="73" t="e">
        <f t="shared" si="177"/>
        <v>#REF!</v>
      </c>
      <c r="E301" s="66">
        <v>44324</v>
      </c>
      <c r="F301" s="73" t="e">
        <f>'Date Calcs'!#REF!</f>
        <v>#REF!</v>
      </c>
      <c r="G301" s="73" t="e">
        <f>IF(VLOOKUP(A301,'Actual Dates'!A4:AF429,8,),'Actual Dates'!#REF!,"")</f>
        <v>#REF!</v>
      </c>
      <c r="H301" s="73" t="e">
        <f t="shared" si="178"/>
        <v>#REF!</v>
      </c>
      <c r="I301" s="73" t="e">
        <f>IF(VLOOKUP(A301,'Actual Dates'!A4:AF424,25,),'Actual Dates'!#REF!,"")</f>
        <v>#REF!</v>
      </c>
      <c r="J301" s="73" t="e">
        <f t="shared" si="179"/>
        <v>#REF!</v>
      </c>
      <c r="K301" s="73" t="e">
        <f>IF(VLOOKUP(A301,'Actual Dates'!A4:AF452,26,),'Actual Dates'!#REF!,"")</f>
        <v>#REF!</v>
      </c>
      <c r="L301" s="73" t="e">
        <f>IF(VLOOKUP(A301,'Actual Dates'!A4:AF452,21,),'Actual Dates'!#REF!,"")</f>
        <v>#REF!</v>
      </c>
      <c r="M301" s="73" t="e">
        <f>'Date Calcs'!#REF!</f>
        <v>#REF!</v>
      </c>
      <c r="N301" s="73" t="e">
        <f>IF(VLOOKUP(A301,'Actual Dates'!A4:AF452,27,),'Actual Dates'!#REF!,"")</f>
        <v>#REF!</v>
      </c>
      <c r="O301" s="74" t="e">
        <f t="shared" si="180"/>
        <v>#REF!</v>
      </c>
      <c r="P301" s="75" t="e">
        <f t="shared" si="181"/>
        <v>#REF!</v>
      </c>
      <c r="Q301" s="75" t="e">
        <f t="shared" si="182"/>
        <v>#REF!</v>
      </c>
      <c r="R301" s="132"/>
      <c r="S301" s="133"/>
    </row>
    <row r="302" spans="1:19" x14ac:dyDescent="0.25">
      <c r="A302" s="70" t="e">
        <f>'Date Calcs'!#REF!</f>
        <v>#REF!</v>
      </c>
      <c r="B302" s="71" t="e">
        <f>'Date Calcs'!#REF!</f>
        <v>#REF!</v>
      </c>
      <c r="C302" s="72" t="e">
        <f>'Date Calcs'!#REF!</f>
        <v>#REF!</v>
      </c>
      <c r="D302" s="73" t="e">
        <f t="shared" si="177"/>
        <v>#REF!</v>
      </c>
      <c r="E302" s="66">
        <v>44325</v>
      </c>
      <c r="F302" s="73" t="e">
        <f>'Date Calcs'!#REF!</f>
        <v>#REF!</v>
      </c>
      <c r="G302" s="73" t="e">
        <f>IF(VLOOKUP(A302,'Actual Dates'!A4:AF430,8,),'Actual Dates'!#REF!,"")</f>
        <v>#REF!</v>
      </c>
      <c r="H302" s="73" t="e">
        <f t="shared" si="178"/>
        <v>#REF!</v>
      </c>
      <c r="I302" s="73" t="e">
        <f>IF(VLOOKUP(A302,'Actual Dates'!A4:AF425,25,),'Actual Dates'!#REF!,"")</f>
        <v>#REF!</v>
      </c>
      <c r="J302" s="73" t="e">
        <f t="shared" si="179"/>
        <v>#REF!</v>
      </c>
      <c r="K302" s="73" t="e">
        <f>IF(VLOOKUP(A302,'Actual Dates'!A4:AF453,26,),'Actual Dates'!#REF!,"")</f>
        <v>#REF!</v>
      </c>
      <c r="L302" s="73" t="e">
        <f>IF(VLOOKUP(A302,'Actual Dates'!A4:AF453,21,),'Actual Dates'!#REF!,"")</f>
        <v>#REF!</v>
      </c>
      <c r="M302" s="73" t="e">
        <f>'Date Calcs'!#REF!</f>
        <v>#REF!</v>
      </c>
      <c r="N302" s="73" t="e">
        <f>IF(VLOOKUP(A302,'Actual Dates'!A4:AF453,27,),'Actual Dates'!#REF!,"")</f>
        <v>#REF!</v>
      </c>
      <c r="O302" s="74" t="e">
        <f t="shared" si="180"/>
        <v>#REF!</v>
      </c>
      <c r="P302" s="75" t="e">
        <f t="shared" si="181"/>
        <v>#REF!</v>
      </c>
      <c r="Q302" s="75" t="e">
        <f t="shared" si="182"/>
        <v>#REF!</v>
      </c>
      <c r="R302" s="132"/>
      <c r="S302" s="133"/>
    </row>
    <row r="303" spans="1:19" x14ac:dyDescent="0.25">
      <c r="A303" s="70" t="e">
        <f>'Date Calcs'!#REF!</f>
        <v>#REF!</v>
      </c>
      <c r="B303" s="71" t="e">
        <f>'Date Calcs'!#REF!</f>
        <v>#REF!</v>
      </c>
      <c r="C303" s="72" t="e">
        <f>'Date Calcs'!#REF!</f>
        <v>#REF!</v>
      </c>
      <c r="D303" s="73" t="e">
        <f t="shared" si="177"/>
        <v>#REF!</v>
      </c>
      <c r="E303" s="66">
        <v>44326</v>
      </c>
      <c r="F303" s="73" t="e">
        <f>'Date Calcs'!#REF!</f>
        <v>#REF!</v>
      </c>
      <c r="G303" s="73" t="e">
        <f>IF(VLOOKUP(A303,'Actual Dates'!A4:AF431,8,),'Actual Dates'!#REF!,"")</f>
        <v>#REF!</v>
      </c>
      <c r="H303" s="73" t="e">
        <f t="shared" si="178"/>
        <v>#REF!</v>
      </c>
      <c r="I303" s="73" t="e">
        <f>IF(VLOOKUP(A303,'Actual Dates'!A4:AF426,25,),'Actual Dates'!#REF!,"")</f>
        <v>#REF!</v>
      </c>
      <c r="J303" s="73" t="e">
        <f t="shared" si="179"/>
        <v>#REF!</v>
      </c>
      <c r="K303" s="73" t="e">
        <f>IF(VLOOKUP(A303,'Actual Dates'!A4:AF454,26,),'Actual Dates'!#REF!,"")</f>
        <v>#REF!</v>
      </c>
      <c r="L303" s="73" t="e">
        <f>IF(VLOOKUP(A303,'Actual Dates'!A4:AF454,21,),'Actual Dates'!#REF!,"")</f>
        <v>#REF!</v>
      </c>
      <c r="M303" s="73" t="e">
        <f>'Date Calcs'!#REF!</f>
        <v>#REF!</v>
      </c>
      <c r="N303" s="73" t="e">
        <f>IF(VLOOKUP(A303,'Actual Dates'!A4:AF454,27,),'Actual Dates'!#REF!,"")</f>
        <v>#REF!</v>
      </c>
      <c r="O303" s="74" t="e">
        <f t="shared" si="180"/>
        <v>#REF!</v>
      </c>
      <c r="P303" s="75" t="e">
        <f t="shared" si="181"/>
        <v>#REF!</v>
      </c>
      <c r="Q303" s="75" t="e">
        <f t="shared" si="182"/>
        <v>#REF!</v>
      </c>
      <c r="R303" s="132"/>
      <c r="S303" s="133"/>
    </row>
    <row r="304" spans="1:19" x14ac:dyDescent="0.25">
      <c r="A304" s="70" t="e">
        <f>'Date Calcs'!#REF!</f>
        <v>#REF!</v>
      </c>
      <c r="B304" s="71" t="e">
        <f>'Date Calcs'!#REF!</f>
        <v>#REF!</v>
      </c>
      <c r="C304" s="72" t="e">
        <f>'Date Calcs'!#REF!</f>
        <v>#REF!</v>
      </c>
      <c r="D304" s="73" t="e">
        <f t="shared" si="177"/>
        <v>#REF!</v>
      </c>
      <c r="E304" s="66">
        <v>44327</v>
      </c>
      <c r="F304" s="73" t="e">
        <f>'Date Calcs'!#REF!</f>
        <v>#REF!</v>
      </c>
      <c r="G304" s="73" t="e">
        <f>IF(VLOOKUP(A304,'Actual Dates'!A4:AF432,8,),'Actual Dates'!#REF!,"")</f>
        <v>#REF!</v>
      </c>
      <c r="H304" s="73" t="e">
        <f t="shared" si="178"/>
        <v>#REF!</v>
      </c>
      <c r="I304" s="73" t="e">
        <f>IF(VLOOKUP(A304,'Actual Dates'!A4:AF427,25,),'Actual Dates'!#REF!,"")</f>
        <v>#REF!</v>
      </c>
      <c r="J304" s="73" t="e">
        <f t="shared" si="179"/>
        <v>#REF!</v>
      </c>
      <c r="K304" s="73" t="e">
        <f>IF(VLOOKUP(A304,'Actual Dates'!A4:AF455,26,),'Actual Dates'!#REF!,"")</f>
        <v>#REF!</v>
      </c>
      <c r="L304" s="73" t="e">
        <f>IF(VLOOKUP(A304,'Actual Dates'!A4:AF455,21,),'Actual Dates'!#REF!,"")</f>
        <v>#REF!</v>
      </c>
      <c r="M304" s="73" t="e">
        <f>'Date Calcs'!#REF!</f>
        <v>#REF!</v>
      </c>
      <c r="N304" s="73" t="e">
        <f>IF(VLOOKUP(A304,'Actual Dates'!A4:AF455,27,),'Actual Dates'!#REF!,"")</f>
        <v>#REF!</v>
      </c>
      <c r="O304" s="74" t="e">
        <f t="shared" si="180"/>
        <v>#REF!</v>
      </c>
      <c r="P304" s="75" t="e">
        <f t="shared" si="181"/>
        <v>#REF!</v>
      </c>
      <c r="Q304" s="75" t="e">
        <f t="shared" si="182"/>
        <v>#REF!</v>
      </c>
      <c r="R304" s="132"/>
      <c r="S304" s="133"/>
    </row>
    <row r="305" spans="1:19" x14ac:dyDescent="0.25">
      <c r="A305" s="70" t="e">
        <f>'Date Calcs'!#REF!</f>
        <v>#REF!</v>
      </c>
      <c r="B305" s="71" t="e">
        <f>'Date Calcs'!#REF!</f>
        <v>#REF!</v>
      </c>
      <c r="C305" s="72" t="e">
        <f>'Date Calcs'!#REF!</f>
        <v>#REF!</v>
      </c>
      <c r="D305" s="73" t="e">
        <f t="shared" si="177"/>
        <v>#REF!</v>
      </c>
      <c r="E305" s="66">
        <v>44328</v>
      </c>
      <c r="F305" s="73" t="e">
        <f>'Date Calcs'!#REF!</f>
        <v>#REF!</v>
      </c>
      <c r="G305" s="73" t="e">
        <f>IF(VLOOKUP(A305,'Actual Dates'!A4:AF433,8,),'Actual Dates'!#REF!,"")</f>
        <v>#REF!</v>
      </c>
      <c r="H305" s="73" t="e">
        <f t="shared" si="178"/>
        <v>#REF!</v>
      </c>
      <c r="I305" s="73" t="e">
        <f>IF(VLOOKUP(A305,'Actual Dates'!A4:AF428,25,),'Actual Dates'!#REF!,"")</f>
        <v>#REF!</v>
      </c>
      <c r="J305" s="73" t="e">
        <f t="shared" si="179"/>
        <v>#REF!</v>
      </c>
      <c r="K305" s="73" t="e">
        <f>IF(VLOOKUP(A305,'Actual Dates'!A4:AF456,26,),'Actual Dates'!#REF!,"")</f>
        <v>#REF!</v>
      </c>
      <c r="L305" s="73" t="e">
        <f>IF(VLOOKUP(A305,'Actual Dates'!A4:AF456,21,),'Actual Dates'!#REF!,"")</f>
        <v>#REF!</v>
      </c>
      <c r="M305" s="73" t="e">
        <f>'Date Calcs'!#REF!</f>
        <v>#REF!</v>
      </c>
      <c r="N305" s="73" t="e">
        <f>IF(VLOOKUP(A305,'Actual Dates'!A4:AF456,27,),'Actual Dates'!#REF!,"")</f>
        <v>#REF!</v>
      </c>
      <c r="O305" s="74" t="e">
        <f t="shared" si="180"/>
        <v>#REF!</v>
      </c>
      <c r="P305" s="75" t="e">
        <f t="shared" si="181"/>
        <v>#REF!</v>
      </c>
      <c r="Q305" s="75" t="e">
        <f t="shared" si="182"/>
        <v>#REF!</v>
      </c>
      <c r="R305" s="132"/>
      <c r="S305" s="133"/>
    </row>
    <row r="306" spans="1:19" x14ac:dyDescent="0.25">
      <c r="A306" s="70" t="e">
        <f>'Date Calcs'!#REF!</f>
        <v>#REF!</v>
      </c>
      <c r="B306" s="71" t="e">
        <f>'Date Calcs'!#REF!</f>
        <v>#REF!</v>
      </c>
      <c r="C306" s="72" t="e">
        <f>'Date Calcs'!#REF!</f>
        <v>#REF!</v>
      </c>
      <c r="D306" s="73" t="e">
        <f t="shared" si="177"/>
        <v>#REF!</v>
      </c>
      <c r="E306" s="66">
        <v>44329</v>
      </c>
      <c r="F306" s="73" t="e">
        <f>'Date Calcs'!#REF!</f>
        <v>#REF!</v>
      </c>
      <c r="G306" s="73" t="e">
        <f>IF(VLOOKUP(A306,'Actual Dates'!A4:AF434,8,),'Actual Dates'!#REF!,"")</f>
        <v>#REF!</v>
      </c>
      <c r="H306" s="73" t="e">
        <f t="shared" si="178"/>
        <v>#REF!</v>
      </c>
      <c r="I306" s="73" t="e">
        <f>IF(VLOOKUP(A306,'Actual Dates'!A4:AF429,25,),'Actual Dates'!#REF!,"")</f>
        <v>#REF!</v>
      </c>
      <c r="J306" s="73" t="e">
        <f t="shared" si="179"/>
        <v>#REF!</v>
      </c>
      <c r="K306" s="73" t="e">
        <f>IF(VLOOKUP(A306,'Actual Dates'!A4:AF457,26,),'Actual Dates'!#REF!,"")</f>
        <v>#REF!</v>
      </c>
      <c r="L306" s="73" t="e">
        <f>IF(VLOOKUP(A306,'Actual Dates'!A4:AF457,21,),'Actual Dates'!#REF!,"")</f>
        <v>#REF!</v>
      </c>
      <c r="M306" s="73" t="e">
        <f>'Date Calcs'!#REF!</f>
        <v>#REF!</v>
      </c>
      <c r="N306" s="73" t="e">
        <f>IF(VLOOKUP(A306,'Actual Dates'!A4:AF457,27,),'Actual Dates'!#REF!,"")</f>
        <v>#REF!</v>
      </c>
      <c r="O306" s="74" t="e">
        <f t="shared" si="180"/>
        <v>#REF!</v>
      </c>
      <c r="P306" s="75" t="e">
        <f t="shared" si="181"/>
        <v>#REF!</v>
      </c>
      <c r="Q306" s="75" t="e">
        <f t="shared" si="182"/>
        <v>#REF!</v>
      </c>
      <c r="R306" s="132"/>
      <c r="S306" s="133"/>
    </row>
    <row r="307" spans="1:19" x14ac:dyDescent="0.25">
      <c r="A307" s="70" t="e">
        <f>'Date Calcs'!#REF!</f>
        <v>#REF!</v>
      </c>
      <c r="B307" s="71" t="e">
        <f>'Date Calcs'!#REF!</f>
        <v>#REF!</v>
      </c>
      <c r="C307" s="72" t="e">
        <f>'Date Calcs'!#REF!</f>
        <v>#REF!</v>
      </c>
      <c r="D307" s="73" t="e">
        <f t="shared" si="177"/>
        <v>#REF!</v>
      </c>
      <c r="E307" s="66">
        <v>44330</v>
      </c>
      <c r="F307" s="73" t="e">
        <f>'Date Calcs'!#REF!</f>
        <v>#REF!</v>
      </c>
      <c r="G307" s="73" t="e">
        <f>IF(VLOOKUP(A307,'Actual Dates'!A4:AF435,8,),'Actual Dates'!#REF!,"")</f>
        <v>#REF!</v>
      </c>
      <c r="H307" s="73" t="e">
        <f t="shared" si="178"/>
        <v>#REF!</v>
      </c>
      <c r="I307" s="73" t="e">
        <f>IF(VLOOKUP(A307,'Actual Dates'!A4:AF430,25,),'Actual Dates'!#REF!,"")</f>
        <v>#REF!</v>
      </c>
      <c r="J307" s="73" t="e">
        <f t="shared" si="179"/>
        <v>#REF!</v>
      </c>
      <c r="K307" s="73" t="e">
        <f>IF(VLOOKUP(A307,'Actual Dates'!A4:AF458,26,),'Actual Dates'!#REF!,"")</f>
        <v>#REF!</v>
      </c>
      <c r="L307" s="73" t="e">
        <f>IF(VLOOKUP(A307,'Actual Dates'!A4:AF458,21,),'Actual Dates'!#REF!,"")</f>
        <v>#REF!</v>
      </c>
      <c r="M307" s="73" t="e">
        <f>'Date Calcs'!#REF!</f>
        <v>#REF!</v>
      </c>
      <c r="N307" s="73" t="e">
        <f>IF(VLOOKUP(A307,'Actual Dates'!A4:AF458,27,),'Actual Dates'!#REF!,"")</f>
        <v>#REF!</v>
      </c>
      <c r="O307" s="74" t="e">
        <f t="shared" si="180"/>
        <v>#REF!</v>
      </c>
      <c r="P307" s="75" t="e">
        <f t="shared" si="181"/>
        <v>#REF!</v>
      </c>
      <c r="Q307" s="75" t="e">
        <f t="shared" si="182"/>
        <v>#REF!</v>
      </c>
      <c r="R307" s="132"/>
      <c r="S307" s="133"/>
    </row>
    <row r="308" spans="1:19" x14ac:dyDescent="0.25">
      <c r="A308" s="70" t="e">
        <f>'Date Calcs'!#REF!</f>
        <v>#REF!</v>
      </c>
      <c r="B308" s="71" t="e">
        <f>'Date Calcs'!#REF!</f>
        <v>#REF!</v>
      </c>
      <c r="C308" s="72" t="e">
        <f>'Date Calcs'!#REF!</f>
        <v>#REF!</v>
      </c>
      <c r="D308" s="73" t="e">
        <f t="shared" si="177"/>
        <v>#REF!</v>
      </c>
      <c r="E308" s="66">
        <v>44331</v>
      </c>
      <c r="F308" s="73" t="e">
        <f>'Date Calcs'!#REF!</f>
        <v>#REF!</v>
      </c>
      <c r="G308" s="73" t="e">
        <f>IF(VLOOKUP(A308,'Actual Dates'!A4:AF436,8,),'Actual Dates'!#REF!,"")</f>
        <v>#REF!</v>
      </c>
      <c r="H308" s="73" t="e">
        <f t="shared" si="178"/>
        <v>#REF!</v>
      </c>
      <c r="I308" s="73" t="e">
        <f>IF(VLOOKUP(A308,'Actual Dates'!A4:AF431,25,),'Actual Dates'!#REF!,"")</f>
        <v>#REF!</v>
      </c>
      <c r="J308" s="73" t="e">
        <f t="shared" si="179"/>
        <v>#REF!</v>
      </c>
      <c r="K308" s="73" t="e">
        <f>IF(VLOOKUP(A308,'Actual Dates'!A4:AF459,26,),'Actual Dates'!#REF!,"")</f>
        <v>#REF!</v>
      </c>
      <c r="L308" s="73" t="e">
        <f>IF(VLOOKUP(A308,'Actual Dates'!A4:AF459,21,),'Actual Dates'!#REF!,"")</f>
        <v>#REF!</v>
      </c>
      <c r="M308" s="73" t="e">
        <f>'Date Calcs'!#REF!</f>
        <v>#REF!</v>
      </c>
      <c r="N308" s="73" t="e">
        <f>IF(VLOOKUP(A308,'Actual Dates'!A4:AF459,27,),'Actual Dates'!#REF!,"")</f>
        <v>#REF!</v>
      </c>
      <c r="O308" s="74" t="e">
        <f t="shared" si="180"/>
        <v>#REF!</v>
      </c>
      <c r="P308" s="75" t="e">
        <f t="shared" si="181"/>
        <v>#REF!</v>
      </c>
      <c r="Q308" s="75" t="e">
        <f t="shared" si="182"/>
        <v>#REF!</v>
      </c>
      <c r="R308" s="132"/>
      <c r="S308" s="133"/>
    </row>
    <row r="309" spans="1:19" x14ac:dyDescent="0.25">
      <c r="A309" s="70" t="e">
        <f>'Date Calcs'!#REF!</f>
        <v>#REF!</v>
      </c>
      <c r="B309" s="71" t="e">
        <f>'Date Calcs'!#REF!</f>
        <v>#REF!</v>
      </c>
      <c r="C309" s="72" t="e">
        <f>'Date Calcs'!#REF!</f>
        <v>#REF!</v>
      </c>
      <c r="D309" s="73" t="e">
        <f t="shared" si="177"/>
        <v>#REF!</v>
      </c>
      <c r="E309" s="66">
        <v>44332</v>
      </c>
      <c r="F309" s="73" t="e">
        <f>'Date Calcs'!#REF!</f>
        <v>#REF!</v>
      </c>
      <c r="G309" s="73" t="e">
        <f>IF(VLOOKUP(A309,'Actual Dates'!A4:AF437,8,),'Actual Dates'!#REF!,"")</f>
        <v>#REF!</v>
      </c>
      <c r="H309" s="73" t="e">
        <f t="shared" si="178"/>
        <v>#REF!</v>
      </c>
      <c r="I309" s="73" t="e">
        <f>IF(VLOOKUP(A309,'Actual Dates'!A4:AF432,25,),'Actual Dates'!#REF!,"")</f>
        <v>#REF!</v>
      </c>
      <c r="J309" s="73" t="e">
        <f t="shared" si="179"/>
        <v>#REF!</v>
      </c>
      <c r="K309" s="73" t="e">
        <f>IF(VLOOKUP(A309,'Actual Dates'!A4:AF460,26,),'Actual Dates'!#REF!,"")</f>
        <v>#REF!</v>
      </c>
      <c r="L309" s="73" t="e">
        <f>IF(VLOOKUP(A309,'Actual Dates'!A4:AF460,21,),'Actual Dates'!#REF!,"")</f>
        <v>#REF!</v>
      </c>
      <c r="M309" s="73" t="e">
        <f>'Date Calcs'!#REF!</f>
        <v>#REF!</v>
      </c>
      <c r="N309" s="73" t="e">
        <f>IF(VLOOKUP(A309,'Actual Dates'!A4:AF460,27,),'Actual Dates'!#REF!,"")</f>
        <v>#REF!</v>
      </c>
      <c r="O309" s="74" t="e">
        <f t="shared" si="180"/>
        <v>#REF!</v>
      </c>
      <c r="P309" s="75" t="e">
        <f t="shared" si="181"/>
        <v>#REF!</v>
      </c>
      <c r="Q309" s="75" t="e">
        <f t="shared" si="182"/>
        <v>#REF!</v>
      </c>
      <c r="R309" s="132"/>
      <c r="S309" s="133"/>
    </row>
    <row r="310" spans="1:19" x14ac:dyDescent="0.25">
      <c r="A310" s="70" t="e">
        <f>'Date Calcs'!#REF!</f>
        <v>#REF!</v>
      </c>
      <c r="B310" s="71" t="e">
        <f>'Date Calcs'!#REF!</f>
        <v>#REF!</v>
      </c>
      <c r="C310" s="72" t="e">
        <f>'Date Calcs'!#REF!</f>
        <v>#REF!</v>
      </c>
      <c r="D310" s="73" t="e">
        <f t="shared" si="177"/>
        <v>#REF!</v>
      </c>
      <c r="E310" s="66">
        <v>44333</v>
      </c>
      <c r="F310" s="73" t="e">
        <f>'Date Calcs'!#REF!</f>
        <v>#REF!</v>
      </c>
      <c r="G310" s="73" t="e">
        <f>IF(VLOOKUP(A310,'Actual Dates'!A4:AF438,8,),'Actual Dates'!#REF!,"")</f>
        <v>#REF!</v>
      </c>
      <c r="H310" s="73" t="e">
        <f t="shared" si="178"/>
        <v>#REF!</v>
      </c>
      <c r="I310" s="73" t="e">
        <f>IF(VLOOKUP(A310,'Actual Dates'!A4:AF433,25,),'Actual Dates'!#REF!,"")</f>
        <v>#REF!</v>
      </c>
      <c r="J310" s="73" t="e">
        <f t="shared" si="179"/>
        <v>#REF!</v>
      </c>
      <c r="K310" s="73" t="e">
        <f>IF(VLOOKUP(A310,'Actual Dates'!A4:AF461,26,),'Actual Dates'!#REF!,"")</f>
        <v>#REF!</v>
      </c>
      <c r="L310" s="73" t="e">
        <f>IF(VLOOKUP(A310,'Actual Dates'!A4:AF461,21,),'Actual Dates'!#REF!,"")</f>
        <v>#REF!</v>
      </c>
      <c r="M310" s="73" t="e">
        <f>'Date Calcs'!#REF!</f>
        <v>#REF!</v>
      </c>
      <c r="N310" s="73" t="e">
        <f>IF(VLOOKUP(A310,'Actual Dates'!A4:AF461,27,),'Actual Dates'!#REF!,"")</f>
        <v>#REF!</v>
      </c>
      <c r="O310" s="74" t="e">
        <f t="shared" si="180"/>
        <v>#REF!</v>
      </c>
      <c r="P310" s="75" t="e">
        <f t="shared" si="181"/>
        <v>#REF!</v>
      </c>
      <c r="Q310" s="75" t="e">
        <f t="shared" si="182"/>
        <v>#REF!</v>
      </c>
      <c r="R310" s="132"/>
      <c r="S310" s="133"/>
    </row>
    <row r="311" spans="1:19" x14ac:dyDescent="0.25">
      <c r="A311" s="70" t="e">
        <f>'Date Calcs'!#REF!</f>
        <v>#REF!</v>
      </c>
      <c r="B311" s="71" t="e">
        <f>'Date Calcs'!#REF!</f>
        <v>#REF!</v>
      </c>
      <c r="C311" s="72" t="e">
        <f>'Date Calcs'!#REF!</f>
        <v>#REF!</v>
      </c>
      <c r="D311" s="73" t="e">
        <f t="shared" si="177"/>
        <v>#REF!</v>
      </c>
      <c r="E311" s="66">
        <v>44334</v>
      </c>
      <c r="F311" s="73" t="e">
        <f>'Date Calcs'!#REF!</f>
        <v>#REF!</v>
      </c>
      <c r="G311" s="73" t="e">
        <f>IF(VLOOKUP(A311,'Actual Dates'!A4:AF439,8,),'Actual Dates'!#REF!,"")</f>
        <v>#REF!</v>
      </c>
      <c r="H311" s="73" t="e">
        <f t="shared" si="178"/>
        <v>#REF!</v>
      </c>
      <c r="I311" s="73" t="e">
        <f>IF(VLOOKUP(A311,'Actual Dates'!A4:AF434,25,),'Actual Dates'!#REF!,"")</f>
        <v>#REF!</v>
      </c>
      <c r="J311" s="73" t="e">
        <f t="shared" si="179"/>
        <v>#REF!</v>
      </c>
      <c r="K311" s="73" t="e">
        <f>IF(VLOOKUP(A311,'Actual Dates'!A4:AF462,26,),'Actual Dates'!#REF!,"")</f>
        <v>#REF!</v>
      </c>
      <c r="L311" s="73" t="e">
        <f>IF(VLOOKUP(A311,'Actual Dates'!A4:AF462,21,),'Actual Dates'!#REF!,"")</f>
        <v>#REF!</v>
      </c>
      <c r="M311" s="73" t="e">
        <f>'Date Calcs'!#REF!</f>
        <v>#REF!</v>
      </c>
      <c r="N311" s="73" t="e">
        <f>IF(VLOOKUP(A311,'Actual Dates'!A4:AF462,27,),'Actual Dates'!#REF!,"")</f>
        <v>#REF!</v>
      </c>
      <c r="O311" s="74" t="e">
        <f t="shared" si="180"/>
        <v>#REF!</v>
      </c>
      <c r="P311" s="75" t="e">
        <f t="shared" si="181"/>
        <v>#REF!</v>
      </c>
      <c r="Q311" s="75" t="e">
        <f t="shared" si="182"/>
        <v>#REF!</v>
      </c>
      <c r="R311" s="132"/>
      <c r="S311" s="133"/>
    </row>
    <row r="312" spans="1:19" x14ac:dyDescent="0.25">
      <c r="A312" s="70" t="e">
        <f>'Date Calcs'!#REF!</f>
        <v>#REF!</v>
      </c>
      <c r="B312" s="71" t="e">
        <f>'Date Calcs'!#REF!</f>
        <v>#REF!</v>
      </c>
      <c r="C312" s="72" t="e">
        <f>'Date Calcs'!#REF!</f>
        <v>#REF!</v>
      </c>
      <c r="D312" s="73" t="e">
        <f t="shared" si="177"/>
        <v>#REF!</v>
      </c>
      <c r="E312" s="66">
        <v>44335</v>
      </c>
      <c r="F312" s="73" t="e">
        <f>'Date Calcs'!#REF!</f>
        <v>#REF!</v>
      </c>
      <c r="G312" s="73" t="e">
        <f>IF(VLOOKUP(A312,'Actual Dates'!A4:AF440,8,),'Actual Dates'!#REF!,"")</f>
        <v>#REF!</v>
      </c>
      <c r="H312" s="73" t="e">
        <f t="shared" si="178"/>
        <v>#REF!</v>
      </c>
      <c r="I312" s="73" t="e">
        <f>IF(VLOOKUP(A312,'Actual Dates'!A4:AF435,25,),'Actual Dates'!#REF!,"")</f>
        <v>#REF!</v>
      </c>
      <c r="J312" s="73" t="e">
        <f t="shared" si="179"/>
        <v>#REF!</v>
      </c>
      <c r="K312" s="73" t="e">
        <f>IF(VLOOKUP(A312,'Actual Dates'!A4:AF463,26,),'Actual Dates'!#REF!,"")</f>
        <v>#REF!</v>
      </c>
      <c r="L312" s="73" t="e">
        <f>IF(VLOOKUP(A312,'Actual Dates'!A4:AF463,21,),'Actual Dates'!#REF!,"")</f>
        <v>#REF!</v>
      </c>
      <c r="M312" s="73" t="e">
        <f>'Date Calcs'!#REF!</f>
        <v>#REF!</v>
      </c>
      <c r="N312" s="73" t="e">
        <f>IF(VLOOKUP(A312,'Actual Dates'!A4:AF463,27,),'Actual Dates'!#REF!,"")</f>
        <v>#REF!</v>
      </c>
      <c r="O312" s="74" t="e">
        <f t="shared" si="180"/>
        <v>#REF!</v>
      </c>
      <c r="P312" s="75" t="e">
        <f t="shared" si="181"/>
        <v>#REF!</v>
      </c>
      <c r="Q312" s="75" t="e">
        <f t="shared" si="182"/>
        <v>#REF!</v>
      </c>
      <c r="R312" s="132"/>
      <c r="S312" s="133"/>
    </row>
    <row r="313" spans="1:19" x14ac:dyDescent="0.25">
      <c r="A313" s="70" t="e">
        <f>'Date Calcs'!#REF!</f>
        <v>#REF!</v>
      </c>
      <c r="B313" s="71" t="e">
        <f>'Date Calcs'!#REF!</f>
        <v>#REF!</v>
      </c>
      <c r="C313" s="72" t="e">
        <f>'Date Calcs'!#REF!</f>
        <v>#REF!</v>
      </c>
      <c r="D313" s="73" t="e">
        <f t="shared" si="177"/>
        <v>#REF!</v>
      </c>
      <c r="E313" s="66">
        <v>44336</v>
      </c>
      <c r="F313" s="73" t="e">
        <f>'Date Calcs'!#REF!</f>
        <v>#REF!</v>
      </c>
      <c r="G313" s="73" t="e">
        <f>IF(VLOOKUP(A313,'Actual Dates'!A4:AF441,8,),'Actual Dates'!#REF!,"")</f>
        <v>#REF!</v>
      </c>
      <c r="H313" s="73" t="e">
        <f t="shared" si="178"/>
        <v>#REF!</v>
      </c>
      <c r="I313" s="73" t="e">
        <f>IF(VLOOKUP(A313,'Actual Dates'!A4:AF436,25,),'Actual Dates'!#REF!,"")</f>
        <v>#REF!</v>
      </c>
      <c r="J313" s="73" t="e">
        <f t="shared" si="179"/>
        <v>#REF!</v>
      </c>
      <c r="K313" s="73" t="e">
        <f>IF(VLOOKUP(A313,'Actual Dates'!A4:AF464,26,),'Actual Dates'!#REF!,"")</f>
        <v>#REF!</v>
      </c>
      <c r="L313" s="73" t="e">
        <f>IF(VLOOKUP(A313,'Actual Dates'!A4:AF464,21,),'Actual Dates'!#REF!,"")</f>
        <v>#REF!</v>
      </c>
      <c r="M313" s="73" t="e">
        <f>'Date Calcs'!#REF!</f>
        <v>#REF!</v>
      </c>
      <c r="N313" s="73" t="e">
        <f>IF(VLOOKUP(A313,'Actual Dates'!A4:AF464,27,),'Actual Dates'!#REF!,"")</f>
        <v>#REF!</v>
      </c>
      <c r="O313" s="74" t="e">
        <f t="shared" si="180"/>
        <v>#REF!</v>
      </c>
      <c r="P313" s="75" t="e">
        <f t="shared" si="181"/>
        <v>#REF!</v>
      </c>
      <c r="Q313" s="75" t="e">
        <f t="shared" si="182"/>
        <v>#REF!</v>
      </c>
      <c r="R313" s="132"/>
      <c r="S313" s="133"/>
    </row>
    <row r="314" spans="1:19" x14ac:dyDescent="0.25">
      <c r="A314" s="70" t="e">
        <f>'Date Calcs'!#REF!</f>
        <v>#REF!</v>
      </c>
      <c r="B314" s="71" t="e">
        <f>'Date Calcs'!#REF!</f>
        <v>#REF!</v>
      </c>
      <c r="C314" s="72" t="e">
        <f>'Date Calcs'!#REF!</f>
        <v>#REF!</v>
      </c>
      <c r="D314" s="73" t="e">
        <f t="shared" si="177"/>
        <v>#REF!</v>
      </c>
      <c r="E314" s="66">
        <v>44337</v>
      </c>
      <c r="F314" s="73" t="e">
        <f>'Date Calcs'!#REF!</f>
        <v>#REF!</v>
      </c>
      <c r="G314" s="73" t="e">
        <f>IF(VLOOKUP(A314,'Actual Dates'!A4:AF442,8,),'Actual Dates'!#REF!,"")</f>
        <v>#REF!</v>
      </c>
      <c r="H314" s="73" t="e">
        <f t="shared" si="178"/>
        <v>#REF!</v>
      </c>
      <c r="I314" s="73" t="e">
        <f>IF(VLOOKUP(A314,'Actual Dates'!A4:AF437,25,),'Actual Dates'!#REF!,"")</f>
        <v>#REF!</v>
      </c>
      <c r="J314" s="73" t="e">
        <f t="shared" si="179"/>
        <v>#REF!</v>
      </c>
      <c r="K314" s="73" t="e">
        <f>IF(VLOOKUP(A314,'Actual Dates'!A4:AF465,26,),'Actual Dates'!#REF!,"")</f>
        <v>#REF!</v>
      </c>
      <c r="L314" s="73" t="e">
        <f>IF(VLOOKUP(A314,'Actual Dates'!A4:AF465,21,),'Actual Dates'!#REF!,"")</f>
        <v>#REF!</v>
      </c>
      <c r="M314" s="73" t="e">
        <f>'Date Calcs'!#REF!</f>
        <v>#REF!</v>
      </c>
      <c r="N314" s="73" t="e">
        <f>IF(VLOOKUP(A314,'Actual Dates'!A4:AF465,27,),'Actual Dates'!#REF!,"")</f>
        <v>#REF!</v>
      </c>
      <c r="O314" s="74" t="e">
        <f t="shared" si="180"/>
        <v>#REF!</v>
      </c>
      <c r="P314" s="75" t="e">
        <f t="shared" si="181"/>
        <v>#REF!</v>
      </c>
      <c r="Q314" s="75" t="e">
        <f t="shared" si="182"/>
        <v>#REF!</v>
      </c>
      <c r="R314" s="132"/>
      <c r="S314" s="133"/>
    </row>
    <row r="315" spans="1:19" x14ac:dyDescent="0.25">
      <c r="A315" s="70" t="e">
        <f>'Date Calcs'!#REF!</f>
        <v>#REF!</v>
      </c>
      <c r="B315" s="71" t="e">
        <f>'Date Calcs'!#REF!</f>
        <v>#REF!</v>
      </c>
      <c r="C315" s="72" t="e">
        <f>'Date Calcs'!#REF!</f>
        <v>#REF!</v>
      </c>
      <c r="D315" s="73" t="e">
        <f t="shared" si="177"/>
        <v>#REF!</v>
      </c>
      <c r="E315" s="66">
        <v>44338</v>
      </c>
      <c r="F315" s="73" t="e">
        <f>'Date Calcs'!#REF!</f>
        <v>#REF!</v>
      </c>
      <c r="G315" s="73" t="e">
        <f>IF(VLOOKUP(A315,'Actual Dates'!A4:AF443,8,),'Actual Dates'!#REF!,"")</f>
        <v>#REF!</v>
      </c>
      <c r="H315" s="73" t="e">
        <f t="shared" si="178"/>
        <v>#REF!</v>
      </c>
      <c r="I315" s="73" t="e">
        <f>IF(VLOOKUP(A315,'Actual Dates'!A4:AF438,25,),'Actual Dates'!#REF!,"")</f>
        <v>#REF!</v>
      </c>
      <c r="J315" s="73" t="e">
        <f t="shared" si="179"/>
        <v>#REF!</v>
      </c>
      <c r="K315" s="73" t="e">
        <f>IF(VLOOKUP(A315,'Actual Dates'!A4:AF466,26,),'Actual Dates'!#REF!,"")</f>
        <v>#REF!</v>
      </c>
      <c r="L315" s="73" t="e">
        <f>IF(VLOOKUP(A315,'Actual Dates'!A4:AF466,21,),'Actual Dates'!#REF!,"")</f>
        <v>#REF!</v>
      </c>
      <c r="M315" s="73" t="e">
        <f>'Date Calcs'!#REF!</f>
        <v>#REF!</v>
      </c>
      <c r="N315" s="73" t="e">
        <f>IF(VLOOKUP(A315,'Actual Dates'!A4:AF466,27,),'Actual Dates'!#REF!,"")</f>
        <v>#REF!</v>
      </c>
      <c r="O315" s="74" t="e">
        <f t="shared" si="180"/>
        <v>#REF!</v>
      </c>
      <c r="P315" s="75" t="e">
        <f t="shared" si="181"/>
        <v>#REF!</v>
      </c>
      <c r="Q315" s="75" t="e">
        <f t="shared" si="182"/>
        <v>#REF!</v>
      </c>
      <c r="R315" s="132"/>
      <c r="S315" s="133"/>
    </row>
    <row r="316" spans="1:19" x14ac:dyDescent="0.25">
      <c r="A316" s="70" t="e">
        <f>'Date Calcs'!#REF!</f>
        <v>#REF!</v>
      </c>
      <c r="B316" s="71" t="e">
        <f>'Date Calcs'!#REF!</f>
        <v>#REF!</v>
      </c>
      <c r="C316" s="72" t="e">
        <f>'Date Calcs'!#REF!</f>
        <v>#REF!</v>
      </c>
      <c r="D316" s="73" t="e">
        <f t="shared" si="177"/>
        <v>#REF!</v>
      </c>
      <c r="E316" s="66">
        <v>44339</v>
      </c>
      <c r="F316" s="73" t="e">
        <f>'Date Calcs'!#REF!</f>
        <v>#REF!</v>
      </c>
      <c r="G316" s="73" t="e">
        <f>IF(VLOOKUP(A316,'Actual Dates'!A4:AF444,8,),'Actual Dates'!#REF!,"")</f>
        <v>#REF!</v>
      </c>
      <c r="H316" s="73" t="e">
        <f t="shared" si="178"/>
        <v>#REF!</v>
      </c>
      <c r="I316" s="73" t="e">
        <f>IF(VLOOKUP(A316,'Actual Dates'!A4:AF439,25,),'Actual Dates'!#REF!,"")</f>
        <v>#REF!</v>
      </c>
      <c r="J316" s="73" t="e">
        <f t="shared" si="179"/>
        <v>#REF!</v>
      </c>
      <c r="K316" s="73" t="e">
        <f>IF(VLOOKUP(A316,'Actual Dates'!A4:AF467,26,),'Actual Dates'!#REF!,"")</f>
        <v>#REF!</v>
      </c>
      <c r="L316" s="73" t="e">
        <f>IF(VLOOKUP(A316,'Actual Dates'!A4:AF467,21,),'Actual Dates'!#REF!,"")</f>
        <v>#REF!</v>
      </c>
      <c r="M316" s="73" t="e">
        <f>'Date Calcs'!#REF!</f>
        <v>#REF!</v>
      </c>
      <c r="N316" s="73" t="e">
        <f>IF(VLOOKUP(A316,'Actual Dates'!A4:AF467,27,),'Actual Dates'!#REF!,"")</f>
        <v>#REF!</v>
      </c>
      <c r="O316" s="74" t="e">
        <f t="shared" si="180"/>
        <v>#REF!</v>
      </c>
      <c r="P316" s="75" t="e">
        <f t="shared" si="181"/>
        <v>#REF!</v>
      </c>
      <c r="Q316" s="75" t="e">
        <f t="shared" si="182"/>
        <v>#REF!</v>
      </c>
      <c r="R316" s="132"/>
      <c r="S316" s="133"/>
    </row>
    <row r="317" spans="1:19" x14ac:dyDescent="0.25">
      <c r="A317" s="70" t="e">
        <f>'Date Calcs'!#REF!</f>
        <v>#REF!</v>
      </c>
      <c r="B317" s="71" t="e">
        <f>'Date Calcs'!#REF!</f>
        <v>#REF!</v>
      </c>
      <c r="C317" s="72" t="e">
        <f>'Date Calcs'!#REF!</f>
        <v>#REF!</v>
      </c>
      <c r="D317" s="73" t="e">
        <f t="shared" si="177"/>
        <v>#REF!</v>
      </c>
      <c r="E317" s="66">
        <v>44340</v>
      </c>
      <c r="F317" s="73" t="e">
        <f>'Date Calcs'!#REF!</f>
        <v>#REF!</v>
      </c>
      <c r="G317" s="73" t="e">
        <f>IF(VLOOKUP(A317,'Actual Dates'!A4:AF445,8,),'Actual Dates'!#REF!,"")</f>
        <v>#REF!</v>
      </c>
      <c r="H317" s="73" t="e">
        <f t="shared" si="178"/>
        <v>#REF!</v>
      </c>
      <c r="I317" s="73" t="e">
        <f>IF(VLOOKUP(A317,'Actual Dates'!A4:AF440,25,),'Actual Dates'!#REF!,"")</f>
        <v>#REF!</v>
      </c>
      <c r="J317" s="73" t="e">
        <f t="shared" si="179"/>
        <v>#REF!</v>
      </c>
      <c r="K317" s="73" t="e">
        <f>IF(VLOOKUP(A317,'Actual Dates'!A4:AF468,26,),'Actual Dates'!#REF!,"")</f>
        <v>#REF!</v>
      </c>
      <c r="L317" s="73" t="e">
        <f>IF(VLOOKUP(A317,'Actual Dates'!A4:AF468,21,),'Actual Dates'!#REF!,"")</f>
        <v>#REF!</v>
      </c>
      <c r="M317" s="73" t="e">
        <f>'Date Calcs'!#REF!</f>
        <v>#REF!</v>
      </c>
      <c r="N317" s="73" t="e">
        <f>IF(VLOOKUP(A317,'Actual Dates'!A4:AF468,27,),'Actual Dates'!#REF!,"")</f>
        <v>#REF!</v>
      </c>
      <c r="O317" s="74" t="e">
        <f t="shared" si="180"/>
        <v>#REF!</v>
      </c>
      <c r="P317" s="75" t="e">
        <f t="shared" si="181"/>
        <v>#REF!</v>
      </c>
      <c r="Q317" s="75" t="e">
        <f t="shared" si="182"/>
        <v>#REF!</v>
      </c>
      <c r="R317" s="132"/>
      <c r="S317" s="133"/>
    </row>
    <row r="318" spans="1:19" x14ac:dyDescent="0.25">
      <c r="A318" s="70" t="e">
        <f>'Date Calcs'!#REF!</f>
        <v>#REF!</v>
      </c>
      <c r="B318" s="71" t="e">
        <f>'Date Calcs'!#REF!</f>
        <v>#REF!</v>
      </c>
      <c r="C318" s="72" t="e">
        <f>'Date Calcs'!#REF!</f>
        <v>#REF!</v>
      </c>
      <c r="D318" s="73" t="e">
        <f t="shared" si="177"/>
        <v>#REF!</v>
      </c>
      <c r="E318" s="66">
        <v>44341</v>
      </c>
      <c r="F318" s="73" t="e">
        <f>'Date Calcs'!#REF!</f>
        <v>#REF!</v>
      </c>
      <c r="G318" s="73" t="e">
        <f>IF(VLOOKUP(A318,'Actual Dates'!A4:AF446,8,),'Actual Dates'!#REF!,"")</f>
        <v>#REF!</v>
      </c>
      <c r="H318" s="73" t="e">
        <f t="shared" si="178"/>
        <v>#REF!</v>
      </c>
      <c r="I318" s="73" t="e">
        <f>IF(VLOOKUP(A318,'Actual Dates'!A4:AF441,25,),'Actual Dates'!#REF!,"")</f>
        <v>#REF!</v>
      </c>
      <c r="J318" s="73" t="e">
        <f t="shared" si="179"/>
        <v>#REF!</v>
      </c>
      <c r="K318" s="73" t="e">
        <f>IF(VLOOKUP(A318,'Actual Dates'!A4:AF469,26,),'Actual Dates'!#REF!,"")</f>
        <v>#REF!</v>
      </c>
      <c r="L318" s="73" t="e">
        <f>IF(VLOOKUP(A318,'Actual Dates'!A4:AF469,21,),'Actual Dates'!#REF!,"")</f>
        <v>#REF!</v>
      </c>
      <c r="M318" s="73" t="e">
        <f>'Date Calcs'!#REF!</f>
        <v>#REF!</v>
      </c>
      <c r="N318" s="73" t="e">
        <f>IF(VLOOKUP(A318,'Actual Dates'!A4:AF469,27,),'Actual Dates'!#REF!,"")</f>
        <v>#REF!</v>
      </c>
      <c r="O318" s="74" t="e">
        <f t="shared" si="180"/>
        <v>#REF!</v>
      </c>
      <c r="P318" s="75" t="e">
        <f t="shared" si="181"/>
        <v>#REF!</v>
      </c>
      <c r="Q318" s="75" t="e">
        <f t="shared" si="182"/>
        <v>#REF!</v>
      </c>
      <c r="R318" s="132"/>
      <c r="S318" s="133"/>
    </row>
    <row r="319" spans="1:19" x14ac:dyDescent="0.25">
      <c r="A319" s="70" t="e">
        <f>'Date Calcs'!#REF!</f>
        <v>#REF!</v>
      </c>
      <c r="B319" s="71" t="e">
        <f>'Date Calcs'!#REF!</f>
        <v>#REF!</v>
      </c>
      <c r="C319" s="72" t="e">
        <f>'Date Calcs'!#REF!</f>
        <v>#REF!</v>
      </c>
      <c r="D319" s="73" t="e">
        <f t="shared" si="177"/>
        <v>#REF!</v>
      </c>
      <c r="E319" s="66">
        <v>44342</v>
      </c>
      <c r="F319" s="73" t="e">
        <f>'Date Calcs'!#REF!</f>
        <v>#REF!</v>
      </c>
      <c r="G319" s="73" t="e">
        <f>IF(VLOOKUP(A319,'Actual Dates'!A4:AF447,8,),'Actual Dates'!#REF!,"")</f>
        <v>#REF!</v>
      </c>
      <c r="H319" s="73" t="e">
        <f t="shared" si="178"/>
        <v>#REF!</v>
      </c>
      <c r="I319" s="73" t="e">
        <f>IF(VLOOKUP(A319,'Actual Dates'!A4:AF442,25,),'Actual Dates'!#REF!,"")</f>
        <v>#REF!</v>
      </c>
      <c r="J319" s="73" t="e">
        <f t="shared" si="179"/>
        <v>#REF!</v>
      </c>
      <c r="K319" s="73" t="e">
        <f>IF(VLOOKUP(A319,'Actual Dates'!A4:AF470,26,),'Actual Dates'!#REF!,"")</f>
        <v>#REF!</v>
      </c>
      <c r="L319" s="73" t="e">
        <f>IF(VLOOKUP(A319,'Actual Dates'!A4:AF470,21,),'Actual Dates'!#REF!,"")</f>
        <v>#REF!</v>
      </c>
      <c r="M319" s="73" t="e">
        <f>'Date Calcs'!#REF!</f>
        <v>#REF!</v>
      </c>
      <c r="N319" s="73" t="e">
        <f>IF(VLOOKUP(A319,'Actual Dates'!A4:AF470,27,),'Actual Dates'!#REF!,"")</f>
        <v>#REF!</v>
      </c>
      <c r="O319" s="74" t="e">
        <f t="shared" si="180"/>
        <v>#REF!</v>
      </c>
      <c r="P319" s="75" t="e">
        <f t="shared" si="181"/>
        <v>#REF!</v>
      </c>
      <c r="Q319" s="75" t="e">
        <f t="shared" si="182"/>
        <v>#REF!</v>
      </c>
      <c r="R319" s="132"/>
      <c r="S319" s="133"/>
    </row>
    <row r="320" spans="1:19" x14ac:dyDescent="0.25">
      <c r="A320" s="70" t="e">
        <f>'Date Calcs'!#REF!</f>
        <v>#REF!</v>
      </c>
      <c r="B320" s="71" t="e">
        <f>'Date Calcs'!#REF!</f>
        <v>#REF!</v>
      </c>
      <c r="C320" s="72" t="e">
        <f>'Date Calcs'!#REF!</f>
        <v>#REF!</v>
      </c>
      <c r="D320" s="73" t="e">
        <f t="shared" si="177"/>
        <v>#REF!</v>
      </c>
      <c r="E320" s="66">
        <v>44343</v>
      </c>
      <c r="F320" s="73" t="e">
        <f>'Date Calcs'!#REF!</f>
        <v>#REF!</v>
      </c>
      <c r="G320" s="73" t="e">
        <f>IF(VLOOKUP(A320,'Actual Dates'!A4:AF448,8,),'Actual Dates'!#REF!,"")</f>
        <v>#REF!</v>
      </c>
      <c r="H320" s="73" t="e">
        <f t="shared" si="178"/>
        <v>#REF!</v>
      </c>
      <c r="I320" s="73" t="e">
        <f>IF(VLOOKUP(A320,'Actual Dates'!A4:AF443,25,),'Actual Dates'!#REF!,"")</f>
        <v>#REF!</v>
      </c>
      <c r="J320" s="73" t="e">
        <f t="shared" si="179"/>
        <v>#REF!</v>
      </c>
      <c r="K320" s="73" t="e">
        <f>IF(VLOOKUP(A320,'Actual Dates'!A4:AF471,26,),'Actual Dates'!#REF!,"")</f>
        <v>#REF!</v>
      </c>
      <c r="L320" s="73" t="e">
        <f>IF(VLOOKUP(A320,'Actual Dates'!A4:AF471,21,),'Actual Dates'!#REF!,"")</f>
        <v>#REF!</v>
      </c>
      <c r="M320" s="73" t="e">
        <f>'Date Calcs'!#REF!</f>
        <v>#REF!</v>
      </c>
      <c r="N320" s="73" t="e">
        <f>IF(VLOOKUP(A320,'Actual Dates'!A4:AF471,27,),'Actual Dates'!#REF!,"")</f>
        <v>#REF!</v>
      </c>
      <c r="O320" s="74" t="e">
        <f t="shared" si="180"/>
        <v>#REF!</v>
      </c>
      <c r="P320" s="75" t="e">
        <f t="shared" si="181"/>
        <v>#REF!</v>
      </c>
      <c r="Q320" s="75" t="e">
        <f t="shared" si="182"/>
        <v>#REF!</v>
      </c>
      <c r="R320" s="132"/>
      <c r="S320" s="133"/>
    </row>
    <row r="321" spans="1:19" x14ac:dyDescent="0.25">
      <c r="A321" s="70" t="e">
        <f>'Date Calcs'!#REF!</f>
        <v>#REF!</v>
      </c>
      <c r="B321" s="71" t="e">
        <f>'Date Calcs'!#REF!</f>
        <v>#REF!</v>
      </c>
      <c r="C321" s="72" t="e">
        <f>'Date Calcs'!#REF!</f>
        <v>#REF!</v>
      </c>
      <c r="D321" s="73" t="e">
        <f t="shared" si="177"/>
        <v>#REF!</v>
      </c>
      <c r="E321" s="66">
        <v>44344</v>
      </c>
      <c r="F321" s="73" t="e">
        <f>'Date Calcs'!#REF!</f>
        <v>#REF!</v>
      </c>
      <c r="G321" s="73" t="e">
        <f>IF(VLOOKUP(A321,'Actual Dates'!A4:AF449,8,),'Actual Dates'!#REF!,"")</f>
        <v>#REF!</v>
      </c>
      <c r="H321" s="73" t="e">
        <f t="shared" si="178"/>
        <v>#REF!</v>
      </c>
      <c r="I321" s="73" t="e">
        <f>IF(VLOOKUP(A321,'Actual Dates'!A4:AF444,25,),'Actual Dates'!#REF!,"")</f>
        <v>#REF!</v>
      </c>
      <c r="J321" s="73" t="e">
        <f t="shared" si="179"/>
        <v>#REF!</v>
      </c>
      <c r="K321" s="73" t="e">
        <f>IF(VLOOKUP(A321,'Actual Dates'!A4:AF472,26,),'Actual Dates'!#REF!,"")</f>
        <v>#REF!</v>
      </c>
      <c r="L321" s="73" t="e">
        <f>IF(VLOOKUP(A321,'Actual Dates'!A4:AF472,21,),'Actual Dates'!#REF!,"")</f>
        <v>#REF!</v>
      </c>
      <c r="M321" s="73" t="e">
        <f>'Date Calcs'!#REF!</f>
        <v>#REF!</v>
      </c>
      <c r="N321" s="73" t="e">
        <f>IF(VLOOKUP(A321,'Actual Dates'!A4:AF472,27,),'Actual Dates'!#REF!,"")</f>
        <v>#REF!</v>
      </c>
      <c r="O321" s="74" t="e">
        <f t="shared" si="180"/>
        <v>#REF!</v>
      </c>
      <c r="P321" s="75" t="e">
        <f t="shared" si="181"/>
        <v>#REF!</v>
      </c>
      <c r="Q321" s="75" t="e">
        <f t="shared" si="182"/>
        <v>#REF!</v>
      </c>
      <c r="R321" s="132"/>
      <c r="S321" s="133"/>
    </row>
    <row r="322" spans="1:19" x14ac:dyDescent="0.25">
      <c r="A322" s="70" t="e">
        <f>'Date Calcs'!#REF!</f>
        <v>#REF!</v>
      </c>
      <c r="B322" s="71" t="e">
        <f>'Date Calcs'!#REF!</f>
        <v>#REF!</v>
      </c>
      <c r="C322" s="72" t="e">
        <f>'Date Calcs'!#REF!</f>
        <v>#REF!</v>
      </c>
      <c r="D322" s="73" t="e">
        <f t="shared" si="177"/>
        <v>#REF!</v>
      </c>
      <c r="E322" s="66">
        <v>44345</v>
      </c>
      <c r="F322" s="73" t="e">
        <f>'Date Calcs'!#REF!</f>
        <v>#REF!</v>
      </c>
      <c r="G322" s="73" t="e">
        <f>IF(VLOOKUP(A322,'Actual Dates'!A4:AF450,8,),'Actual Dates'!#REF!,"")</f>
        <v>#REF!</v>
      </c>
      <c r="H322" s="73" t="e">
        <f t="shared" si="178"/>
        <v>#REF!</v>
      </c>
      <c r="I322" s="73" t="e">
        <f>IF(VLOOKUP(A322,'Actual Dates'!A4:AF445,25,),'Actual Dates'!#REF!,"")</f>
        <v>#REF!</v>
      </c>
      <c r="J322" s="73" t="e">
        <f t="shared" si="179"/>
        <v>#REF!</v>
      </c>
      <c r="K322" s="73" t="e">
        <f>IF(VLOOKUP(A322,'Actual Dates'!A4:AF473,26,),'Actual Dates'!#REF!,"")</f>
        <v>#REF!</v>
      </c>
      <c r="L322" s="73" t="e">
        <f>IF(VLOOKUP(A322,'Actual Dates'!A4:AF473,21,),'Actual Dates'!#REF!,"")</f>
        <v>#REF!</v>
      </c>
      <c r="M322" s="73" t="e">
        <f>'Date Calcs'!#REF!</f>
        <v>#REF!</v>
      </c>
      <c r="N322" s="73" t="e">
        <f>IF(VLOOKUP(A322,'Actual Dates'!A4:AF473,27,),'Actual Dates'!#REF!,"")</f>
        <v>#REF!</v>
      </c>
      <c r="O322" s="74" t="e">
        <f t="shared" si="180"/>
        <v>#REF!</v>
      </c>
      <c r="P322" s="75" t="e">
        <f t="shared" si="181"/>
        <v>#REF!</v>
      </c>
      <c r="Q322" s="75" t="e">
        <f t="shared" si="182"/>
        <v>#REF!</v>
      </c>
      <c r="R322" s="132"/>
      <c r="S322" s="133"/>
    </row>
    <row r="323" spans="1:19" x14ac:dyDescent="0.25">
      <c r="A323" s="70" t="e">
        <f>'Date Calcs'!#REF!</f>
        <v>#REF!</v>
      </c>
      <c r="B323" s="71" t="e">
        <f>'Date Calcs'!#REF!</f>
        <v>#REF!</v>
      </c>
      <c r="C323" s="72" t="e">
        <f>'Date Calcs'!#REF!</f>
        <v>#REF!</v>
      </c>
      <c r="D323" s="73" t="e">
        <f t="shared" si="177"/>
        <v>#REF!</v>
      </c>
      <c r="E323" s="66">
        <v>44346</v>
      </c>
      <c r="F323" s="73" t="e">
        <f>'Date Calcs'!#REF!</f>
        <v>#REF!</v>
      </c>
      <c r="G323" s="73" t="e">
        <f>IF(VLOOKUP(A323,'Actual Dates'!A4:AF451,8,),'Actual Dates'!#REF!,"")</f>
        <v>#REF!</v>
      </c>
      <c r="H323" s="73" t="e">
        <f t="shared" si="178"/>
        <v>#REF!</v>
      </c>
      <c r="I323" s="73" t="e">
        <f>IF(VLOOKUP(A323,'Actual Dates'!A4:AF446,25,),'Actual Dates'!#REF!,"")</f>
        <v>#REF!</v>
      </c>
      <c r="J323" s="73" t="e">
        <f t="shared" si="179"/>
        <v>#REF!</v>
      </c>
      <c r="K323" s="73" t="e">
        <f>IF(VLOOKUP(A323,'Actual Dates'!A4:AF474,26,),'Actual Dates'!#REF!,"")</f>
        <v>#REF!</v>
      </c>
      <c r="L323" s="73" t="e">
        <f>IF(VLOOKUP(A323,'Actual Dates'!A4:AF474,21,),'Actual Dates'!#REF!,"")</f>
        <v>#REF!</v>
      </c>
      <c r="M323" s="73" t="e">
        <f>'Date Calcs'!#REF!</f>
        <v>#REF!</v>
      </c>
      <c r="N323" s="73" t="e">
        <f>IF(VLOOKUP(A323,'Actual Dates'!A4:AF474,27,),'Actual Dates'!#REF!,"")</f>
        <v>#REF!</v>
      </c>
      <c r="O323" s="74" t="e">
        <f t="shared" si="180"/>
        <v>#REF!</v>
      </c>
      <c r="P323" s="75" t="e">
        <f t="shared" si="181"/>
        <v>#REF!</v>
      </c>
      <c r="Q323" s="75" t="e">
        <f t="shared" si="182"/>
        <v>#REF!</v>
      </c>
      <c r="R323" s="132"/>
      <c r="S323" s="133"/>
    </row>
    <row r="324" spans="1:19" x14ac:dyDescent="0.25">
      <c r="A324" s="70" t="e">
        <f>'Date Calcs'!#REF!</f>
        <v>#REF!</v>
      </c>
      <c r="B324" s="71" t="e">
        <f>'Date Calcs'!#REF!</f>
        <v>#REF!</v>
      </c>
      <c r="C324" s="72" t="e">
        <f>'Date Calcs'!#REF!</f>
        <v>#REF!</v>
      </c>
      <c r="D324" s="73" t="e">
        <f t="shared" si="177"/>
        <v>#REF!</v>
      </c>
      <c r="E324" s="66">
        <v>44347</v>
      </c>
      <c r="F324" s="73" t="e">
        <f>'Date Calcs'!#REF!</f>
        <v>#REF!</v>
      </c>
      <c r="G324" s="73" t="e">
        <f>IF(VLOOKUP(A324,'Actual Dates'!A4:AF452,8,),'Actual Dates'!#REF!,"")</f>
        <v>#REF!</v>
      </c>
      <c r="H324" s="73" t="e">
        <f t="shared" si="178"/>
        <v>#REF!</v>
      </c>
      <c r="I324" s="73" t="e">
        <f>IF(VLOOKUP(A324,'Actual Dates'!A4:AF447,25,),'Actual Dates'!#REF!,"")</f>
        <v>#REF!</v>
      </c>
      <c r="J324" s="73" t="e">
        <f t="shared" si="179"/>
        <v>#REF!</v>
      </c>
      <c r="K324" s="73" t="e">
        <f>IF(VLOOKUP(A324,'Actual Dates'!A4:AF475,26,),'Actual Dates'!#REF!,"")</f>
        <v>#REF!</v>
      </c>
      <c r="L324" s="73" t="e">
        <f>IF(VLOOKUP(A324,'Actual Dates'!A4:AF475,21,),'Actual Dates'!#REF!,"")</f>
        <v>#REF!</v>
      </c>
      <c r="M324" s="73" t="e">
        <f>'Date Calcs'!#REF!</f>
        <v>#REF!</v>
      </c>
      <c r="N324" s="73" t="e">
        <f>IF(VLOOKUP(A324,'Actual Dates'!A4:AF475,27,),'Actual Dates'!#REF!,"")</f>
        <v>#REF!</v>
      </c>
      <c r="O324" s="74" t="e">
        <f t="shared" si="180"/>
        <v>#REF!</v>
      </c>
      <c r="P324" s="75" t="e">
        <f t="shared" si="181"/>
        <v>#REF!</v>
      </c>
      <c r="Q324" s="75" t="e">
        <f t="shared" si="182"/>
        <v>#REF!</v>
      </c>
      <c r="R324" s="132"/>
      <c r="S324" s="133"/>
    </row>
    <row r="325" spans="1:19" x14ac:dyDescent="0.25">
      <c r="A325" s="70" t="e">
        <f>'Date Calcs'!#REF!</f>
        <v>#REF!</v>
      </c>
      <c r="B325" s="71" t="e">
        <f>'Date Calcs'!#REF!</f>
        <v>#REF!</v>
      </c>
      <c r="C325" s="72" t="e">
        <f>'Date Calcs'!#REF!</f>
        <v>#REF!</v>
      </c>
      <c r="D325" s="73" t="e">
        <f t="shared" si="177"/>
        <v>#REF!</v>
      </c>
      <c r="E325" s="66">
        <v>44348</v>
      </c>
      <c r="F325" s="73" t="e">
        <f>'Date Calcs'!#REF!</f>
        <v>#REF!</v>
      </c>
      <c r="G325" s="73" t="e">
        <f>IF(VLOOKUP(A325,'Actual Dates'!A4:AF453,8,),'Actual Dates'!#REF!,"")</f>
        <v>#REF!</v>
      </c>
      <c r="H325" s="73" t="e">
        <f t="shared" si="178"/>
        <v>#REF!</v>
      </c>
      <c r="I325" s="73" t="e">
        <f>IF(VLOOKUP(A325,'Actual Dates'!A4:AF448,25,),'Actual Dates'!#REF!,"")</f>
        <v>#REF!</v>
      </c>
      <c r="J325" s="73" t="e">
        <f t="shared" si="179"/>
        <v>#REF!</v>
      </c>
      <c r="K325" s="73" t="e">
        <f>IF(VLOOKUP(A325,'Actual Dates'!A4:AF476,26,),'Actual Dates'!#REF!,"")</f>
        <v>#REF!</v>
      </c>
      <c r="L325" s="73" t="e">
        <f>IF(VLOOKUP(A325,'Actual Dates'!A4:AF476,21,),'Actual Dates'!#REF!,"")</f>
        <v>#REF!</v>
      </c>
      <c r="M325" s="73" t="e">
        <f>'Date Calcs'!#REF!</f>
        <v>#REF!</v>
      </c>
      <c r="N325" s="73" t="e">
        <f>IF(VLOOKUP(A325,'Actual Dates'!A4:AF476,27,),'Actual Dates'!#REF!,"")</f>
        <v>#REF!</v>
      </c>
      <c r="O325" s="74" t="e">
        <f t="shared" si="180"/>
        <v>#REF!</v>
      </c>
      <c r="P325" s="75" t="e">
        <f t="shared" si="181"/>
        <v>#REF!</v>
      </c>
      <c r="Q325" s="75" t="e">
        <f t="shared" si="182"/>
        <v>#REF!</v>
      </c>
      <c r="R325" s="132"/>
      <c r="S325" s="133"/>
    </row>
    <row r="326" spans="1:19" x14ac:dyDescent="0.25">
      <c r="A326" s="70" t="e">
        <f>'Date Calcs'!#REF!</f>
        <v>#REF!</v>
      </c>
      <c r="B326" s="71" t="e">
        <f>'Date Calcs'!#REF!</f>
        <v>#REF!</v>
      </c>
      <c r="C326" s="72" t="e">
        <f>'Date Calcs'!#REF!</f>
        <v>#REF!</v>
      </c>
      <c r="D326" s="73" t="e">
        <f t="shared" si="177"/>
        <v>#REF!</v>
      </c>
      <c r="E326" s="66">
        <v>44349</v>
      </c>
      <c r="F326" s="73" t="e">
        <f>'Date Calcs'!#REF!</f>
        <v>#REF!</v>
      </c>
      <c r="G326" s="73" t="e">
        <f>IF(VLOOKUP(A326,'Actual Dates'!A4:AF454,8,),'Actual Dates'!#REF!,"")</f>
        <v>#REF!</v>
      </c>
      <c r="H326" s="73" t="e">
        <f t="shared" si="178"/>
        <v>#REF!</v>
      </c>
      <c r="I326" s="73" t="e">
        <f>IF(VLOOKUP(A326,'Actual Dates'!A4:AF449,25,),'Actual Dates'!#REF!,"")</f>
        <v>#REF!</v>
      </c>
      <c r="J326" s="73" t="e">
        <f t="shared" si="179"/>
        <v>#REF!</v>
      </c>
      <c r="K326" s="73" t="e">
        <f>IF(VLOOKUP(A326,'Actual Dates'!A4:AF477,26,),'Actual Dates'!#REF!,"")</f>
        <v>#REF!</v>
      </c>
      <c r="L326" s="73" t="e">
        <f>IF(VLOOKUP(A326,'Actual Dates'!A4:AF477,21,),'Actual Dates'!#REF!,"")</f>
        <v>#REF!</v>
      </c>
      <c r="M326" s="73" t="e">
        <f>'Date Calcs'!#REF!</f>
        <v>#REF!</v>
      </c>
      <c r="N326" s="73" t="e">
        <f>IF(VLOOKUP(A326,'Actual Dates'!A4:AF477,27,),'Actual Dates'!#REF!,"")</f>
        <v>#REF!</v>
      </c>
      <c r="O326" s="74" t="e">
        <f t="shared" si="180"/>
        <v>#REF!</v>
      </c>
      <c r="P326" s="75" t="e">
        <f t="shared" si="181"/>
        <v>#REF!</v>
      </c>
      <c r="Q326" s="75" t="e">
        <f t="shared" si="182"/>
        <v>#REF!</v>
      </c>
      <c r="R326" s="132"/>
      <c r="S326" s="133"/>
    </row>
    <row r="327" spans="1:19" x14ac:dyDescent="0.25">
      <c r="A327" s="70" t="e">
        <f>'Date Calcs'!#REF!</f>
        <v>#REF!</v>
      </c>
      <c r="B327" s="71" t="e">
        <f>'Date Calcs'!#REF!</f>
        <v>#REF!</v>
      </c>
      <c r="C327" s="72" t="e">
        <f>'Date Calcs'!#REF!</f>
        <v>#REF!</v>
      </c>
      <c r="D327" s="73" t="e">
        <f t="shared" si="177"/>
        <v>#REF!</v>
      </c>
      <c r="E327" s="66">
        <v>44350</v>
      </c>
      <c r="F327" s="73" t="e">
        <f>'Date Calcs'!#REF!</f>
        <v>#REF!</v>
      </c>
      <c r="G327" s="73" t="e">
        <f>IF(VLOOKUP(A327,'Actual Dates'!A4:AF455,8,),'Actual Dates'!#REF!,"")</f>
        <v>#REF!</v>
      </c>
      <c r="H327" s="73" t="e">
        <f t="shared" si="178"/>
        <v>#REF!</v>
      </c>
      <c r="I327" s="73" t="e">
        <f>IF(VLOOKUP(A327,'Actual Dates'!A4:AF450,25,),'Actual Dates'!#REF!,"")</f>
        <v>#REF!</v>
      </c>
      <c r="J327" s="73" t="e">
        <f t="shared" si="179"/>
        <v>#REF!</v>
      </c>
      <c r="K327" s="73" t="e">
        <f>IF(VLOOKUP(A327,'Actual Dates'!A4:AF478,26,),'Actual Dates'!#REF!,"")</f>
        <v>#REF!</v>
      </c>
      <c r="L327" s="73" t="e">
        <f>IF(VLOOKUP(A327,'Actual Dates'!A4:AF478,21,),'Actual Dates'!#REF!,"")</f>
        <v>#REF!</v>
      </c>
      <c r="M327" s="73" t="e">
        <f>'Date Calcs'!#REF!</f>
        <v>#REF!</v>
      </c>
      <c r="N327" s="73" t="e">
        <f>IF(VLOOKUP(A327,'Actual Dates'!A4:AF478,27,),'Actual Dates'!#REF!,"")</f>
        <v>#REF!</v>
      </c>
      <c r="O327" s="74" t="e">
        <f t="shared" si="180"/>
        <v>#REF!</v>
      </c>
      <c r="P327" s="75" t="e">
        <f t="shared" si="181"/>
        <v>#REF!</v>
      </c>
      <c r="Q327" s="75" t="e">
        <f t="shared" si="182"/>
        <v>#REF!</v>
      </c>
      <c r="R327" s="132"/>
      <c r="S327" s="133"/>
    </row>
    <row r="328" spans="1:19" x14ac:dyDescent="0.25">
      <c r="A328" s="70" t="e">
        <f>'Date Calcs'!#REF!</f>
        <v>#REF!</v>
      </c>
      <c r="B328" s="71" t="e">
        <f>'Date Calcs'!#REF!</f>
        <v>#REF!</v>
      </c>
      <c r="C328" s="72" t="e">
        <f>'Date Calcs'!#REF!</f>
        <v>#REF!</v>
      </c>
      <c r="D328" s="73" t="e">
        <f t="shared" si="177"/>
        <v>#REF!</v>
      </c>
      <c r="E328" s="66">
        <v>44351</v>
      </c>
      <c r="F328" s="73" t="e">
        <f>'Date Calcs'!#REF!</f>
        <v>#REF!</v>
      </c>
      <c r="G328" s="73" t="e">
        <f>IF(VLOOKUP(A328,'Actual Dates'!A4:AF456,8,),'Actual Dates'!#REF!,"")</f>
        <v>#REF!</v>
      </c>
      <c r="H328" s="73" t="e">
        <f t="shared" si="178"/>
        <v>#REF!</v>
      </c>
      <c r="I328" s="73" t="e">
        <f>IF(VLOOKUP(A328,'Actual Dates'!A4:AF451,25,),'Actual Dates'!#REF!,"")</f>
        <v>#REF!</v>
      </c>
      <c r="J328" s="73" t="e">
        <f t="shared" si="179"/>
        <v>#REF!</v>
      </c>
      <c r="K328" s="73" t="e">
        <f>IF(VLOOKUP(A328,'Actual Dates'!A4:AF479,26,),'Actual Dates'!#REF!,"")</f>
        <v>#REF!</v>
      </c>
      <c r="L328" s="73" t="e">
        <f>IF(VLOOKUP(A328,'Actual Dates'!A4:AF479,21,),'Actual Dates'!#REF!,"")</f>
        <v>#REF!</v>
      </c>
      <c r="M328" s="73" t="e">
        <f>'Date Calcs'!#REF!</f>
        <v>#REF!</v>
      </c>
      <c r="N328" s="73" t="e">
        <f>IF(VLOOKUP(A328,'Actual Dates'!A4:AF479,27,),'Actual Dates'!#REF!,"")</f>
        <v>#REF!</v>
      </c>
      <c r="O328" s="74" t="e">
        <f t="shared" si="180"/>
        <v>#REF!</v>
      </c>
      <c r="P328" s="75" t="e">
        <f t="shared" si="181"/>
        <v>#REF!</v>
      </c>
      <c r="Q328" s="75" t="e">
        <f t="shared" si="182"/>
        <v>#REF!</v>
      </c>
      <c r="R328" s="132"/>
      <c r="S328" s="133"/>
    </row>
    <row r="329" spans="1:19" x14ac:dyDescent="0.25">
      <c r="A329" s="70" t="e">
        <f>'Date Calcs'!#REF!</f>
        <v>#REF!</v>
      </c>
      <c r="B329" s="71" t="e">
        <f>'Date Calcs'!#REF!</f>
        <v>#REF!</v>
      </c>
      <c r="C329" s="72" t="e">
        <f>'Date Calcs'!#REF!</f>
        <v>#REF!</v>
      </c>
      <c r="D329" s="73" t="e">
        <f t="shared" ref="D329:D392" si="183">WORKDAY(F329,-1,)</f>
        <v>#REF!</v>
      </c>
      <c r="E329" s="66">
        <v>44352</v>
      </c>
      <c r="F329" s="73" t="e">
        <f>'Date Calcs'!#REF!</f>
        <v>#REF!</v>
      </c>
      <c r="G329" s="73" t="e">
        <f>IF(VLOOKUP(A329,'Actual Dates'!A4:AF457,8,),'Actual Dates'!#REF!,"")</f>
        <v>#REF!</v>
      </c>
      <c r="H329" s="73" t="e">
        <f t="shared" ref="H329:H392" si="184">WORKDAY(L329,3,)</f>
        <v>#REF!</v>
      </c>
      <c r="I329" s="73" t="e">
        <f>IF(VLOOKUP(A329,'Actual Dates'!A4:AF452,25,),'Actual Dates'!#REF!,"")</f>
        <v>#REF!</v>
      </c>
      <c r="J329" s="73" t="e">
        <f t="shared" ref="J329:J392" si="185">WORKDAY(L329,4,)</f>
        <v>#REF!</v>
      </c>
      <c r="K329" s="73" t="e">
        <f>IF(VLOOKUP(A329,'Actual Dates'!A4:AF480,26,),'Actual Dates'!#REF!,"")</f>
        <v>#REF!</v>
      </c>
      <c r="L329" s="73" t="e">
        <f>IF(VLOOKUP(A329,'Actual Dates'!A4:AF480,21,),'Actual Dates'!#REF!,"")</f>
        <v>#REF!</v>
      </c>
      <c r="M329" s="73" t="e">
        <f>'Date Calcs'!#REF!</f>
        <v>#REF!</v>
      </c>
      <c r="N329" s="73" t="e">
        <f>IF(VLOOKUP(A329,'Actual Dates'!A4:AF480,27,),'Actual Dates'!#REF!,"")</f>
        <v>#REF!</v>
      </c>
      <c r="O329" s="74" t="e">
        <f t="shared" ref="O329:O392" si="186">N329-C329</f>
        <v>#REF!</v>
      </c>
      <c r="P329" s="75" t="e">
        <f t="shared" ref="P329:P392" si="187">F329-G329</f>
        <v>#REF!</v>
      </c>
      <c r="Q329" s="75" t="e">
        <f t="shared" ref="Q329:Q392" si="188">M329-N329</f>
        <v>#REF!</v>
      </c>
      <c r="R329" s="132"/>
      <c r="S329" s="133"/>
    </row>
    <row r="330" spans="1:19" x14ac:dyDescent="0.25">
      <c r="A330" s="70" t="e">
        <f>'Date Calcs'!#REF!</f>
        <v>#REF!</v>
      </c>
      <c r="B330" s="71" t="e">
        <f>'Date Calcs'!#REF!</f>
        <v>#REF!</v>
      </c>
      <c r="C330" s="72" t="e">
        <f>'Date Calcs'!#REF!</f>
        <v>#REF!</v>
      </c>
      <c r="D330" s="73" t="e">
        <f t="shared" si="183"/>
        <v>#REF!</v>
      </c>
      <c r="E330" s="66">
        <v>44353</v>
      </c>
      <c r="F330" s="73" t="e">
        <f>'Date Calcs'!#REF!</f>
        <v>#REF!</v>
      </c>
      <c r="G330" s="73" t="e">
        <f>IF(VLOOKUP(A330,'Actual Dates'!A4:AF458,8,),'Actual Dates'!#REF!,"")</f>
        <v>#REF!</v>
      </c>
      <c r="H330" s="73" t="e">
        <f t="shared" si="184"/>
        <v>#REF!</v>
      </c>
      <c r="I330" s="73" t="e">
        <f>IF(VLOOKUP(A330,'Actual Dates'!A4:AF453,25,),'Actual Dates'!#REF!,"")</f>
        <v>#REF!</v>
      </c>
      <c r="J330" s="73" t="e">
        <f t="shared" si="185"/>
        <v>#REF!</v>
      </c>
      <c r="K330" s="73" t="e">
        <f>IF(VLOOKUP(A330,'Actual Dates'!A4:AF481,26,),'Actual Dates'!#REF!,"")</f>
        <v>#REF!</v>
      </c>
      <c r="L330" s="73" t="e">
        <f>IF(VLOOKUP(A330,'Actual Dates'!A4:AF481,21,),'Actual Dates'!#REF!,"")</f>
        <v>#REF!</v>
      </c>
      <c r="M330" s="73" t="e">
        <f>'Date Calcs'!#REF!</f>
        <v>#REF!</v>
      </c>
      <c r="N330" s="73" t="e">
        <f>IF(VLOOKUP(A330,'Actual Dates'!A4:AF481,27,),'Actual Dates'!#REF!,"")</f>
        <v>#REF!</v>
      </c>
      <c r="O330" s="74" t="e">
        <f t="shared" si="186"/>
        <v>#REF!</v>
      </c>
      <c r="P330" s="75" t="e">
        <f t="shared" si="187"/>
        <v>#REF!</v>
      </c>
      <c r="Q330" s="75" t="e">
        <f t="shared" si="188"/>
        <v>#REF!</v>
      </c>
      <c r="R330" s="132"/>
      <c r="S330" s="133"/>
    </row>
    <row r="331" spans="1:19" x14ac:dyDescent="0.25">
      <c r="A331" s="70" t="e">
        <f>'Date Calcs'!#REF!</f>
        <v>#REF!</v>
      </c>
      <c r="B331" s="71" t="e">
        <f>'Date Calcs'!#REF!</f>
        <v>#REF!</v>
      </c>
      <c r="C331" s="72" t="e">
        <f>'Date Calcs'!#REF!</f>
        <v>#REF!</v>
      </c>
      <c r="D331" s="73" t="e">
        <f t="shared" si="183"/>
        <v>#REF!</v>
      </c>
      <c r="E331" s="66">
        <v>44354</v>
      </c>
      <c r="F331" s="73" t="e">
        <f>'Date Calcs'!#REF!</f>
        <v>#REF!</v>
      </c>
      <c r="G331" s="73" t="e">
        <f>IF(VLOOKUP(A331,'Actual Dates'!A4:AF459,8,),'Actual Dates'!#REF!,"")</f>
        <v>#REF!</v>
      </c>
      <c r="H331" s="73" t="e">
        <f t="shared" si="184"/>
        <v>#REF!</v>
      </c>
      <c r="I331" s="73" t="e">
        <f>IF(VLOOKUP(A331,'Actual Dates'!A4:AF454,25,),'Actual Dates'!#REF!,"")</f>
        <v>#REF!</v>
      </c>
      <c r="J331" s="73" t="e">
        <f t="shared" si="185"/>
        <v>#REF!</v>
      </c>
      <c r="K331" s="73" t="e">
        <f>IF(VLOOKUP(A331,'Actual Dates'!A4:AF482,26,),'Actual Dates'!#REF!,"")</f>
        <v>#REF!</v>
      </c>
      <c r="L331" s="73" t="e">
        <f>IF(VLOOKUP(A331,'Actual Dates'!A4:AF482,21,),'Actual Dates'!#REF!,"")</f>
        <v>#REF!</v>
      </c>
      <c r="M331" s="73" t="e">
        <f>'Date Calcs'!#REF!</f>
        <v>#REF!</v>
      </c>
      <c r="N331" s="73" t="e">
        <f>IF(VLOOKUP(A331,'Actual Dates'!A4:AF482,27,),'Actual Dates'!#REF!,"")</f>
        <v>#REF!</v>
      </c>
      <c r="O331" s="74" t="e">
        <f t="shared" si="186"/>
        <v>#REF!</v>
      </c>
      <c r="P331" s="75" t="e">
        <f t="shared" si="187"/>
        <v>#REF!</v>
      </c>
      <c r="Q331" s="75" t="e">
        <f t="shared" si="188"/>
        <v>#REF!</v>
      </c>
      <c r="R331" s="132"/>
      <c r="S331" s="133"/>
    </row>
    <row r="332" spans="1:19" x14ac:dyDescent="0.25">
      <c r="A332" s="70" t="e">
        <f>'Date Calcs'!#REF!</f>
        <v>#REF!</v>
      </c>
      <c r="B332" s="71" t="e">
        <f>'Date Calcs'!#REF!</f>
        <v>#REF!</v>
      </c>
      <c r="C332" s="72" t="e">
        <f>'Date Calcs'!#REF!</f>
        <v>#REF!</v>
      </c>
      <c r="D332" s="73" t="e">
        <f t="shared" si="183"/>
        <v>#REF!</v>
      </c>
      <c r="E332" s="66">
        <v>44355</v>
      </c>
      <c r="F332" s="73" t="e">
        <f>'Date Calcs'!#REF!</f>
        <v>#REF!</v>
      </c>
      <c r="G332" s="73" t="e">
        <f>IF(VLOOKUP(A332,'Actual Dates'!A4:AF460,8,),'Actual Dates'!#REF!,"")</f>
        <v>#REF!</v>
      </c>
      <c r="H332" s="73" t="e">
        <f t="shared" si="184"/>
        <v>#REF!</v>
      </c>
      <c r="I332" s="73" t="e">
        <f>IF(VLOOKUP(A332,'Actual Dates'!A4:AF455,25,),'Actual Dates'!#REF!,"")</f>
        <v>#REF!</v>
      </c>
      <c r="J332" s="73" t="e">
        <f t="shared" si="185"/>
        <v>#REF!</v>
      </c>
      <c r="K332" s="73" t="e">
        <f>IF(VLOOKUP(A332,'Actual Dates'!A4:AF483,26,),'Actual Dates'!#REF!,"")</f>
        <v>#REF!</v>
      </c>
      <c r="L332" s="73" t="e">
        <f>IF(VLOOKUP(A332,'Actual Dates'!A4:AF483,21,),'Actual Dates'!#REF!,"")</f>
        <v>#REF!</v>
      </c>
      <c r="M332" s="73" t="e">
        <f>'Date Calcs'!#REF!</f>
        <v>#REF!</v>
      </c>
      <c r="N332" s="73" t="e">
        <f>IF(VLOOKUP(A332,'Actual Dates'!A4:AF483,27,),'Actual Dates'!#REF!,"")</f>
        <v>#REF!</v>
      </c>
      <c r="O332" s="74" t="e">
        <f t="shared" si="186"/>
        <v>#REF!</v>
      </c>
      <c r="P332" s="75" t="e">
        <f t="shared" si="187"/>
        <v>#REF!</v>
      </c>
      <c r="Q332" s="75" t="e">
        <f t="shared" si="188"/>
        <v>#REF!</v>
      </c>
      <c r="R332" s="132"/>
      <c r="S332" s="133"/>
    </row>
    <row r="333" spans="1:19" x14ac:dyDescent="0.25">
      <c r="A333" s="70" t="e">
        <f>'Date Calcs'!#REF!</f>
        <v>#REF!</v>
      </c>
      <c r="B333" s="71" t="e">
        <f>'Date Calcs'!#REF!</f>
        <v>#REF!</v>
      </c>
      <c r="C333" s="72" t="e">
        <f>'Date Calcs'!#REF!</f>
        <v>#REF!</v>
      </c>
      <c r="D333" s="73" t="e">
        <f t="shared" si="183"/>
        <v>#REF!</v>
      </c>
      <c r="E333" s="66">
        <v>44356</v>
      </c>
      <c r="F333" s="73" t="e">
        <f>'Date Calcs'!#REF!</f>
        <v>#REF!</v>
      </c>
      <c r="G333" s="73" t="e">
        <f>IF(VLOOKUP(A333,'Actual Dates'!A4:AF461,8,),'Actual Dates'!#REF!,"")</f>
        <v>#REF!</v>
      </c>
      <c r="H333" s="73" t="e">
        <f t="shared" si="184"/>
        <v>#REF!</v>
      </c>
      <c r="I333" s="73" t="e">
        <f>IF(VLOOKUP(A333,'Actual Dates'!A4:AF456,25,),'Actual Dates'!#REF!,"")</f>
        <v>#REF!</v>
      </c>
      <c r="J333" s="73" t="e">
        <f t="shared" si="185"/>
        <v>#REF!</v>
      </c>
      <c r="K333" s="73" t="e">
        <f>IF(VLOOKUP(A333,'Actual Dates'!A4:AF484,26,),'Actual Dates'!#REF!,"")</f>
        <v>#REF!</v>
      </c>
      <c r="L333" s="73" t="e">
        <f>IF(VLOOKUP(A333,'Actual Dates'!A4:AF484,21,),'Actual Dates'!#REF!,"")</f>
        <v>#REF!</v>
      </c>
      <c r="M333" s="73" t="e">
        <f>'Date Calcs'!#REF!</f>
        <v>#REF!</v>
      </c>
      <c r="N333" s="73" t="e">
        <f>IF(VLOOKUP(A333,'Actual Dates'!A4:AF484,27,),'Actual Dates'!#REF!,"")</f>
        <v>#REF!</v>
      </c>
      <c r="O333" s="74" t="e">
        <f t="shared" si="186"/>
        <v>#REF!</v>
      </c>
      <c r="P333" s="75" t="e">
        <f t="shared" si="187"/>
        <v>#REF!</v>
      </c>
      <c r="Q333" s="75" t="e">
        <f t="shared" si="188"/>
        <v>#REF!</v>
      </c>
      <c r="R333" s="132"/>
      <c r="S333" s="133"/>
    </row>
    <row r="334" spans="1:19" x14ac:dyDescent="0.25">
      <c r="A334" s="70" t="e">
        <f>'Date Calcs'!#REF!</f>
        <v>#REF!</v>
      </c>
      <c r="B334" s="71" t="e">
        <f>'Date Calcs'!#REF!</f>
        <v>#REF!</v>
      </c>
      <c r="C334" s="72" t="e">
        <f>'Date Calcs'!#REF!</f>
        <v>#REF!</v>
      </c>
      <c r="D334" s="73" t="e">
        <f t="shared" si="183"/>
        <v>#REF!</v>
      </c>
      <c r="E334" s="66">
        <v>44357</v>
      </c>
      <c r="F334" s="73" t="e">
        <f>'Date Calcs'!#REF!</f>
        <v>#REF!</v>
      </c>
      <c r="G334" s="73" t="e">
        <f>IF(VLOOKUP(A334,'Actual Dates'!A4:AF462,8,),'Actual Dates'!#REF!,"")</f>
        <v>#REF!</v>
      </c>
      <c r="H334" s="73" t="e">
        <f t="shared" si="184"/>
        <v>#REF!</v>
      </c>
      <c r="I334" s="73" t="e">
        <f>IF(VLOOKUP(A334,'Actual Dates'!A4:AF457,25,),'Actual Dates'!#REF!,"")</f>
        <v>#REF!</v>
      </c>
      <c r="J334" s="73" t="e">
        <f t="shared" si="185"/>
        <v>#REF!</v>
      </c>
      <c r="K334" s="73" t="e">
        <f>IF(VLOOKUP(A334,'Actual Dates'!A4:AF485,26,),'Actual Dates'!#REF!,"")</f>
        <v>#REF!</v>
      </c>
      <c r="L334" s="73" t="e">
        <f>IF(VLOOKUP(A334,'Actual Dates'!A4:AF485,21,),'Actual Dates'!#REF!,"")</f>
        <v>#REF!</v>
      </c>
      <c r="M334" s="73" t="e">
        <f>'Date Calcs'!#REF!</f>
        <v>#REF!</v>
      </c>
      <c r="N334" s="73" t="e">
        <f>IF(VLOOKUP(A334,'Actual Dates'!A4:AF485,27,),'Actual Dates'!#REF!,"")</f>
        <v>#REF!</v>
      </c>
      <c r="O334" s="74" t="e">
        <f t="shared" si="186"/>
        <v>#REF!</v>
      </c>
      <c r="P334" s="75" t="e">
        <f t="shared" si="187"/>
        <v>#REF!</v>
      </c>
      <c r="Q334" s="75" t="e">
        <f t="shared" si="188"/>
        <v>#REF!</v>
      </c>
      <c r="R334" s="132"/>
      <c r="S334" s="133"/>
    </row>
    <row r="335" spans="1:19" x14ac:dyDescent="0.25">
      <c r="A335" s="70" t="e">
        <f>'Date Calcs'!#REF!</f>
        <v>#REF!</v>
      </c>
      <c r="B335" s="71" t="e">
        <f>'Date Calcs'!#REF!</f>
        <v>#REF!</v>
      </c>
      <c r="C335" s="72" t="e">
        <f>'Date Calcs'!#REF!</f>
        <v>#REF!</v>
      </c>
      <c r="D335" s="73" t="e">
        <f t="shared" si="183"/>
        <v>#REF!</v>
      </c>
      <c r="E335" s="66">
        <v>44358</v>
      </c>
      <c r="F335" s="73" t="e">
        <f>'Date Calcs'!#REF!</f>
        <v>#REF!</v>
      </c>
      <c r="G335" s="73" t="e">
        <f>IF(VLOOKUP(A335,'Actual Dates'!A4:AF463,8,),'Actual Dates'!#REF!,"")</f>
        <v>#REF!</v>
      </c>
      <c r="H335" s="73" t="e">
        <f t="shared" si="184"/>
        <v>#REF!</v>
      </c>
      <c r="I335" s="73" t="e">
        <f>IF(VLOOKUP(A335,'Actual Dates'!A4:AF458,25,),'Actual Dates'!#REF!,"")</f>
        <v>#REF!</v>
      </c>
      <c r="J335" s="73" t="e">
        <f t="shared" si="185"/>
        <v>#REF!</v>
      </c>
      <c r="K335" s="73" t="e">
        <f>IF(VLOOKUP(A335,'Actual Dates'!A4:AF486,26,),'Actual Dates'!#REF!,"")</f>
        <v>#REF!</v>
      </c>
      <c r="L335" s="73" t="e">
        <f>IF(VLOOKUP(A335,'Actual Dates'!A4:AF486,21,),'Actual Dates'!#REF!,"")</f>
        <v>#REF!</v>
      </c>
      <c r="M335" s="73" t="e">
        <f>'Date Calcs'!#REF!</f>
        <v>#REF!</v>
      </c>
      <c r="N335" s="73" t="e">
        <f>IF(VLOOKUP(A335,'Actual Dates'!A4:AF486,27,),'Actual Dates'!#REF!,"")</f>
        <v>#REF!</v>
      </c>
      <c r="O335" s="74" t="e">
        <f t="shared" si="186"/>
        <v>#REF!</v>
      </c>
      <c r="P335" s="75" t="e">
        <f t="shared" si="187"/>
        <v>#REF!</v>
      </c>
      <c r="Q335" s="75" t="e">
        <f t="shared" si="188"/>
        <v>#REF!</v>
      </c>
      <c r="R335" s="132"/>
      <c r="S335" s="133"/>
    </row>
    <row r="336" spans="1:19" x14ac:dyDescent="0.25">
      <c r="A336" s="70" t="e">
        <f>'Date Calcs'!#REF!</f>
        <v>#REF!</v>
      </c>
      <c r="B336" s="71" t="e">
        <f>'Date Calcs'!#REF!</f>
        <v>#REF!</v>
      </c>
      <c r="C336" s="72" t="e">
        <f>'Date Calcs'!#REF!</f>
        <v>#REF!</v>
      </c>
      <c r="D336" s="73" t="e">
        <f t="shared" si="183"/>
        <v>#REF!</v>
      </c>
      <c r="E336" s="66">
        <v>44359</v>
      </c>
      <c r="F336" s="73" t="e">
        <f>'Date Calcs'!#REF!</f>
        <v>#REF!</v>
      </c>
      <c r="G336" s="73" t="e">
        <f>IF(VLOOKUP(A336,'Actual Dates'!A4:AF464,8,),'Actual Dates'!#REF!,"")</f>
        <v>#REF!</v>
      </c>
      <c r="H336" s="73" t="e">
        <f t="shared" si="184"/>
        <v>#REF!</v>
      </c>
      <c r="I336" s="73" t="e">
        <f>IF(VLOOKUP(A336,'Actual Dates'!A4:AF459,25,),'Actual Dates'!#REF!,"")</f>
        <v>#REF!</v>
      </c>
      <c r="J336" s="73" t="e">
        <f t="shared" si="185"/>
        <v>#REF!</v>
      </c>
      <c r="K336" s="73" t="e">
        <f>IF(VLOOKUP(A336,'Actual Dates'!A4:AF487,26,),'Actual Dates'!#REF!,"")</f>
        <v>#REF!</v>
      </c>
      <c r="L336" s="73" t="e">
        <f>IF(VLOOKUP(A336,'Actual Dates'!A4:AF487,21,),'Actual Dates'!#REF!,"")</f>
        <v>#REF!</v>
      </c>
      <c r="M336" s="73" t="e">
        <f>'Date Calcs'!#REF!</f>
        <v>#REF!</v>
      </c>
      <c r="N336" s="73" t="e">
        <f>IF(VLOOKUP(A336,'Actual Dates'!A4:AF487,27,),'Actual Dates'!#REF!,"")</f>
        <v>#REF!</v>
      </c>
      <c r="O336" s="74" t="e">
        <f t="shared" si="186"/>
        <v>#REF!</v>
      </c>
      <c r="P336" s="75" t="e">
        <f t="shared" si="187"/>
        <v>#REF!</v>
      </c>
      <c r="Q336" s="75" t="e">
        <f t="shared" si="188"/>
        <v>#REF!</v>
      </c>
      <c r="R336" s="132"/>
      <c r="S336" s="133"/>
    </row>
    <row r="337" spans="1:19" x14ac:dyDescent="0.25">
      <c r="A337" s="70" t="e">
        <f>'Date Calcs'!#REF!</f>
        <v>#REF!</v>
      </c>
      <c r="B337" s="71" t="e">
        <f>'Date Calcs'!#REF!</f>
        <v>#REF!</v>
      </c>
      <c r="C337" s="72" t="e">
        <f>'Date Calcs'!#REF!</f>
        <v>#REF!</v>
      </c>
      <c r="D337" s="73" t="e">
        <f t="shared" si="183"/>
        <v>#REF!</v>
      </c>
      <c r="E337" s="66">
        <v>44360</v>
      </c>
      <c r="F337" s="73" t="e">
        <f>'Date Calcs'!#REF!</f>
        <v>#REF!</v>
      </c>
      <c r="G337" s="73" t="e">
        <f>IF(VLOOKUP(A337,'Actual Dates'!A4:AF465,8,),'Actual Dates'!#REF!,"")</f>
        <v>#REF!</v>
      </c>
      <c r="H337" s="73" t="e">
        <f t="shared" si="184"/>
        <v>#REF!</v>
      </c>
      <c r="I337" s="73" t="e">
        <f>IF(VLOOKUP(A337,'Actual Dates'!A4:AF460,25,),'Actual Dates'!#REF!,"")</f>
        <v>#REF!</v>
      </c>
      <c r="J337" s="73" t="e">
        <f t="shared" si="185"/>
        <v>#REF!</v>
      </c>
      <c r="K337" s="73" t="e">
        <f>IF(VLOOKUP(A337,'Actual Dates'!A4:AF488,26,),'Actual Dates'!#REF!,"")</f>
        <v>#REF!</v>
      </c>
      <c r="L337" s="73" t="e">
        <f>IF(VLOOKUP(A337,'Actual Dates'!A4:AF488,21,),'Actual Dates'!#REF!,"")</f>
        <v>#REF!</v>
      </c>
      <c r="M337" s="73" t="e">
        <f>'Date Calcs'!#REF!</f>
        <v>#REF!</v>
      </c>
      <c r="N337" s="73" t="e">
        <f>IF(VLOOKUP(A337,'Actual Dates'!A4:AF488,27,),'Actual Dates'!#REF!,"")</f>
        <v>#REF!</v>
      </c>
      <c r="O337" s="74" t="e">
        <f t="shared" si="186"/>
        <v>#REF!</v>
      </c>
      <c r="P337" s="75" t="e">
        <f t="shared" si="187"/>
        <v>#REF!</v>
      </c>
      <c r="Q337" s="75" t="e">
        <f t="shared" si="188"/>
        <v>#REF!</v>
      </c>
      <c r="R337" s="132"/>
      <c r="S337" s="133"/>
    </row>
    <row r="338" spans="1:19" x14ac:dyDescent="0.25">
      <c r="A338" s="70" t="e">
        <f>'Date Calcs'!#REF!</f>
        <v>#REF!</v>
      </c>
      <c r="B338" s="71" t="e">
        <f>'Date Calcs'!#REF!</f>
        <v>#REF!</v>
      </c>
      <c r="C338" s="72" t="e">
        <f>'Date Calcs'!#REF!</f>
        <v>#REF!</v>
      </c>
      <c r="D338" s="73" t="e">
        <f t="shared" si="183"/>
        <v>#REF!</v>
      </c>
      <c r="E338" s="66">
        <v>44361</v>
      </c>
      <c r="F338" s="73" t="e">
        <f>'Date Calcs'!#REF!</f>
        <v>#REF!</v>
      </c>
      <c r="G338" s="73" t="e">
        <f>IF(VLOOKUP(A338,'Actual Dates'!A4:AF466,8,),'Actual Dates'!#REF!,"")</f>
        <v>#REF!</v>
      </c>
      <c r="H338" s="73" t="e">
        <f t="shared" si="184"/>
        <v>#REF!</v>
      </c>
      <c r="I338" s="73" t="e">
        <f>IF(VLOOKUP(A338,'Actual Dates'!A4:AF461,25,),'Actual Dates'!#REF!,"")</f>
        <v>#REF!</v>
      </c>
      <c r="J338" s="73" t="e">
        <f t="shared" si="185"/>
        <v>#REF!</v>
      </c>
      <c r="K338" s="73" t="e">
        <f>IF(VLOOKUP(A338,'Actual Dates'!A4:AF489,26,),'Actual Dates'!#REF!,"")</f>
        <v>#REF!</v>
      </c>
      <c r="L338" s="73" t="e">
        <f>IF(VLOOKUP(A338,'Actual Dates'!A4:AF489,21,),'Actual Dates'!#REF!,"")</f>
        <v>#REF!</v>
      </c>
      <c r="M338" s="73" t="e">
        <f>'Date Calcs'!#REF!</f>
        <v>#REF!</v>
      </c>
      <c r="N338" s="73" t="e">
        <f>IF(VLOOKUP(A338,'Actual Dates'!A4:AF489,27,),'Actual Dates'!#REF!,"")</f>
        <v>#REF!</v>
      </c>
      <c r="O338" s="74" t="e">
        <f t="shared" si="186"/>
        <v>#REF!</v>
      </c>
      <c r="P338" s="75" t="e">
        <f t="shared" si="187"/>
        <v>#REF!</v>
      </c>
      <c r="Q338" s="75" t="e">
        <f t="shared" si="188"/>
        <v>#REF!</v>
      </c>
      <c r="R338" s="132"/>
      <c r="S338" s="133"/>
    </row>
    <row r="339" spans="1:19" x14ac:dyDescent="0.25">
      <c r="A339" s="70" t="e">
        <f>'Date Calcs'!#REF!</f>
        <v>#REF!</v>
      </c>
      <c r="B339" s="71" t="e">
        <f>'Date Calcs'!#REF!</f>
        <v>#REF!</v>
      </c>
      <c r="C339" s="72" t="e">
        <f>'Date Calcs'!#REF!</f>
        <v>#REF!</v>
      </c>
      <c r="D339" s="73" t="e">
        <f t="shared" si="183"/>
        <v>#REF!</v>
      </c>
      <c r="E339" s="66">
        <v>44362</v>
      </c>
      <c r="F339" s="73" t="e">
        <f>'Date Calcs'!#REF!</f>
        <v>#REF!</v>
      </c>
      <c r="G339" s="73" t="e">
        <f>IF(VLOOKUP(A339,'Actual Dates'!A4:AF467,8,),'Actual Dates'!#REF!,"")</f>
        <v>#REF!</v>
      </c>
      <c r="H339" s="73" t="e">
        <f t="shared" si="184"/>
        <v>#REF!</v>
      </c>
      <c r="I339" s="73" t="e">
        <f>IF(VLOOKUP(A339,'Actual Dates'!A4:AF462,25,),'Actual Dates'!#REF!,"")</f>
        <v>#REF!</v>
      </c>
      <c r="J339" s="73" t="e">
        <f t="shared" si="185"/>
        <v>#REF!</v>
      </c>
      <c r="K339" s="73" t="e">
        <f>IF(VLOOKUP(A339,'Actual Dates'!A4:AF490,26,),'Actual Dates'!#REF!,"")</f>
        <v>#REF!</v>
      </c>
      <c r="L339" s="73" t="e">
        <f>IF(VLOOKUP(A339,'Actual Dates'!A4:AF490,21,),'Actual Dates'!#REF!,"")</f>
        <v>#REF!</v>
      </c>
      <c r="M339" s="73" t="e">
        <f>'Date Calcs'!#REF!</f>
        <v>#REF!</v>
      </c>
      <c r="N339" s="73" t="e">
        <f>IF(VLOOKUP(A339,'Actual Dates'!A4:AF490,27,),'Actual Dates'!#REF!,"")</f>
        <v>#REF!</v>
      </c>
      <c r="O339" s="74" t="e">
        <f t="shared" si="186"/>
        <v>#REF!</v>
      </c>
      <c r="P339" s="75" t="e">
        <f t="shared" si="187"/>
        <v>#REF!</v>
      </c>
      <c r="Q339" s="75" t="e">
        <f t="shared" si="188"/>
        <v>#REF!</v>
      </c>
      <c r="R339" s="132"/>
      <c r="S339" s="133"/>
    </row>
    <row r="340" spans="1:19" x14ac:dyDescent="0.25">
      <c r="A340" s="70" t="e">
        <f>'Date Calcs'!#REF!</f>
        <v>#REF!</v>
      </c>
      <c r="B340" s="71" t="e">
        <f>'Date Calcs'!#REF!</f>
        <v>#REF!</v>
      </c>
      <c r="C340" s="72" t="e">
        <f>'Date Calcs'!#REF!</f>
        <v>#REF!</v>
      </c>
      <c r="D340" s="73" t="e">
        <f t="shared" si="183"/>
        <v>#REF!</v>
      </c>
      <c r="E340" s="66">
        <v>44363</v>
      </c>
      <c r="F340" s="73" t="e">
        <f>'Date Calcs'!#REF!</f>
        <v>#REF!</v>
      </c>
      <c r="G340" s="73" t="e">
        <f>IF(VLOOKUP(A340,'Actual Dates'!A4:AF468,8,),'Actual Dates'!#REF!,"")</f>
        <v>#REF!</v>
      </c>
      <c r="H340" s="73" t="e">
        <f t="shared" si="184"/>
        <v>#REF!</v>
      </c>
      <c r="I340" s="73" t="e">
        <f>IF(VLOOKUP(A340,'Actual Dates'!A4:AF463,25,),'Actual Dates'!#REF!,"")</f>
        <v>#REF!</v>
      </c>
      <c r="J340" s="73" t="e">
        <f t="shared" si="185"/>
        <v>#REF!</v>
      </c>
      <c r="K340" s="73" t="e">
        <f>IF(VLOOKUP(A340,'Actual Dates'!A4:AF491,26,),'Actual Dates'!#REF!,"")</f>
        <v>#REF!</v>
      </c>
      <c r="L340" s="73" t="e">
        <f>IF(VLOOKUP(A340,'Actual Dates'!A4:AF491,21,),'Actual Dates'!#REF!,"")</f>
        <v>#REF!</v>
      </c>
      <c r="M340" s="73" t="e">
        <f>'Date Calcs'!#REF!</f>
        <v>#REF!</v>
      </c>
      <c r="N340" s="73" t="e">
        <f>IF(VLOOKUP(A340,'Actual Dates'!A4:AF491,27,),'Actual Dates'!#REF!,"")</f>
        <v>#REF!</v>
      </c>
      <c r="O340" s="74" t="e">
        <f t="shared" si="186"/>
        <v>#REF!</v>
      </c>
      <c r="P340" s="75" t="e">
        <f t="shared" si="187"/>
        <v>#REF!</v>
      </c>
      <c r="Q340" s="75" t="e">
        <f t="shared" si="188"/>
        <v>#REF!</v>
      </c>
      <c r="R340" s="132"/>
      <c r="S340" s="133"/>
    </row>
    <row r="341" spans="1:19" x14ac:dyDescent="0.25">
      <c r="A341" s="70" t="e">
        <f>'Date Calcs'!#REF!</f>
        <v>#REF!</v>
      </c>
      <c r="B341" s="71" t="e">
        <f>'Date Calcs'!#REF!</f>
        <v>#REF!</v>
      </c>
      <c r="C341" s="72" t="e">
        <f>'Date Calcs'!#REF!</f>
        <v>#REF!</v>
      </c>
      <c r="D341" s="73" t="e">
        <f t="shared" si="183"/>
        <v>#REF!</v>
      </c>
      <c r="E341" s="66">
        <v>44364</v>
      </c>
      <c r="F341" s="73" t="e">
        <f>'Date Calcs'!#REF!</f>
        <v>#REF!</v>
      </c>
      <c r="G341" s="73" t="e">
        <f>IF(VLOOKUP(A341,'Actual Dates'!A4:AF469,8,),'Actual Dates'!#REF!,"")</f>
        <v>#REF!</v>
      </c>
      <c r="H341" s="73" t="e">
        <f t="shared" si="184"/>
        <v>#REF!</v>
      </c>
      <c r="I341" s="73" t="e">
        <f>IF(VLOOKUP(A341,'Actual Dates'!A4:AF464,25,),'Actual Dates'!#REF!,"")</f>
        <v>#REF!</v>
      </c>
      <c r="J341" s="73" t="e">
        <f t="shared" si="185"/>
        <v>#REF!</v>
      </c>
      <c r="K341" s="73" t="e">
        <f>IF(VLOOKUP(A341,'Actual Dates'!A4:AF492,26,),'Actual Dates'!#REF!,"")</f>
        <v>#REF!</v>
      </c>
      <c r="L341" s="73" t="e">
        <f>IF(VLOOKUP(A341,'Actual Dates'!A4:AF492,21,),'Actual Dates'!#REF!,"")</f>
        <v>#REF!</v>
      </c>
      <c r="M341" s="73" t="e">
        <f>'Date Calcs'!#REF!</f>
        <v>#REF!</v>
      </c>
      <c r="N341" s="73" t="e">
        <f>IF(VLOOKUP(A341,'Actual Dates'!A4:AF492,27,),'Actual Dates'!#REF!,"")</f>
        <v>#REF!</v>
      </c>
      <c r="O341" s="74" t="e">
        <f t="shared" si="186"/>
        <v>#REF!</v>
      </c>
      <c r="P341" s="75" t="e">
        <f t="shared" si="187"/>
        <v>#REF!</v>
      </c>
      <c r="Q341" s="75" t="e">
        <f t="shared" si="188"/>
        <v>#REF!</v>
      </c>
      <c r="R341" s="132"/>
      <c r="S341" s="133"/>
    </row>
    <row r="342" spans="1:19" x14ac:dyDescent="0.25">
      <c r="A342" s="70" t="e">
        <f>'Date Calcs'!#REF!</f>
        <v>#REF!</v>
      </c>
      <c r="B342" s="71" t="e">
        <f>'Date Calcs'!#REF!</f>
        <v>#REF!</v>
      </c>
      <c r="C342" s="72" t="e">
        <f>'Date Calcs'!#REF!</f>
        <v>#REF!</v>
      </c>
      <c r="D342" s="73" t="e">
        <f t="shared" si="183"/>
        <v>#REF!</v>
      </c>
      <c r="E342" s="66">
        <v>44365</v>
      </c>
      <c r="F342" s="73" t="e">
        <f>'Date Calcs'!#REF!</f>
        <v>#REF!</v>
      </c>
      <c r="G342" s="73" t="e">
        <f>IF(VLOOKUP(A342,'Actual Dates'!A4:AF470,8,),'Actual Dates'!#REF!,"")</f>
        <v>#REF!</v>
      </c>
      <c r="H342" s="73" t="e">
        <f t="shared" si="184"/>
        <v>#REF!</v>
      </c>
      <c r="I342" s="73" t="e">
        <f>IF(VLOOKUP(A342,'Actual Dates'!A4:AF465,25,),'Actual Dates'!#REF!,"")</f>
        <v>#REF!</v>
      </c>
      <c r="J342" s="73" t="e">
        <f t="shared" si="185"/>
        <v>#REF!</v>
      </c>
      <c r="K342" s="73" t="e">
        <f>IF(VLOOKUP(A342,'Actual Dates'!A4:AF493,26,),'Actual Dates'!#REF!,"")</f>
        <v>#REF!</v>
      </c>
      <c r="L342" s="73" t="e">
        <f>IF(VLOOKUP(A342,'Actual Dates'!A4:AF493,21,),'Actual Dates'!#REF!,"")</f>
        <v>#REF!</v>
      </c>
      <c r="M342" s="73" t="e">
        <f>'Date Calcs'!#REF!</f>
        <v>#REF!</v>
      </c>
      <c r="N342" s="73" t="e">
        <f>IF(VLOOKUP(A342,'Actual Dates'!A4:AF493,27,),'Actual Dates'!#REF!,"")</f>
        <v>#REF!</v>
      </c>
      <c r="O342" s="74" t="e">
        <f t="shared" si="186"/>
        <v>#REF!</v>
      </c>
      <c r="P342" s="75" t="e">
        <f t="shared" si="187"/>
        <v>#REF!</v>
      </c>
      <c r="Q342" s="75" t="e">
        <f t="shared" si="188"/>
        <v>#REF!</v>
      </c>
      <c r="R342" s="132"/>
      <c r="S342" s="133"/>
    </row>
    <row r="343" spans="1:19" x14ac:dyDescent="0.25">
      <c r="A343" s="70" t="e">
        <f>'Date Calcs'!#REF!</f>
        <v>#REF!</v>
      </c>
      <c r="B343" s="71" t="e">
        <f>'Date Calcs'!#REF!</f>
        <v>#REF!</v>
      </c>
      <c r="C343" s="72" t="e">
        <f>'Date Calcs'!#REF!</f>
        <v>#REF!</v>
      </c>
      <c r="D343" s="73" t="e">
        <f t="shared" si="183"/>
        <v>#REF!</v>
      </c>
      <c r="E343" s="66">
        <v>44366</v>
      </c>
      <c r="F343" s="73" t="e">
        <f>'Date Calcs'!#REF!</f>
        <v>#REF!</v>
      </c>
      <c r="G343" s="73" t="e">
        <f>IF(VLOOKUP(A343,'Actual Dates'!A4:AF471,8,),'Actual Dates'!#REF!,"")</f>
        <v>#REF!</v>
      </c>
      <c r="H343" s="73" t="e">
        <f t="shared" si="184"/>
        <v>#REF!</v>
      </c>
      <c r="I343" s="73" t="e">
        <f>IF(VLOOKUP(A343,'Actual Dates'!A4:AF466,25,),'Actual Dates'!#REF!,"")</f>
        <v>#REF!</v>
      </c>
      <c r="J343" s="73" t="e">
        <f t="shared" si="185"/>
        <v>#REF!</v>
      </c>
      <c r="K343" s="73" t="e">
        <f>IF(VLOOKUP(A343,'Actual Dates'!A4:AF494,26,),'Actual Dates'!#REF!,"")</f>
        <v>#REF!</v>
      </c>
      <c r="L343" s="73" t="e">
        <f>IF(VLOOKUP(A343,'Actual Dates'!A4:AF494,21,),'Actual Dates'!#REF!,"")</f>
        <v>#REF!</v>
      </c>
      <c r="M343" s="73" t="e">
        <f>'Date Calcs'!#REF!</f>
        <v>#REF!</v>
      </c>
      <c r="N343" s="73" t="e">
        <f>IF(VLOOKUP(A343,'Actual Dates'!A4:AF494,27,),'Actual Dates'!#REF!,"")</f>
        <v>#REF!</v>
      </c>
      <c r="O343" s="74" t="e">
        <f t="shared" si="186"/>
        <v>#REF!</v>
      </c>
      <c r="P343" s="75" t="e">
        <f t="shared" si="187"/>
        <v>#REF!</v>
      </c>
      <c r="Q343" s="75" t="e">
        <f t="shared" si="188"/>
        <v>#REF!</v>
      </c>
      <c r="R343" s="132"/>
      <c r="S343" s="133"/>
    </row>
    <row r="344" spans="1:19" x14ac:dyDescent="0.25">
      <c r="A344" s="70" t="e">
        <f>'Date Calcs'!#REF!</f>
        <v>#REF!</v>
      </c>
      <c r="B344" s="71" t="e">
        <f>'Date Calcs'!#REF!</f>
        <v>#REF!</v>
      </c>
      <c r="C344" s="72" t="e">
        <f>'Date Calcs'!#REF!</f>
        <v>#REF!</v>
      </c>
      <c r="D344" s="73" t="e">
        <f t="shared" si="183"/>
        <v>#REF!</v>
      </c>
      <c r="E344" s="66">
        <v>44367</v>
      </c>
      <c r="F344" s="73" t="e">
        <f>'Date Calcs'!#REF!</f>
        <v>#REF!</v>
      </c>
      <c r="G344" s="73" t="e">
        <f>IF(VLOOKUP(A344,'Actual Dates'!A4:AF472,8,),'Actual Dates'!#REF!,"")</f>
        <v>#REF!</v>
      </c>
      <c r="H344" s="73" t="e">
        <f t="shared" si="184"/>
        <v>#REF!</v>
      </c>
      <c r="I344" s="73" t="e">
        <f>IF(VLOOKUP(A344,'Actual Dates'!A4:AF467,25,),'Actual Dates'!#REF!,"")</f>
        <v>#REF!</v>
      </c>
      <c r="J344" s="73" t="e">
        <f t="shared" si="185"/>
        <v>#REF!</v>
      </c>
      <c r="K344" s="73" t="e">
        <f>IF(VLOOKUP(A344,'Actual Dates'!A4:AF495,26,),'Actual Dates'!#REF!,"")</f>
        <v>#REF!</v>
      </c>
      <c r="L344" s="73" t="e">
        <f>IF(VLOOKUP(A344,'Actual Dates'!A4:AF495,21,),'Actual Dates'!#REF!,"")</f>
        <v>#REF!</v>
      </c>
      <c r="M344" s="73" t="e">
        <f>'Date Calcs'!#REF!</f>
        <v>#REF!</v>
      </c>
      <c r="N344" s="73" t="e">
        <f>IF(VLOOKUP(A344,'Actual Dates'!A4:AF495,27,),'Actual Dates'!#REF!,"")</f>
        <v>#REF!</v>
      </c>
      <c r="O344" s="74" t="e">
        <f t="shared" si="186"/>
        <v>#REF!</v>
      </c>
      <c r="P344" s="75" t="e">
        <f t="shared" si="187"/>
        <v>#REF!</v>
      </c>
      <c r="Q344" s="75" t="e">
        <f t="shared" si="188"/>
        <v>#REF!</v>
      </c>
      <c r="R344" s="132"/>
      <c r="S344" s="133"/>
    </row>
    <row r="345" spans="1:19" x14ac:dyDescent="0.25">
      <c r="A345" s="70" t="e">
        <f>'Date Calcs'!#REF!</f>
        <v>#REF!</v>
      </c>
      <c r="B345" s="71" t="e">
        <f>'Date Calcs'!#REF!</f>
        <v>#REF!</v>
      </c>
      <c r="C345" s="72" t="e">
        <f>'Date Calcs'!#REF!</f>
        <v>#REF!</v>
      </c>
      <c r="D345" s="73" t="e">
        <f t="shared" si="183"/>
        <v>#REF!</v>
      </c>
      <c r="E345" s="66">
        <v>44368</v>
      </c>
      <c r="F345" s="73" t="e">
        <f>'Date Calcs'!#REF!</f>
        <v>#REF!</v>
      </c>
      <c r="G345" s="73" t="e">
        <f>IF(VLOOKUP(A345,'Actual Dates'!A4:AF473,8,),'Actual Dates'!#REF!,"")</f>
        <v>#REF!</v>
      </c>
      <c r="H345" s="73" t="e">
        <f t="shared" si="184"/>
        <v>#REF!</v>
      </c>
      <c r="I345" s="73" t="e">
        <f>IF(VLOOKUP(A345,'Actual Dates'!A4:AF468,25,),'Actual Dates'!#REF!,"")</f>
        <v>#REF!</v>
      </c>
      <c r="J345" s="73" t="e">
        <f t="shared" si="185"/>
        <v>#REF!</v>
      </c>
      <c r="K345" s="73" t="e">
        <f>IF(VLOOKUP(A345,'Actual Dates'!A4:AF496,26,),'Actual Dates'!#REF!,"")</f>
        <v>#REF!</v>
      </c>
      <c r="L345" s="73" t="e">
        <f>IF(VLOOKUP(A345,'Actual Dates'!A4:AF496,21,),'Actual Dates'!#REF!,"")</f>
        <v>#REF!</v>
      </c>
      <c r="M345" s="73" t="e">
        <f>'Date Calcs'!#REF!</f>
        <v>#REF!</v>
      </c>
      <c r="N345" s="73" t="e">
        <f>IF(VLOOKUP(A345,'Actual Dates'!A4:AF496,27,),'Actual Dates'!#REF!,"")</f>
        <v>#REF!</v>
      </c>
      <c r="O345" s="74" t="e">
        <f t="shared" si="186"/>
        <v>#REF!</v>
      </c>
      <c r="P345" s="75" t="e">
        <f t="shared" si="187"/>
        <v>#REF!</v>
      </c>
      <c r="Q345" s="75" t="e">
        <f t="shared" si="188"/>
        <v>#REF!</v>
      </c>
      <c r="R345" s="132"/>
      <c r="S345" s="133"/>
    </row>
    <row r="346" spans="1:19" x14ac:dyDescent="0.25">
      <c r="A346" s="70" t="e">
        <f>'Date Calcs'!#REF!</f>
        <v>#REF!</v>
      </c>
      <c r="B346" s="71" t="e">
        <f>'Date Calcs'!#REF!</f>
        <v>#REF!</v>
      </c>
      <c r="C346" s="72" t="e">
        <f>'Date Calcs'!#REF!</f>
        <v>#REF!</v>
      </c>
      <c r="D346" s="73" t="e">
        <f t="shared" si="183"/>
        <v>#REF!</v>
      </c>
      <c r="E346" s="66">
        <v>44369</v>
      </c>
      <c r="F346" s="73" t="e">
        <f>'Date Calcs'!#REF!</f>
        <v>#REF!</v>
      </c>
      <c r="G346" s="73" t="e">
        <f>IF(VLOOKUP(A346,'Actual Dates'!A4:AF474,8,),'Actual Dates'!#REF!,"")</f>
        <v>#REF!</v>
      </c>
      <c r="H346" s="73" t="e">
        <f t="shared" si="184"/>
        <v>#REF!</v>
      </c>
      <c r="I346" s="73" t="e">
        <f>IF(VLOOKUP(A346,'Actual Dates'!A4:AF469,25,),'Actual Dates'!#REF!,"")</f>
        <v>#REF!</v>
      </c>
      <c r="J346" s="73" t="e">
        <f t="shared" si="185"/>
        <v>#REF!</v>
      </c>
      <c r="K346" s="73" t="e">
        <f>IF(VLOOKUP(A346,'Actual Dates'!A4:AF497,26,),'Actual Dates'!#REF!,"")</f>
        <v>#REF!</v>
      </c>
      <c r="L346" s="73" t="e">
        <f>IF(VLOOKUP(A346,'Actual Dates'!A4:AF497,21,),'Actual Dates'!#REF!,"")</f>
        <v>#REF!</v>
      </c>
      <c r="M346" s="73" t="e">
        <f>'Date Calcs'!#REF!</f>
        <v>#REF!</v>
      </c>
      <c r="N346" s="73" t="e">
        <f>IF(VLOOKUP(A346,'Actual Dates'!A4:AF497,27,),'Actual Dates'!#REF!,"")</f>
        <v>#REF!</v>
      </c>
      <c r="O346" s="74" t="e">
        <f t="shared" si="186"/>
        <v>#REF!</v>
      </c>
      <c r="P346" s="75" t="e">
        <f t="shared" si="187"/>
        <v>#REF!</v>
      </c>
      <c r="Q346" s="75" t="e">
        <f t="shared" si="188"/>
        <v>#REF!</v>
      </c>
      <c r="R346" s="132"/>
      <c r="S346" s="133"/>
    </row>
    <row r="347" spans="1:19" x14ac:dyDescent="0.25">
      <c r="A347" s="70" t="e">
        <f>'Date Calcs'!#REF!</f>
        <v>#REF!</v>
      </c>
      <c r="B347" s="71" t="e">
        <f>'Date Calcs'!#REF!</f>
        <v>#REF!</v>
      </c>
      <c r="C347" s="72" t="e">
        <f>'Date Calcs'!#REF!</f>
        <v>#REF!</v>
      </c>
      <c r="D347" s="73" t="e">
        <f t="shared" si="183"/>
        <v>#REF!</v>
      </c>
      <c r="E347" s="66">
        <v>44370</v>
      </c>
      <c r="F347" s="73" t="e">
        <f>'Date Calcs'!#REF!</f>
        <v>#REF!</v>
      </c>
      <c r="G347" s="73" t="e">
        <f>IF(VLOOKUP(A347,'Actual Dates'!A4:AF475,8,),'Actual Dates'!#REF!,"")</f>
        <v>#REF!</v>
      </c>
      <c r="H347" s="73" t="e">
        <f t="shared" si="184"/>
        <v>#REF!</v>
      </c>
      <c r="I347" s="73" t="e">
        <f>IF(VLOOKUP(A347,'Actual Dates'!A4:AF470,25,),'Actual Dates'!#REF!,"")</f>
        <v>#REF!</v>
      </c>
      <c r="J347" s="73" t="e">
        <f t="shared" si="185"/>
        <v>#REF!</v>
      </c>
      <c r="K347" s="73" t="e">
        <f>IF(VLOOKUP(A347,'Actual Dates'!A4:AF498,26,),'Actual Dates'!#REF!,"")</f>
        <v>#REF!</v>
      </c>
      <c r="L347" s="73" t="e">
        <f>IF(VLOOKUP(A347,'Actual Dates'!A4:AF498,21,),'Actual Dates'!#REF!,"")</f>
        <v>#REF!</v>
      </c>
      <c r="M347" s="73" t="e">
        <f>'Date Calcs'!#REF!</f>
        <v>#REF!</v>
      </c>
      <c r="N347" s="73" t="e">
        <f>IF(VLOOKUP(A347,'Actual Dates'!A4:AF498,27,),'Actual Dates'!#REF!,"")</f>
        <v>#REF!</v>
      </c>
      <c r="O347" s="74" t="e">
        <f t="shared" si="186"/>
        <v>#REF!</v>
      </c>
      <c r="P347" s="75" t="e">
        <f t="shared" si="187"/>
        <v>#REF!</v>
      </c>
      <c r="Q347" s="75" t="e">
        <f t="shared" si="188"/>
        <v>#REF!</v>
      </c>
      <c r="R347" s="132"/>
      <c r="S347" s="133"/>
    </row>
    <row r="348" spans="1:19" x14ac:dyDescent="0.25">
      <c r="A348" s="70" t="e">
        <f>'Date Calcs'!#REF!</f>
        <v>#REF!</v>
      </c>
      <c r="B348" s="71" t="e">
        <f>'Date Calcs'!#REF!</f>
        <v>#REF!</v>
      </c>
      <c r="C348" s="72" t="e">
        <f>'Date Calcs'!#REF!</f>
        <v>#REF!</v>
      </c>
      <c r="D348" s="73" t="e">
        <f t="shared" si="183"/>
        <v>#REF!</v>
      </c>
      <c r="E348" s="66">
        <v>44371</v>
      </c>
      <c r="F348" s="73" t="e">
        <f>'Date Calcs'!#REF!</f>
        <v>#REF!</v>
      </c>
      <c r="G348" s="73" t="e">
        <f>IF(VLOOKUP(A348,'Actual Dates'!A4:AF476,8,),'Actual Dates'!#REF!,"")</f>
        <v>#REF!</v>
      </c>
      <c r="H348" s="73" t="e">
        <f t="shared" si="184"/>
        <v>#REF!</v>
      </c>
      <c r="I348" s="73" t="e">
        <f>IF(VLOOKUP(A348,'Actual Dates'!A4:AF471,25,),'Actual Dates'!#REF!,"")</f>
        <v>#REF!</v>
      </c>
      <c r="J348" s="73" t="e">
        <f t="shared" si="185"/>
        <v>#REF!</v>
      </c>
      <c r="K348" s="73" t="e">
        <f>IF(VLOOKUP(A348,'Actual Dates'!A4:AF499,26,),'Actual Dates'!#REF!,"")</f>
        <v>#REF!</v>
      </c>
      <c r="L348" s="73" t="e">
        <f>IF(VLOOKUP(A348,'Actual Dates'!A4:AF499,21,),'Actual Dates'!#REF!,"")</f>
        <v>#REF!</v>
      </c>
      <c r="M348" s="73" t="e">
        <f>'Date Calcs'!#REF!</f>
        <v>#REF!</v>
      </c>
      <c r="N348" s="73" t="e">
        <f>IF(VLOOKUP(A348,'Actual Dates'!A4:AF499,27,),'Actual Dates'!#REF!,"")</f>
        <v>#REF!</v>
      </c>
      <c r="O348" s="74" t="e">
        <f t="shared" si="186"/>
        <v>#REF!</v>
      </c>
      <c r="P348" s="75" t="e">
        <f t="shared" si="187"/>
        <v>#REF!</v>
      </c>
      <c r="Q348" s="75" t="e">
        <f t="shared" si="188"/>
        <v>#REF!</v>
      </c>
      <c r="R348" s="132"/>
      <c r="S348" s="133"/>
    </row>
    <row r="349" spans="1:19" x14ac:dyDescent="0.25">
      <c r="A349" s="70" t="e">
        <f>'Date Calcs'!#REF!</f>
        <v>#REF!</v>
      </c>
      <c r="B349" s="71" t="e">
        <f>'Date Calcs'!#REF!</f>
        <v>#REF!</v>
      </c>
      <c r="C349" s="72" t="e">
        <f>'Date Calcs'!#REF!</f>
        <v>#REF!</v>
      </c>
      <c r="D349" s="73" t="e">
        <f t="shared" si="183"/>
        <v>#REF!</v>
      </c>
      <c r="E349" s="66">
        <v>44372</v>
      </c>
      <c r="F349" s="73" t="e">
        <f>'Date Calcs'!#REF!</f>
        <v>#REF!</v>
      </c>
      <c r="G349" s="73" t="e">
        <f>IF(VLOOKUP(A349,'Actual Dates'!A4:AF477,8,),'Actual Dates'!#REF!,"")</f>
        <v>#REF!</v>
      </c>
      <c r="H349" s="73" t="e">
        <f t="shared" si="184"/>
        <v>#REF!</v>
      </c>
      <c r="I349" s="73" t="e">
        <f>IF(VLOOKUP(A349,'Actual Dates'!A4:AF472,25,),'Actual Dates'!#REF!,"")</f>
        <v>#REF!</v>
      </c>
      <c r="J349" s="73" t="e">
        <f t="shared" si="185"/>
        <v>#REF!</v>
      </c>
      <c r="K349" s="73" t="e">
        <f>IF(VLOOKUP(A349,'Actual Dates'!A4:AF500,26,),'Actual Dates'!#REF!,"")</f>
        <v>#REF!</v>
      </c>
      <c r="L349" s="73" t="e">
        <f>IF(VLOOKUP(A349,'Actual Dates'!A4:AF500,21,),'Actual Dates'!#REF!,"")</f>
        <v>#REF!</v>
      </c>
      <c r="M349" s="73" t="e">
        <f>'Date Calcs'!#REF!</f>
        <v>#REF!</v>
      </c>
      <c r="N349" s="73" t="e">
        <f>IF(VLOOKUP(A349,'Actual Dates'!A4:AF500,27,),'Actual Dates'!#REF!,"")</f>
        <v>#REF!</v>
      </c>
      <c r="O349" s="74" t="e">
        <f t="shared" si="186"/>
        <v>#REF!</v>
      </c>
      <c r="P349" s="75" t="e">
        <f t="shared" si="187"/>
        <v>#REF!</v>
      </c>
      <c r="Q349" s="75" t="e">
        <f t="shared" si="188"/>
        <v>#REF!</v>
      </c>
      <c r="R349" s="132"/>
      <c r="S349" s="133"/>
    </row>
    <row r="350" spans="1:19" x14ac:dyDescent="0.25">
      <c r="A350" s="70" t="e">
        <f>'Date Calcs'!#REF!</f>
        <v>#REF!</v>
      </c>
      <c r="B350" s="71" t="e">
        <f>'Date Calcs'!#REF!</f>
        <v>#REF!</v>
      </c>
      <c r="C350" s="72" t="e">
        <f>'Date Calcs'!#REF!</f>
        <v>#REF!</v>
      </c>
      <c r="D350" s="73" t="e">
        <f t="shared" si="183"/>
        <v>#REF!</v>
      </c>
      <c r="E350" s="66">
        <v>44373</v>
      </c>
      <c r="F350" s="73" t="e">
        <f>'Date Calcs'!#REF!</f>
        <v>#REF!</v>
      </c>
      <c r="G350" s="73" t="e">
        <f>IF(VLOOKUP(A350,'Actual Dates'!A4:AF478,8,),'Actual Dates'!#REF!,"")</f>
        <v>#REF!</v>
      </c>
      <c r="H350" s="73" t="e">
        <f t="shared" si="184"/>
        <v>#REF!</v>
      </c>
      <c r="I350" s="73" t="e">
        <f>IF(VLOOKUP(A350,'Actual Dates'!A4:AF473,25,),'Actual Dates'!#REF!,"")</f>
        <v>#REF!</v>
      </c>
      <c r="J350" s="73" t="e">
        <f t="shared" si="185"/>
        <v>#REF!</v>
      </c>
      <c r="K350" s="73" t="e">
        <f>IF(VLOOKUP(A350,'Actual Dates'!A4:AF501,26,),'Actual Dates'!#REF!,"")</f>
        <v>#REF!</v>
      </c>
      <c r="L350" s="73" t="e">
        <f>IF(VLOOKUP(A350,'Actual Dates'!A4:AF501,21,),'Actual Dates'!#REF!,"")</f>
        <v>#REF!</v>
      </c>
      <c r="M350" s="73" t="e">
        <f>'Date Calcs'!#REF!</f>
        <v>#REF!</v>
      </c>
      <c r="N350" s="73" t="e">
        <f>IF(VLOOKUP(A350,'Actual Dates'!A4:AF501,27,),'Actual Dates'!#REF!,"")</f>
        <v>#REF!</v>
      </c>
      <c r="O350" s="74" t="e">
        <f t="shared" si="186"/>
        <v>#REF!</v>
      </c>
      <c r="P350" s="75" t="e">
        <f t="shared" si="187"/>
        <v>#REF!</v>
      </c>
      <c r="Q350" s="75" t="e">
        <f t="shared" si="188"/>
        <v>#REF!</v>
      </c>
      <c r="R350" s="132"/>
      <c r="S350" s="133"/>
    </row>
    <row r="351" spans="1:19" x14ac:dyDescent="0.25">
      <c r="A351" s="70" t="e">
        <f>'Date Calcs'!#REF!</f>
        <v>#REF!</v>
      </c>
      <c r="B351" s="71" t="e">
        <f>'Date Calcs'!#REF!</f>
        <v>#REF!</v>
      </c>
      <c r="C351" s="72" t="e">
        <f>'Date Calcs'!#REF!</f>
        <v>#REF!</v>
      </c>
      <c r="D351" s="73" t="e">
        <f t="shared" si="183"/>
        <v>#REF!</v>
      </c>
      <c r="E351" s="66">
        <v>44374</v>
      </c>
      <c r="F351" s="73" t="e">
        <f>'Date Calcs'!#REF!</f>
        <v>#REF!</v>
      </c>
      <c r="G351" s="73" t="e">
        <f>IF(VLOOKUP(A351,'Actual Dates'!A4:AF479,8,),'Actual Dates'!#REF!,"")</f>
        <v>#REF!</v>
      </c>
      <c r="H351" s="73" t="e">
        <f t="shared" si="184"/>
        <v>#REF!</v>
      </c>
      <c r="I351" s="73" t="e">
        <f>IF(VLOOKUP(A351,'Actual Dates'!A4:AF474,25,),'Actual Dates'!#REF!,"")</f>
        <v>#REF!</v>
      </c>
      <c r="J351" s="73" t="e">
        <f t="shared" si="185"/>
        <v>#REF!</v>
      </c>
      <c r="K351" s="73" t="e">
        <f>IF(VLOOKUP(A351,'Actual Dates'!A4:AF502,26,),'Actual Dates'!#REF!,"")</f>
        <v>#REF!</v>
      </c>
      <c r="L351" s="73" t="e">
        <f>IF(VLOOKUP(A351,'Actual Dates'!A4:AF502,21,),'Actual Dates'!#REF!,"")</f>
        <v>#REF!</v>
      </c>
      <c r="M351" s="73" t="e">
        <f>'Date Calcs'!#REF!</f>
        <v>#REF!</v>
      </c>
      <c r="N351" s="73" t="e">
        <f>IF(VLOOKUP(A351,'Actual Dates'!A4:AF502,27,),'Actual Dates'!#REF!,"")</f>
        <v>#REF!</v>
      </c>
      <c r="O351" s="74" t="e">
        <f t="shared" si="186"/>
        <v>#REF!</v>
      </c>
      <c r="P351" s="75" t="e">
        <f t="shared" si="187"/>
        <v>#REF!</v>
      </c>
      <c r="Q351" s="75" t="e">
        <f t="shared" si="188"/>
        <v>#REF!</v>
      </c>
      <c r="R351" s="132"/>
      <c r="S351" s="133"/>
    </row>
    <row r="352" spans="1:19" x14ac:dyDescent="0.25">
      <c r="A352" s="70" t="e">
        <f>'Date Calcs'!#REF!</f>
        <v>#REF!</v>
      </c>
      <c r="B352" s="71" t="e">
        <f>'Date Calcs'!#REF!</f>
        <v>#REF!</v>
      </c>
      <c r="C352" s="72" t="e">
        <f>'Date Calcs'!#REF!</f>
        <v>#REF!</v>
      </c>
      <c r="D352" s="73" t="e">
        <f t="shared" si="183"/>
        <v>#REF!</v>
      </c>
      <c r="E352" s="66">
        <v>44375</v>
      </c>
      <c r="F352" s="73" t="e">
        <f>'Date Calcs'!#REF!</f>
        <v>#REF!</v>
      </c>
      <c r="G352" s="73" t="e">
        <f>IF(VLOOKUP(A352,'Actual Dates'!A4:AF480,8,),'Actual Dates'!#REF!,"")</f>
        <v>#REF!</v>
      </c>
      <c r="H352" s="73" t="e">
        <f t="shared" si="184"/>
        <v>#REF!</v>
      </c>
      <c r="I352" s="73" t="e">
        <f>IF(VLOOKUP(A352,'Actual Dates'!A4:AF475,25,),'Actual Dates'!#REF!,"")</f>
        <v>#REF!</v>
      </c>
      <c r="J352" s="73" t="e">
        <f t="shared" si="185"/>
        <v>#REF!</v>
      </c>
      <c r="K352" s="73" t="e">
        <f>IF(VLOOKUP(A352,'Actual Dates'!A4:AF503,26,),'Actual Dates'!#REF!,"")</f>
        <v>#REF!</v>
      </c>
      <c r="L352" s="73" t="e">
        <f>IF(VLOOKUP(A352,'Actual Dates'!A4:AF503,21,),'Actual Dates'!#REF!,"")</f>
        <v>#REF!</v>
      </c>
      <c r="M352" s="73" t="e">
        <f>'Date Calcs'!#REF!</f>
        <v>#REF!</v>
      </c>
      <c r="N352" s="73" t="e">
        <f>IF(VLOOKUP(A352,'Actual Dates'!A4:AF503,27,),'Actual Dates'!#REF!,"")</f>
        <v>#REF!</v>
      </c>
      <c r="O352" s="74" t="e">
        <f t="shared" si="186"/>
        <v>#REF!</v>
      </c>
      <c r="P352" s="75" t="e">
        <f t="shared" si="187"/>
        <v>#REF!</v>
      </c>
      <c r="Q352" s="75" t="e">
        <f t="shared" si="188"/>
        <v>#REF!</v>
      </c>
      <c r="R352" s="132"/>
      <c r="S352" s="133"/>
    </row>
    <row r="353" spans="1:19" x14ac:dyDescent="0.25">
      <c r="A353" s="70" t="e">
        <f>'Date Calcs'!#REF!</f>
        <v>#REF!</v>
      </c>
      <c r="B353" s="71" t="e">
        <f>'Date Calcs'!#REF!</f>
        <v>#REF!</v>
      </c>
      <c r="C353" s="72" t="e">
        <f>'Date Calcs'!#REF!</f>
        <v>#REF!</v>
      </c>
      <c r="D353" s="73" t="e">
        <f t="shared" si="183"/>
        <v>#REF!</v>
      </c>
      <c r="E353" s="66">
        <v>44376</v>
      </c>
      <c r="F353" s="73" t="e">
        <f>'Date Calcs'!#REF!</f>
        <v>#REF!</v>
      </c>
      <c r="G353" s="73" t="e">
        <f>IF(VLOOKUP(A353,'Actual Dates'!A4:AF481,8,),'Actual Dates'!#REF!,"")</f>
        <v>#REF!</v>
      </c>
      <c r="H353" s="73" t="e">
        <f t="shared" si="184"/>
        <v>#REF!</v>
      </c>
      <c r="I353" s="73" t="e">
        <f>IF(VLOOKUP(A353,'Actual Dates'!A4:AF476,25,),'Actual Dates'!#REF!,"")</f>
        <v>#REF!</v>
      </c>
      <c r="J353" s="73" t="e">
        <f t="shared" si="185"/>
        <v>#REF!</v>
      </c>
      <c r="K353" s="73" t="e">
        <f>IF(VLOOKUP(A353,'Actual Dates'!A4:AF504,26,),'Actual Dates'!#REF!,"")</f>
        <v>#REF!</v>
      </c>
      <c r="L353" s="73" t="e">
        <f>IF(VLOOKUP(A353,'Actual Dates'!A4:AF504,21,),'Actual Dates'!#REF!,"")</f>
        <v>#REF!</v>
      </c>
      <c r="M353" s="73" t="e">
        <f>'Date Calcs'!#REF!</f>
        <v>#REF!</v>
      </c>
      <c r="N353" s="73" t="e">
        <f>IF(VLOOKUP(A353,'Actual Dates'!A4:AF504,27,),'Actual Dates'!#REF!,"")</f>
        <v>#REF!</v>
      </c>
      <c r="O353" s="74" t="e">
        <f t="shared" si="186"/>
        <v>#REF!</v>
      </c>
      <c r="P353" s="75" t="e">
        <f t="shared" si="187"/>
        <v>#REF!</v>
      </c>
      <c r="Q353" s="75" t="e">
        <f t="shared" si="188"/>
        <v>#REF!</v>
      </c>
      <c r="R353" s="132"/>
      <c r="S353" s="133"/>
    </row>
    <row r="354" spans="1:19" x14ac:dyDescent="0.25">
      <c r="A354" s="70" t="e">
        <f>'Date Calcs'!#REF!</f>
        <v>#REF!</v>
      </c>
      <c r="B354" s="71" t="e">
        <f>'Date Calcs'!#REF!</f>
        <v>#REF!</v>
      </c>
      <c r="C354" s="72" t="e">
        <f>'Date Calcs'!#REF!</f>
        <v>#REF!</v>
      </c>
      <c r="D354" s="73" t="e">
        <f t="shared" si="183"/>
        <v>#REF!</v>
      </c>
      <c r="E354" s="66">
        <v>44377</v>
      </c>
      <c r="F354" s="73" t="e">
        <f>'Date Calcs'!#REF!</f>
        <v>#REF!</v>
      </c>
      <c r="G354" s="73" t="e">
        <f>IF(VLOOKUP(A354,'Actual Dates'!A4:AF482,8,),'Actual Dates'!#REF!,"")</f>
        <v>#REF!</v>
      </c>
      <c r="H354" s="73" t="e">
        <f t="shared" si="184"/>
        <v>#REF!</v>
      </c>
      <c r="I354" s="73" t="e">
        <f>IF(VLOOKUP(A354,'Actual Dates'!A4:AF477,25,),'Actual Dates'!#REF!,"")</f>
        <v>#REF!</v>
      </c>
      <c r="J354" s="73" t="e">
        <f t="shared" si="185"/>
        <v>#REF!</v>
      </c>
      <c r="K354" s="73" t="e">
        <f>IF(VLOOKUP(A354,'Actual Dates'!A4:AF505,26,),'Actual Dates'!#REF!,"")</f>
        <v>#REF!</v>
      </c>
      <c r="L354" s="73" t="e">
        <f>IF(VLOOKUP(A354,'Actual Dates'!A4:AF505,21,),'Actual Dates'!#REF!,"")</f>
        <v>#REF!</v>
      </c>
      <c r="M354" s="73" t="e">
        <f>'Date Calcs'!#REF!</f>
        <v>#REF!</v>
      </c>
      <c r="N354" s="73" t="e">
        <f>IF(VLOOKUP(A354,'Actual Dates'!A4:AF505,27,),'Actual Dates'!#REF!,"")</f>
        <v>#REF!</v>
      </c>
      <c r="O354" s="74" t="e">
        <f t="shared" si="186"/>
        <v>#REF!</v>
      </c>
      <c r="P354" s="75" t="e">
        <f t="shared" si="187"/>
        <v>#REF!</v>
      </c>
      <c r="Q354" s="75" t="e">
        <f t="shared" si="188"/>
        <v>#REF!</v>
      </c>
      <c r="R354" s="132"/>
      <c r="S354" s="133"/>
    </row>
    <row r="355" spans="1:19" x14ac:dyDescent="0.25">
      <c r="A355" s="70" t="e">
        <f>'Date Calcs'!#REF!</f>
        <v>#REF!</v>
      </c>
      <c r="B355" s="71" t="e">
        <f>'Date Calcs'!#REF!</f>
        <v>#REF!</v>
      </c>
      <c r="C355" s="72" t="e">
        <f>'Date Calcs'!#REF!</f>
        <v>#REF!</v>
      </c>
      <c r="D355" s="73" t="e">
        <f t="shared" si="183"/>
        <v>#REF!</v>
      </c>
      <c r="E355" s="66">
        <v>44378</v>
      </c>
      <c r="F355" s="73" t="e">
        <f>'Date Calcs'!#REF!</f>
        <v>#REF!</v>
      </c>
      <c r="G355" s="73" t="e">
        <f>IF(VLOOKUP(A355,'Actual Dates'!A4:AF483,8,),'Actual Dates'!#REF!,"")</f>
        <v>#REF!</v>
      </c>
      <c r="H355" s="73" t="e">
        <f t="shared" si="184"/>
        <v>#REF!</v>
      </c>
      <c r="I355" s="73" t="e">
        <f>IF(VLOOKUP(A355,'Actual Dates'!A4:AF478,25,),'Actual Dates'!#REF!,"")</f>
        <v>#REF!</v>
      </c>
      <c r="J355" s="73" t="e">
        <f t="shared" si="185"/>
        <v>#REF!</v>
      </c>
      <c r="K355" s="73" t="e">
        <f>IF(VLOOKUP(A355,'Actual Dates'!A4:AF506,26,),'Actual Dates'!#REF!,"")</f>
        <v>#REF!</v>
      </c>
      <c r="L355" s="73" t="e">
        <f>IF(VLOOKUP(A355,'Actual Dates'!A4:AF506,21,),'Actual Dates'!#REF!,"")</f>
        <v>#REF!</v>
      </c>
      <c r="M355" s="73" t="e">
        <f>'Date Calcs'!#REF!</f>
        <v>#REF!</v>
      </c>
      <c r="N355" s="73" t="e">
        <f>IF(VLOOKUP(A355,'Actual Dates'!A4:AF506,27,),'Actual Dates'!#REF!,"")</f>
        <v>#REF!</v>
      </c>
      <c r="O355" s="74" t="e">
        <f t="shared" si="186"/>
        <v>#REF!</v>
      </c>
      <c r="P355" s="75" t="e">
        <f t="shared" si="187"/>
        <v>#REF!</v>
      </c>
      <c r="Q355" s="75" t="e">
        <f t="shared" si="188"/>
        <v>#REF!</v>
      </c>
      <c r="R355" s="132"/>
      <c r="S355" s="133"/>
    </row>
    <row r="356" spans="1:19" x14ac:dyDescent="0.25">
      <c r="A356" s="70" t="e">
        <f>'Date Calcs'!#REF!</f>
        <v>#REF!</v>
      </c>
      <c r="B356" s="71" t="e">
        <f>'Date Calcs'!#REF!</f>
        <v>#REF!</v>
      </c>
      <c r="C356" s="72" t="e">
        <f>'Date Calcs'!#REF!</f>
        <v>#REF!</v>
      </c>
      <c r="D356" s="73" t="e">
        <f t="shared" si="183"/>
        <v>#REF!</v>
      </c>
      <c r="E356" s="66">
        <v>44379</v>
      </c>
      <c r="F356" s="73" t="e">
        <f>'Date Calcs'!#REF!</f>
        <v>#REF!</v>
      </c>
      <c r="G356" s="73" t="e">
        <f>IF(VLOOKUP(A356,'Actual Dates'!A4:AF484,8,),'Actual Dates'!#REF!,"")</f>
        <v>#REF!</v>
      </c>
      <c r="H356" s="73" t="e">
        <f t="shared" si="184"/>
        <v>#REF!</v>
      </c>
      <c r="I356" s="73" t="e">
        <f>IF(VLOOKUP(A356,'Actual Dates'!A4:AF479,25,),'Actual Dates'!#REF!,"")</f>
        <v>#REF!</v>
      </c>
      <c r="J356" s="73" t="e">
        <f t="shared" si="185"/>
        <v>#REF!</v>
      </c>
      <c r="K356" s="73" t="e">
        <f>IF(VLOOKUP(A356,'Actual Dates'!A4:AF507,26,),'Actual Dates'!#REF!,"")</f>
        <v>#REF!</v>
      </c>
      <c r="L356" s="73" t="e">
        <f>IF(VLOOKUP(A356,'Actual Dates'!A4:AF507,21,),'Actual Dates'!#REF!,"")</f>
        <v>#REF!</v>
      </c>
      <c r="M356" s="73" t="e">
        <f>'Date Calcs'!#REF!</f>
        <v>#REF!</v>
      </c>
      <c r="N356" s="73" t="e">
        <f>IF(VLOOKUP(A356,'Actual Dates'!A4:AF507,27,),'Actual Dates'!#REF!,"")</f>
        <v>#REF!</v>
      </c>
      <c r="O356" s="74" t="e">
        <f t="shared" si="186"/>
        <v>#REF!</v>
      </c>
      <c r="P356" s="75" t="e">
        <f t="shared" si="187"/>
        <v>#REF!</v>
      </c>
      <c r="Q356" s="75" t="e">
        <f t="shared" si="188"/>
        <v>#REF!</v>
      </c>
      <c r="R356" s="132"/>
      <c r="S356" s="133"/>
    </row>
    <row r="357" spans="1:19" x14ac:dyDescent="0.25">
      <c r="A357" s="70" t="e">
        <f>'Date Calcs'!#REF!</f>
        <v>#REF!</v>
      </c>
      <c r="B357" s="71" t="e">
        <f>'Date Calcs'!#REF!</f>
        <v>#REF!</v>
      </c>
      <c r="C357" s="72" t="e">
        <f>'Date Calcs'!#REF!</f>
        <v>#REF!</v>
      </c>
      <c r="D357" s="73" t="e">
        <f t="shared" si="183"/>
        <v>#REF!</v>
      </c>
      <c r="E357" s="66">
        <v>44380</v>
      </c>
      <c r="F357" s="73" t="e">
        <f>'Date Calcs'!#REF!</f>
        <v>#REF!</v>
      </c>
      <c r="G357" s="73" t="e">
        <f>IF(VLOOKUP(A357,'Actual Dates'!A4:AF485,8,),'Actual Dates'!#REF!,"")</f>
        <v>#REF!</v>
      </c>
      <c r="H357" s="73" t="e">
        <f t="shared" si="184"/>
        <v>#REF!</v>
      </c>
      <c r="I357" s="73" t="e">
        <f>IF(VLOOKUP(A357,'Actual Dates'!A4:AF480,25,),'Actual Dates'!#REF!,"")</f>
        <v>#REF!</v>
      </c>
      <c r="J357" s="73" t="e">
        <f t="shared" si="185"/>
        <v>#REF!</v>
      </c>
      <c r="K357" s="73" t="e">
        <f>IF(VLOOKUP(A357,'Actual Dates'!A4:AF508,26,),'Actual Dates'!#REF!,"")</f>
        <v>#REF!</v>
      </c>
      <c r="L357" s="73" t="e">
        <f>IF(VLOOKUP(A357,'Actual Dates'!A4:AF508,21,),'Actual Dates'!#REF!,"")</f>
        <v>#REF!</v>
      </c>
      <c r="M357" s="73" t="e">
        <f>'Date Calcs'!#REF!</f>
        <v>#REF!</v>
      </c>
      <c r="N357" s="73" t="e">
        <f>IF(VLOOKUP(A357,'Actual Dates'!A4:AF508,27,),'Actual Dates'!#REF!,"")</f>
        <v>#REF!</v>
      </c>
      <c r="O357" s="74" t="e">
        <f t="shared" si="186"/>
        <v>#REF!</v>
      </c>
      <c r="P357" s="75" t="e">
        <f t="shared" si="187"/>
        <v>#REF!</v>
      </c>
      <c r="Q357" s="75" t="e">
        <f t="shared" si="188"/>
        <v>#REF!</v>
      </c>
      <c r="R357" s="132"/>
      <c r="S357" s="133"/>
    </row>
    <row r="358" spans="1:19" x14ac:dyDescent="0.25">
      <c r="A358" s="70" t="e">
        <f>'Date Calcs'!#REF!</f>
        <v>#REF!</v>
      </c>
      <c r="B358" s="71" t="e">
        <f>'Date Calcs'!#REF!</f>
        <v>#REF!</v>
      </c>
      <c r="C358" s="72" t="e">
        <f>'Date Calcs'!#REF!</f>
        <v>#REF!</v>
      </c>
      <c r="D358" s="73" t="e">
        <f t="shared" si="183"/>
        <v>#REF!</v>
      </c>
      <c r="E358" s="66">
        <v>44381</v>
      </c>
      <c r="F358" s="73" t="e">
        <f>'Date Calcs'!#REF!</f>
        <v>#REF!</v>
      </c>
      <c r="G358" s="73" t="e">
        <f>IF(VLOOKUP(A358,'Actual Dates'!A4:AF486,8,),'Actual Dates'!#REF!,"")</f>
        <v>#REF!</v>
      </c>
      <c r="H358" s="73" t="e">
        <f t="shared" si="184"/>
        <v>#REF!</v>
      </c>
      <c r="I358" s="73" t="e">
        <f>IF(VLOOKUP(A358,'Actual Dates'!A4:AF481,25,),'Actual Dates'!#REF!,"")</f>
        <v>#REF!</v>
      </c>
      <c r="J358" s="73" t="e">
        <f t="shared" si="185"/>
        <v>#REF!</v>
      </c>
      <c r="K358" s="73" t="e">
        <f>IF(VLOOKUP(A358,'Actual Dates'!A4:AF509,26,),'Actual Dates'!#REF!,"")</f>
        <v>#REF!</v>
      </c>
      <c r="L358" s="73" t="e">
        <f>IF(VLOOKUP(A358,'Actual Dates'!A4:AF509,21,),'Actual Dates'!#REF!,"")</f>
        <v>#REF!</v>
      </c>
      <c r="M358" s="73" t="e">
        <f>'Date Calcs'!#REF!</f>
        <v>#REF!</v>
      </c>
      <c r="N358" s="73" t="e">
        <f>IF(VLOOKUP(A358,'Actual Dates'!A4:AF509,27,),'Actual Dates'!#REF!,"")</f>
        <v>#REF!</v>
      </c>
      <c r="O358" s="74" t="e">
        <f t="shared" si="186"/>
        <v>#REF!</v>
      </c>
      <c r="P358" s="75" t="e">
        <f t="shared" si="187"/>
        <v>#REF!</v>
      </c>
      <c r="Q358" s="75" t="e">
        <f t="shared" si="188"/>
        <v>#REF!</v>
      </c>
      <c r="R358" s="132"/>
      <c r="S358" s="133"/>
    </row>
    <row r="359" spans="1:19" x14ac:dyDescent="0.25">
      <c r="A359" s="70" t="e">
        <f>'Date Calcs'!#REF!</f>
        <v>#REF!</v>
      </c>
      <c r="B359" s="71" t="e">
        <f>'Date Calcs'!#REF!</f>
        <v>#REF!</v>
      </c>
      <c r="C359" s="72" t="e">
        <f>'Date Calcs'!#REF!</f>
        <v>#REF!</v>
      </c>
      <c r="D359" s="73" t="e">
        <f t="shared" si="183"/>
        <v>#REF!</v>
      </c>
      <c r="E359" s="66">
        <v>44382</v>
      </c>
      <c r="F359" s="73" t="e">
        <f>'Date Calcs'!#REF!</f>
        <v>#REF!</v>
      </c>
      <c r="G359" s="73" t="e">
        <f>IF(VLOOKUP(A359,'Actual Dates'!A4:AF487,8,),'Actual Dates'!#REF!,"")</f>
        <v>#REF!</v>
      </c>
      <c r="H359" s="73" t="e">
        <f t="shared" si="184"/>
        <v>#REF!</v>
      </c>
      <c r="I359" s="73" t="e">
        <f>IF(VLOOKUP(A359,'Actual Dates'!A4:AF482,25,),'Actual Dates'!#REF!,"")</f>
        <v>#REF!</v>
      </c>
      <c r="J359" s="73" t="e">
        <f t="shared" si="185"/>
        <v>#REF!</v>
      </c>
      <c r="K359" s="73" t="e">
        <f>IF(VLOOKUP(A359,'Actual Dates'!A4:AF510,26,),'Actual Dates'!#REF!,"")</f>
        <v>#REF!</v>
      </c>
      <c r="L359" s="73" t="e">
        <f>IF(VLOOKUP(A359,'Actual Dates'!A4:AF510,21,),'Actual Dates'!#REF!,"")</f>
        <v>#REF!</v>
      </c>
      <c r="M359" s="73" t="e">
        <f>'Date Calcs'!#REF!</f>
        <v>#REF!</v>
      </c>
      <c r="N359" s="73" t="e">
        <f>IF(VLOOKUP(A359,'Actual Dates'!A4:AF510,27,),'Actual Dates'!#REF!,"")</f>
        <v>#REF!</v>
      </c>
      <c r="O359" s="74" t="e">
        <f t="shared" si="186"/>
        <v>#REF!</v>
      </c>
      <c r="P359" s="75" t="e">
        <f t="shared" si="187"/>
        <v>#REF!</v>
      </c>
      <c r="Q359" s="75" t="e">
        <f t="shared" si="188"/>
        <v>#REF!</v>
      </c>
      <c r="R359" s="132"/>
      <c r="S359" s="133"/>
    </row>
    <row r="360" spans="1:19" x14ac:dyDescent="0.25">
      <c r="A360" s="70" t="e">
        <f>'Date Calcs'!#REF!</f>
        <v>#REF!</v>
      </c>
      <c r="B360" s="71" t="e">
        <f>'Date Calcs'!#REF!</f>
        <v>#REF!</v>
      </c>
      <c r="C360" s="72" t="e">
        <f>'Date Calcs'!#REF!</f>
        <v>#REF!</v>
      </c>
      <c r="D360" s="73" t="e">
        <f t="shared" si="183"/>
        <v>#REF!</v>
      </c>
      <c r="E360" s="66">
        <v>44383</v>
      </c>
      <c r="F360" s="73" t="e">
        <f>'Date Calcs'!#REF!</f>
        <v>#REF!</v>
      </c>
      <c r="G360" s="73" t="e">
        <f>IF(VLOOKUP(A360,'Actual Dates'!A4:AF488,8,),'Actual Dates'!#REF!,"")</f>
        <v>#REF!</v>
      </c>
      <c r="H360" s="73" t="e">
        <f t="shared" si="184"/>
        <v>#REF!</v>
      </c>
      <c r="I360" s="73" t="e">
        <f>IF(VLOOKUP(A360,'Actual Dates'!A4:AF483,25,),'Actual Dates'!#REF!,"")</f>
        <v>#REF!</v>
      </c>
      <c r="J360" s="73" t="e">
        <f t="shared" si="185"/>
        <v>#REF!</v>
      </c>
      <c r="K360" s="73" t="e">
        <f>IF(VLOOKUP(A360,'Actual Dates'!A4:AF511,26,),'Actual Dates'!#REF!,"")</f>
        <v>#REF!</v>
      </c>
      <c r="L360" s="73" t="e">
        <f>IF(VLOOKUP(A360,'Actual Dates'!A4:AF511,21,),'Actual Dates'!#REF!,"")</f>
        <v>#REF!</v>
      </c>
      <c r="M360" s="73" t="e">
        <f>'Date Calcs'!#REF!</f>
        <v>#REF!</v>
      </c>
      <c r="N360" s="73" t="e">
        <f>IF(VLOOKUP(A360,'Actual Dates'!A4:AF511,27,),'Actual Dates'!#REF!,"")</f>
        <v>#REF!</v>
      </c>
      <c r="O360" s="74" t="e">
        <f t="shared" si="186"/>
        <v>#REF!</v>
      </c>
      <c r="P360" s="75" t="e">
        <f t="shared" si="187"/>
        <v>#REF!</v>
      </c>
      <c r="Q360" s="75" t="e">
        <f t="shared" si="188"/>
        <v>#REF!</v>
      </c>
      <c r="R360" s="132"/>
      <c r="S360" s="133"/>
    </row>
    <row r="361" spans="1:19" x14ac:dyDescent="0.25">
      <c r="A361" s="70" t="e">
        <f>'Date Calcs'!#REF!</f>
        <v>#REF!</v>
      </c>
      <c r="B361" s="71" t="e">
        <f>'Date Calcs'!#REF!</f>
        <v>#REF!</v>
      </c>
      <c r="C361" s="72" t="e">
        <f>'Date Calcs'!#REF!</f>
        <v>#REF!</v>
      </c>
      <c r="D361" s="73" t="e">
        <f t="shared" si="183"/>
        <v>#REF!</v>
      </c>
      <c r="E361" s="66">
        <v>44384</v>
      </c>
      <c r="F361" s="73" t="e">
        <f>'Date Calcs'!#REF!</f>
        <v>#REF!</v>
      </c>
      <c r="G361" s="73" t="e">
        <f>IF(VLOOKUP(A361,'Actual Dates'!A4:AF489,8,),'Actual Dates'!#REF!,"")</f>
        <v>#REF!</v>
      </c>
      <c r="H361" s="73" t="e">
        <f t="shared" si="184"/>
        <v>#REF!</v>
      </c>
      <c r="I361" s="73" t="e">
        <f>IF(VLOOKUP(A361,'Actual Dates'!A4:AF484,25,),'Actual Dates'!#REF!,"")</f>
        <v>#REF!</v>
      </c>
      <c r="J361" s="73" t="e">
        <f t="shared" si="185"/>
        <v>#REF!</v>
      </c>
      <c r="K361" s="73" t="e">
        <f>IF(VLOOKUP(A361,'Actual Dates'!A4:AF512,26,),'Actual Dates'!#REF!,"")</f>
        <v>#REF!</v>
      </c>
      <c r="L361" s="73" t="e">
        <f>IF(VLOOKUP(A361,'Actual Dates'!A4:AF512,21,),'Actual Dates'!#REF!,"")</f>
        <v>#REF!</v>
      </c>
      <c r="M361" s="73" t="e">
        <f>'Date Calcs'!#REF!</f>
        <v>#REF!</v>
      </c>
      <c r="N361" s="73" t="e">
        <f>IF(VLOOKUP(A361,'Actual Dates'!A4:AF512,27,),'Actual Dates'!#REF!,"")</f>
        <v>#REF!</v>
      </c>
      <c r="O361" s="74" t="e">
        <f t="shared" si="186"/>
        <v>#REF!</v>
      </c>
      <c r="P361" s="75" t="e">
        <f t="shared" si="187"/>
        <v>#REF!</v>
      </c>
      <c r="Q361" s="75" t="e">
        <f t="shared" si="188"/>
        <v>#REF!</v>
      </c>
      <c r="R361" s="132"/>
      <c r="S361" s="133"/>
    </row>
    <row r="362" spans="1:19" x14ac:dyDescent="0.25">
      <c r="A362" s="70" t="e">
        <f>'Date Calcs'!#REF!</f>
        <v>#REF!</v>
      </c>
      <c r="B362" s="71" t="e">
        <f>'Date Calcs'!#REF!</f>
        <v>#REF!</v>
      </c>
      <c r="C362" s="72" t="e">
        <f>'Date Calcs'!#REF!</f>
        <v>#REF!</v>
      </c>
      <c r="D362" s="73" t="e">
        <f t="shared" si="183"/>
        <v>#REF!</v>
      </c>
      <c r="E362" s="66">
        <v>44385</v>
      </c>
      <c r="F362" s="73" t="e">
        <f>'Date Calcs'!#REF!</f>
        <v>#REF!</v>
      </c>
      <c r="G362" s="73" t="e">
        <f>IF(VLOOKUP(A362,'Actual Dates'!A4:AF490,8,),'Actual Dates'!#REF!,"")</f>
        <v>#REF!</v>
      </c>
      <c r="H362" s="73" t="e">
        <f t="shared" si="184"/>
        <v>#REF!</v>
      </c>
      <c r="I362" s="73" t="e">
        <f>IF(VLOOKUP(A362,'Actual Dates'!A4:AF485,25,),'Actual Dates'!#REF!,"")</f>
        <v>#REF!</v>
      </c>
      <c r="J362" s="73" t="e">
        <f t="shared" si="185"/>
        <v>#REF!</v>
      </c>
      <c r="K362" s="73" t="e">
        <f>IF(VLOOKUP(A362,'Actual Dates'!A4:AF513,26,),'Actual Dates'!#REF!,"")</f>
        <v>#REF!</v>
      </c>
      <c r="L362" s="73" t="e">
        <f>IF(VLOOKUP(A362,'Actual Dates'!A4:AF513,21,),'Actual Dates'!#REF!,"")</f>
        <v>#REF!</v>
      </c>
      <c r="M362" s="73" t="e">
        <f>'Date Calcs'!#REF!</f>
        <v>#REF!</v>
      </c>
      <c r="N362" s="73" t="e">
        <f>IF(VLOOKUP(A362,'Actual Dates'!A4:AF513,27,),'Actual Dates'!#REF!,"")</f>
        <v>#REF!</v>
      </c>
      <c r="O362" s="74" t="e">
        <f t="shared" si="186"/>
        <v>#REF!</v>
      </c>
      <c r="P362" s="75" t="e">
        <f t="shared" si="187"/>
        <v>#REF!</v>
      </c>
      <c r="Q362" s="75" t="e">
        <f t="shared" si="188"/>
        <v>#REF!</v>
      </c>
      <c r="R362" s="132"/>
      <c r="S362" s="133"/>
    </row>
    <row r="363" spans="1:19" x14ac:dyDescent="0.25">
      <c r="A363" s="70" t="e">
        <f>'Date Calcs'!#REF!</f>
        <v>#REF!</v>
      </c>
      <c r="B363" s="71" t="e">
        <f>'Date Calcs'!#REF!</f>
        <v>#REF!</v>
      </c>
      <c r="C363" s="72" t="e">
        <f>'Date Calcs'!#REF!</f>
        <v>#REF!</v>
      </c>
      <c r="D363" s="73" t="e">
        <f t="shared" si="183"/>
        <v>#REF!</v>
      </c>
      <c r="E363" s="66">
        <v>44386</v>
      </c>
      <c r="F363" s="73" t="e">
        <f>'Date Calcs'!#REF!</f>
        <v>#REF!</v>
      </c>
      <c r="G363" s="73" t="e">
        <f>IF(VLOOKUP(A363,'Actual Dates'!A4:AF491,8,),'Actual Dates'!#REF!,"")</f>
        <v>#REF!</v>
      </c>
      <c r="H363" s="73" t="e">
        <f t="shared" si="184"/>
        <v>#REF!</v>
      </c>
      <c r="I363" s="73" t="e">
        <f>IF(VLOOKUP(A363,'Actual Dates'!A4:AF486,25,),'Actual Dates'!#REF!,"")</f>
        <v>#REF!</v>
      </c>
      <c r="J363" s="73" t="e">
        <f t="shared" si="185"/>
        <v>#REF!</v>
      </c>
      <c r="K363" s="73" t="e">
        <f>IF(VLOOKUP(A363,'Actual Dates'!A4:AF514,26,),'Actual Dates'!#REF!,"")</f>
        <v>#REF!</v>
      </c>
      <c r="L363" s="73" t="e">
        <f>IF(VLOOKUP(A363,'Actual Dates'!A4:AF514,21,),'Actual Dates'!#REF!,"")</f>
        <v>#REF!</v>
      </c>
      <c r="M363" s="73" t="e">
        <f>'Date Calcs'!#REF!</f>
        <v>#REF!</v>
      </c>
      <c r="N363" s="73" t="e">
        <f>IF(VLOOKUP(A363,'Actual Dates'!A4:AF514,27,),'Actual Dates'!#REF!,"")</f>
        <v>#REF!</v>
      </c>
      <c r="O363" s="74" t="e">
        <f t="shared" si="186"/>
        <v>#REF!</v>
      </c>
      <c r="P363" s="75" t="e">
        <f t="shared" si="187"/>
        <v>#REF!</v>
      </c>
      <c r="Q363" s="75" t="e">
        <f t="shared" si="188"/>
        <v>#REF!</v>
      </c>
      <c r="R363" s="132"/>
      <c r="S363" s="133"/>
    </row>
    <row r="364" spans="1:19" x14ac:dyDescent="0.25">
      <c r="A364" s="70" t="e">
        <f>'Date Calcs'!#REF!</f>
        <v>#REF!</v>
      </c>
      <c r="B364" s="71" t="e">
        <f>'Date Calcs'!#REF!</f>
        <v>#REF!</v>
      </c>
      <c r="C364" s="72" t="e">
        <f>'Date Calcs'!#REF!</f>
        <v>#REF!</v>
      </c>
      <c r="D364" s="73" t="e">
        <f t="shared" si="183"/>
        <v>#REF!</v>
      </c>
      <c r="E364" s="66">
        <v>44387</v>
      </c>
      <c r="F364" s="73" t="e">
        <f>'Date Calcs'!#REF!</f>
        <v>#REF!</v>
      </c>
      <c r="G364" s="73" t="e">
        <f>IF(VLOOKUP(A364,'Actual Dates'!A4:AF492,8,),'Actual Dates'!#REF!,"")</f>
        <v>#REF!</v>
      </c>
      <c r="H364" s="73" t="e">
        <f t="shared" si="184"/>
        <v>#REF!</v>
      </c>
      <c r="I364" s="73" t="e">
        <f>IF(VLOOKUP(A364,'Actual Dates'!A4:AF487,25,),'Actual Dates'!#REF!,"")</f>
        <v>#REF!</v>
      </c>
      <c r="J364" s="73" t="e">
        <f t="shared" si="185"/>
        <v>#REF!</v>
      </c>
      <c r="K364" s="73" t="e">
        <f>IF(VLOOKUP(A364,'Actual Dates'!A4:AF515,26,),'Actual Dates'!#REF!,"")</f>
        <v>#REF!</v>
      </c>
      <c r="L364" s="73" t="e">
        <f>IF(VLOOKUP(A364,'Actual Dates'!A4:AF515,21,),'Actual Dates'!#REF!,"")</f>
        <v>#REF!</v>
      </c>
      <c r="M364" s="73" t="e">
        <f>'Date Calcs'!#REF!</f>
        <v>#REF!</v>
      </c>
      <c r="N364" s="73" t="e">
        <f>IF(VLOOKUP(A364,'Actual Dates'!A4:AF515,27,),'Actual Dates'!#REF!,"")</f>
        <v>#REF!</v>
      </c>
      <c r="O364" s="74" t="e">
        <f t="shared" si="186"/>
        <v>#REF!</v>
      </c>
      <c r="P364" s="75" t="e">
        <f t="shared" si="187"/>
        <v>#REF!</v>
      </c>
      <c r="Q364" s="75" t="e">
        <f t="shared" si="188"/>
        <v>#REF!</v>
      </c>
      <c r="R364" s="132"/>
      <c r="S364" s="133"/>
    </row>
    <row r="365" spans="1:19" x14ac:dyDescent="0.25">
      <c r="A365" s="70" t="e">
        <f>'Date Calcs'!#REF!</f>
        <v>#REF!</v>
      </c>
      <c r="B365" s="71" t="e">
        <f>'Date Calcs'!#REF!</f>
        <v>#REF!</v>
      </c>
      <c r="C365" s="72" t="e">
        <f>'Date Calcs'!#REF!</f>
        <v>#REF!</v>
      </c>
      <c r="D365" s="73" t="e">
        <f t="shared" si="183"/>
        <v>#REF!</v>
      </c>
      <c r="E365" s="66">
        <v>44388</v>
      </c>
      <c r="F365" s="73" t="e">
        <f>'Date Calcs'!#REF!</f>
        <v>#REF!</v>
      </c>
      <c r="G365" s="73" t="e">
        <f>IF(VLOOKUP(A365,'Actual Dates'!A4:AF493,8,),'Actual Dates'!#REF!,"")</f>
        <v>#REF!</v>
      </c>
      <c r="H365" s="73" t="e">
        <f t="shared" si="184"/>
        <v>#REF!</v>
      </c>
      <c r="I365" s="73" t="e">
        <f>IF(VLOOKUP(A365,'Actual Dates'!A4:AF488,25,),'Actual Dates'!#REF!,"")</f>
        <v>#REF!</v>
      </c>
      <c r="J365" s="73" t="e">
        <f t="shared" si="185"/>
        <v>#REF!</v>
      </c>
      <c r="K365" s="73" t="e">
        <f>IF(VLOOKUP(A365,'Actual Dates'!A4:AF516,26,),'Actual Dates'!#REF!,"")</f>
        <v>#REF!</v>
      </c>
      <c r="L365" s="73" t="e">
        <f>IF(VLOOKUP(A365,'Actual Dates'!A4:AF516,21,),'Actual Dates'!#REF!,"")</f>
        <v>#REF!</v>
      </c>
      <c r="M365" s="73" t="e">
        <f>'Date Calcs'!#REF!</f>
        <v>#REF!</v>
      </c>
      <c r="N365" s="73" t="e">
        <f>IF(VLOOKUP(A365,'Actual Dates'!A4:AF516,27,),'Actual Dates'!#REF!,"")</f>
        <v>#REF!</v>
      </c>
      <c r="O365" s="74" t="e">
        <f t="shared" si="186"/>
        <v>#REF!</v>
      </c>
      <c r="P365" s="75" t="e">
        <f t="shared" si="187"/>
        <v>#REF!</v>
      </c>
      <c r="Q365" s="75" t="e">
        <f t="shared" si="188"/>
        <v>#REF!</v>
      </c>
      <c r="R365" s="132"/>
      <c r="S365" s="133"/>
    </row>
    <row r="366" spans="1:19" x14ac:dyDescent="0.25">
      <c r="A366" s="70" t="e">
        <f>'Date Calcs'!#REF!</f>
        <v>#REF!</v>
      </c>
      <c r="B366" s="71" t="e">
        <f>'Date Calcs'!#REF!</f>
        <v>#REF!</v>
      </c>
      <c r="C366" s="72" t="e">
        <f>'Date Calcs'!#REF!</f>
        <v>#REF!</v>
      </c>
      <c r="D366" s="73" t="e">
        <f t="shared" si="183"/>
        <v>#REF!</v>
      </c>
      <c r="E366" s="66">
        <v>44389</v>
      </c>
      <c r="F366" s="73" t="e">
        <f>'Date Calcs'!#REF!</f>
        <v>#REF!</v>
      </c>
      <c r="G366" s="73" t="e">
        <f>IF(VLOOKUP(A366,'Actual Dates'!A4:AF494,8,),'Actual Dates'!#REF!,"")</f>
        <v>#REF!</v>
      </c>
      <c r="H366" s="73" t="e">
        <f t="shared" si="184"/>
        <v>#REF!</v>
      </c>
      <c r="I366" s="73" t="e">
        <f>IF(VLOOKUP(A366,'Actual Dates'!A4:AF489,25,),'Actual Dates'!#REF!,"")</f>
        <v>#REF!</v>
      </c>
      <c r="J366" s="73" t="e">
        <f t="shared" si="185"/>
        <v>#REF!</v>
      </c>
      <c r="K366" s="73" t="e">
        <f>IF(VLOOKUP(A366,'Actual Dates'!A4:AF517,26,),'Actual Dates'!#REF!,"")</f>
        <v>#REF!</v>
      </c>
      <c r="L366" s="73" t="e">
        <f>IF(VLOOKUP(A366,'Actual Dates'!A4:AF517,21,),'Actual Dates'!#REF!,"")</f>
        <v>#REF!</v>
      </c>
      <c r="M366" s="73" t="e">
        <f>'Date Calcs'!#REF!</f>
        <v>#REF!</v>
      </c>
      <c r="N366" s="73" t="e">
        <f>IF(VLOOKUP(A366,'Actual Dates'!A4:AF517,27,),'Actual Dates'!#REF!,"")</f>
        <v>#REF!</v>
      </c>
      <c r="O366" s="74" t="e">
        <f t="shared" si="186"/>
        <v>#REF!</v>
      </c>
      <c r="P366" s="75" t="e">
        <f t="shared" si="187"/>
        <v>#REF!</v>
      </c>
      <c r="Q366" s="75" t="e">
        <f t="shared" si="188"/>
        <v>#REF!</v>
      </c>
      <c r="R366" s="132"/>
      <c r="S366" s="133"/>
    </row>
    <row r="367" spans="1:19" x14ac:dyDescent="0.25">
      <c r="A367" s="70" t="e">
        <f>'Date Calcs'!#REF!</f>
        <v>#REF!</v>
      </c>
      <c r="B367" s="71" t="e">
        <f>'Date Calcs'!#REF!</f>
        <v>#REF!</v>
      </c>
      <c r="C367" s="72" t="e">
        <f>'Date Calcs'!#REF!</f>
        <v>#REF!</v>
      </c>
      <c r="D367" s="73" t="e">
        <f t="shared" si="183"/>
        <v>#REF!</v>
      </c>
      <c r="E367" s="66">
        <v>44390</v>
      </c>
      <c r="F367" s="73" t="e">
        <f>'Date Calcs'!#REF!</f>
        <v>#REF!</v>
      </c>
      <c r="G367" s="73" t="e">
        <f>IF(VLOOKUP(A367,'Actual Dates'!A4:AF495,8,),'Actual Dates'!#REF!,"")</f>
        <v>#REF!</v>
      </c>
      <c r="H367" s="73" t="e">
        <f t="shared" si="184"/>
        <v>#REF!</v>
      </c>
      <c r="I367" s="73" t="e">
        <f>IF(VLOOKUP(A367,'Actual Dates'!A4:AF490,25,),'Actual Dates'!#REF!,"")</f>
        <v>#REF!</v>
      </c>
      <c r="J367" s="73" t="e">
        <f t="shared" si="185"/>
        <v>#REF!</v>
      </c>
      <c r="K367" s="73" t="e">
        <f>IF(VLOOKUP(A367,'Actual Dates'!A4:AF518,26,),'Actual Dates'!#REF!,"")</f>
        <v>#REF!</v>
      </c>
      <c r="L367" s="73" t="e">
        <f>IF(VLOOKUP(A367,'Actual Dates'!A4:AF518,21,),'Actual Dates'!#REF!,"")</f>
        <v>#REF!</v>
      </c>
      <c r="M367" s="73" t="e">
        <f>'Date Calcs'!#REF!</f>
        <v>#REF!</v>
      </c>
      <c r="N367" s="73" t="e">
        <f>IF(VLOOKUP(A367,'Actual Dates'!A4:AF518,27,),'Actual Dates'!#REF!,"")</f>
        <v>#REF!</v>
      </c>
      <c r="O367" s="74" t="e">
        <f t="shared" si="186"/>
        <v>#REF!</v>
      </c>
      <c r="P367" s="75" t="e">
        <f t="shared" si="187"/>
        <v>#REF!</v>
      </c>
      <c r="Q367" s="75" t="e">
        <f t="shared" si="188"/>
        <v>#REF!</v>
      </c>
      <c r="R367" s="132"/>
      <c r="S367" s="133"/>
    </row>
    <row r="368" spans="1:19" x14ac:dyDescent="0.25">
      <c r="A368" s="70" t="e">
        <f>'Date Calcs'!#REF!</f>
        <v>#REF!</v>
      </c>
      <c r="B368" s="71" t="e">
        <f>'Date Calcs'!#REF!</f>
        <v>#REF!</v>
      </c>
      <c r="C368" s="72" t="e">
        <f>'Date Calcs'!#REF!</f>
        <v>#REF!</v>
      </c>
      <c r="D368" s="73" t="e">
        <f t="shared" si="183"/>
        <v>#REF!</v>
      </c>
      <c r="E368" s="66">
        <v>44391</v>
      </c>
      <c r="F368" s="73" t="e">
        <f>'Date Calcs'!#REF!</f>
        <v>#REF!</v>
      </c>
      <c r="G368" s="73" t="e">
        <f>IF(VLOOKUP(A368,'Actual Dates'!A4:AF496,8,),'Actual Dates'!#REF!,"")</f>
        <v>#REF!</v>
      </c>
      <c r="H368" s="73" t="e">
        <f t="shared" si="184"/>
        <v>#REF!</v>
      </c>
      <c r="I368" s="73" t="e">
        <f>IF(VLOOKUP(A368,'Actual Dates'!A4:AF491,25,),'Actual Dates'!#REF!,"")</f>
        <v>#REF!</v>
      </c>
      <c r="J368" s="73" t="e">
        <f t="shared" si="185"/>
        <v>#REF!</v>
      </c>
      <c r="K368" s="73" t="e">
        <f>IF(VLOOKUP(A368,'Actual Dates'!A4:AF519,26,),'Actual Dates'!#REF!,"")</f>
        <v>#REF!</v>
      </c>
      <c r="L368" s="73" t="e">
        <f>IF(VLOOKUP(A368,'Actual Dates'!A4:AF519,21,),'Actual Dates'!#REF!,"")</f>
        <v>#REF!</v>
      </c>
      <c r="M368" s="73" t="e">
        <f>'Date Calcs'!#REF!</f>
        <v>#REF!</v>
      </c>
      <c r="N368" s="73" t="e">
        <f>IF(VLOOKUP(A368,'Actual Dates'!A4:AF519,27,),'Actual Dates'!#REF!,"")</f>
        <v>#REF!</v>
      </c>
      <c r="O368" s="74" t="e">
        <f t="shared" si="186"/>
        <v>#REF!</v>
      </c>
      <c r="P368" s="75" t="e">
        <f t="shared" si="187"/>
        <v>#REF!</v>
      </c>
      <c r="Q368" s="75" t="e">
        <f t="shared" si="188"/>
        <v>#REF!</v>
      </c>
      <c r="R368" s="132"/>
      <c r="S368" s="133"/>
    </row>
    <row r="369" spans="1:19" x14ac:dyDescent="0.25">
      <c r="A369" s="70" t="e">
        <f>'Date Calcs'!#REF!</f>
        <v>#REF!</v>
      </c>
      <c r="B369" s="71" t="e">
        <f>'Date Calcs'!#REF!</f>
        <v>#REF!</v>
      </c>
      <c r="C369" s="72" t="e">
        <f>'Date Calcs'!#REF!</f>
        <v>#REF!</v>
      </c>
      <c r="D369" s="73" t="e">
        <f t="shared" si="183"/>
        <v>#REF!</v>
      </c>
      <c r="E369" s="66">
        <v>44392</v>
      </c>
      <c r="F369" s="73" t="e">
        <f>'Date Calcs'!#REF!</f>
        <v>#REF!</v>
      </c>
      <c r="G369" s="73" t="e">
        <f>IF(VLOOKUP(A369,'Actual Dates'!A4:AF497,8,),'Actual Dates'!#REF!,"")</f>
        <v>#REF!</v>
      </c>
      <c r="H369" s="73" t="e">
        <f t="shared" si="184"/>
        <v>#REF!</v>
      </c>
      <c r="I369" s="73" t="e">
        <f>IF(VLOOKUP(A369,'Actual Dates'!A4:AF492,25,),'Actual Dates'!#REF!,"")</f>
        <v>#REF!</v>
      </c>
      <c r="J369" s="73" t="e">
        <f t="shared" si="185"/>
        <v>#REF!</v>
      </c>
      <c r="K369" s="73" t="e">
        <f>IF(VLOOKUP(A369,'Actual Dates'!A4:AF520,26,),'Actual Dates'!#REF!,"")</f>
        <v>#REF!</v>
      </c>
      <c r="L369" s="73" t="e">
        <f>IF(VLOOKUP(A369,'Actual Dates'!A4:AF520,21,),'Actual Dates'!#REF!,"")</f>
        <v>#REF!</v>
      </c>
      <c r="M369" s="73" t="e">
        <f>'Date Calcs'!#REF!</f>
        <v>#REF!</v>
      </c>
      <c r="N369" s="73" t="e">
        <f>IF(VLOOKUP(A369,'Actual Dates'!A4:AF520,27,),'Actual Dates'!#REF!,"")</f>
        <v>#REF!</v>
      </c>
      <c r="O369" s="74" t="e">
        <f t="shared" si="186"/>
        <v>#REF!</v>
      </c>
      <c r="P369" s="75" t="e">
        <f t="shared" si="187"/>
        <v>#REF!</v>
      </c>
      <c r="Q369" s="75" t="e">
        <f t="shared" si="188"/>
        <v>#REF!</v>
      </c>
      <c r="R369" s="132"/>
      <c r="S369" s="133"/>
    </row>
    <row r="370" spans="1:19" x14ac:dyDescent="0.25">
      <c r="A370" s="70" t="e">
        <f>'Date Calcs'!#REF!</f>
        <v>#REF!</v>
      </c>
      <c r="B370" s="71" t="e">
        <f>'Date Calcs'!#REF!</f>
        <v>#REF!</v>
      </c>
      <c r="C370" s="72" t="e">
        <f>'Date Calcs'!#REF!</f>
        <v>#REF!</v>
      </c>
      <c r="D370" s="73" t="e">
        <f t="shared" si="183"/>
        <v>#REF!</v>
      </c>
      <c r="E370" s="66">
        <v>44393</v>
      </c>
      <c r="F370" s="73" t="e">
        <f>'Date Calcs'!#REF!</f>
        <v>#REF!</v>
      </c>
      <c r="G370" s="73" t="e">
        <f>IF(VLOOKUP(A370,'Actual Dates'!A4:AF498,8,),'Actual Dates'!#REF!,"")</f>
        <v>#REF!</v>
      </c>
      <c r="H370" s="73" t="e">
        <f t="shared" si="184"/>
        <v>#REF!</v>
      </c>
      <c r="I370" s="73" t="e">
        <f>IF(VLOOKUP(A370,'Actual Dates'!A4:AF493,25,),'Actual Dates'!#REF!,"")</f>
        <v>#REF!</v>
      </c>
      <c r="J370" s="73" t="e">
        <f t="shared" si="185"/>
        <v>#REF!</v>
      </c>
      <c r="K370" s="73" t="e">
        <f>IF(VLOOKUP(A370,'Actual Dates'!A4:AF521,26,),'Actual Dates'!#REF!,"")</f>
        <v>#REF!</v>
      </c>
      <c r="L370" s="73" t="e">
        <f>IF(VLOOKUP(A370,'Actual Dates'!A4:AF521,21,),'Actual Dates'!#REF!,"")</f>
        <v>#REF!</v>
      </c>
      <c r="M370" s="73" t="e">
        <f>'Date Calcs'!#REF!</f>
        <v>#REF!</v>
      </c>
      <c r="N370" s="73" t="e">
        <f>IF(VLOOKUP(A370,'Actual Dates'!A4:AF521,27,),'Actual Dates'!#REF!,"")</f>
        <v>#REF!</v>
      </c>
      <c r="O370" s="74" t="e">
        <f t="shared" si="186"/>
        <v>#REF!</v>
      </c>
      <c r="P370" s="75" t="e">
        <f t="shared" si="187"/>
        <v>#REF!</v>
      </c>
      <c r="Q370" s="75" t="e">
        <f t="shared" si="188"/>
        <v>#REF!</v>
      </c>
      <c r="R370" s="132"/>
      <c r="S370" s="133"/>
    </row>
    <row r="371" spans="1:19" x14ac:dyDescent="0.25">
      <c r="A371" s="70" t="e">
        <f>'Date Calcs'!#REF!</f>
        <v>#REF!</v>
      </c>
      <c r="B371" s="71" t="e">
        <f>'Date Calcs'!#REF!</f>
        <v>#REF!</v>
      </c>
      <c r="C371" s="72" t="e">
        <f>'Date Calcs'!#REF!</f>
        <v>#REF!</v>
      </c>
      <c r="D371" s="73" t="e">
        <f t="shared" si="183"/>
        <v>#REF!</v>
      </c>
      <c r="E371" s="66">
        <v>44394</v>
      </c>
      <c r="F371" s="73" t="e">
        <f>'Date Calcs'!#REF!</f>
        <v>#REF!</v>
      </c>
      <c r="G371" s="73" t="e">
        <f>IF(VLOOKUP(A371,'Actual Dates'!A4:AF499,8,),'Actual Dates'!#REF!,"")</f>
        <v>#REF!</v>
      </c>
      <c r="H371" s="73" t="e">
        <f t="shared" si="184"/>
        <v>#REF!</v>
      </c>
      <c r="I371" s="73" t="e">
        <f>IF(VLOOKUP(A371,'Actual Dates'!A4:AF494,25,),'Actual Dates'!#REF!,"")</f>
        <v>#REF!</v>
      </c>
      <c r="J371" s="73" t="e">
        <f t="shared" si="185"/>
        <v>#REF!</v>
      </c>
      <c r="K371" s="73" t="e">
        <f>IF(VLOOKUP(A371,'Actual Dates'!A4:AF522,26,),'Actual Dates'!#REF!,"")</f>
        <v>#REF!</v>
      </c>
      <c r="L371" s="73" t="e">
        <f>IF(VLOOKUP(A371,'Actual Dates'!A4:AF522,21,),'Actual Dates'!#REF!,"")</f>
        <v>#REF!</v>
      </c>
      <c r="M371" s="73" t="e">
        <f>'Date Calcs'!#REF!</f>
        <v>#REF!</v>
      </c>
      <c r="N371" s="73" t="e">
        <f>IF(VLOOKUP(A371,'Actual Dates'!A4:AF522,27,),'Actual Dates'!#REF!,"")</f>
        <v>#REF!</v>
      </c>
      <c r="O371" s="74" t="e">
        <f t="shared" si="186"/>
        <v>#REF!</v>
      </c>
      <c r="P371" s="75" t="e">
        <f t="shared" si="187"/>
        <v>#REF!</v>
      </c>
      <c r="Q371" s="75" t="e">
        <f t="shared" si="188"/>
        <v>#REF!</v>
      </c>
      <c r="R371" s="132"/>
      <c r="S371" s="133"/>
    </row>
    <row r="372" spans="1:19" x14ac:dyDescent="0.25">
      <c r="A372" s="70" t="e">
        <f>'Date Calcs'!#REF!</f>
        <v>#REF!</v>
      </c>
      <c r="B372" s="71" t="e">
        <f>'Date Calcs'!#REF!</f>
        <v>#REF!</v>
      </c>
      <c r="C372" s="72" t="e">
        <f>'Date Calcs'!#REF!</f>
        <v>#REF!</v>
      </c>
      <c r="D372" s="73" t="e">
        <f t="shared" si="183"/>
        <v>#REF!</v>
      </c>
      <c r="E372" s="66">
        <v>44395</v>
      </c>
      <c r="F372" s="73" t="e">
        <f>'Date Calcs'!#REF!</f>
        <v>#REF!</v>
      </c>
      <c r="G372" s="73" t="e">
        <f>IF(VLOOKUP(A372,'Actual Dates'!A4:AF500,8,),'Actual Dates'!#REF!,"")</f>
        <v>#REF!</v>
      </c>
      <c r="H372" s="73" t="e">
        <f t="shared" si="184"/>
        <v>#REF!</v>
      </c>
      <c r="I372" s="73" t="e">
        <f>IF(VLOOKUP(A372,'Actual Dates'!A4:AF495,25,),'Actual Dates'!#REF!,"")</f>
        <v>#REF!</v>
      </c>
      <c r="J372" s="73" t="e">
        <f t="shared" si="185"/>
        <v>#REF!</v>
      </c>
      <c r="K372" s="73" t="e">
        <f>IF(VLOOKUP(A372,'Actual Dates'!A4:AF523,26,),'Actual Dates'!#REF!,"")</f>
        <v>#REF!</v>
      </c>
      <c r="L372" s="73" t="e">
        <f>IF(VLOOKUP(A372,'Actual Dates'!A4:AF523,21,),'Actual Dates'!#REF!,"")</f>
        <v>#REF!</v>
      </c>
      <c r="M372" s="73" t="e">
        <f>'Date Calcs'!#REF!</f>
        <v>#REF!</v>
      </c>
      <c r="N372" s="73" t="e">
        <f>IF(VLOOKUP(A372,'Actual Dates'!A4:AF523,27,),'Actual Dates'!#REF!,"")</f>
        <v>#REF!</v>
      </c>
      <c r="O372" s="74" t="e">
        <f t="shared" si="186"/>
        <v>#REF!</v>
      </c>
      <c r="P372" s="75" t="e">
        <f t="shared" si="187"/>
        <v>#REF!</v>
      </c>
      <c r="Q372" s="75" t="e">
        <f t="shared" si="188"/>
        <v>#REF!</v>
      </c>
      <c r="R372" s="132"/>
      <c r="S372" s="133"/>
    </row>
    <row r="373" spans="1:19" x14ac:dyDescent="0.25">
      <c r="A373" s="70" t="e">
        <f>'Date Calcs'!#REF!</f>
        <v>#REF!</v>
      </c>
      <c r="B373" s="71" t="e">
        <f>'Date Calcs'!#REF!</f>
        <v>#REF!</v>
      </c>
      <c r="C373" s="72" t="e">
        <f>'Date Calcs'!#REF!</f>
        <v>#REF!</v>
      </c>
      <c r="D373" s="73" t="e">
        <f t="shared" si="183"/>
        <v>#REF!</v>
      </c>
      <c r="E373" s="66">
        <v>44396</v>
      </c>
      <c r="F373" s="73" t="e">
        <f>'Date Calcs'!#REF!</f>
        <v>#REF!</v>
      </c>
      <c r="G373" s="73" t="e">
        <f>IF(VLOOKUP(A373,'Actual Dates'!A4:AF501,8,),'Actual Dates'!#REF!,"")</f>
        <v>#REF!</v>
      </c>
      <c r="H373" s="73" t="e">
        <f t="shared" si="184"/>
        <v>#REF!</v>
      </c>
      <c r="I373" s="73" t="e">
        <f>IF(VLOOKUP(A373,'Actual Dates'!A4:AF496,25,),'Actual Dates'!#REF!,"")</f>
        <v>#REF!</v>
      </c>
      <c r="J373" s="73" t="e">
        <f t="shared" si="185"/>
        <v>#REF!</v>
      </c>
      <c r="K373" s="73" t="e">
        <f>IF(VLOOKUP(A373,'Actual Dates'!A4:AF524,26,),'Actual Dates'!#REF!,"")</f>
        <v>#REF!</v>
      </c>
      <c r="L373" s="73" t="e">
        <f>IF(VLOOKUP(A373,'Actual Dates'!A4:AF524,21,),'Actual Dates'!#REF!,"")</f>
        <v>#REF!</v>
      </c>
      <c r="M373" s="73" t="e">
        <f>'Date Calcs'!#REF!</f>
        <v>#REF!</v>
      </c>
      <c r="N373" s="73" t="e">
        <f>IF(VLOOKUP(A373,'Actual Dates'!A4:AF524,27,),'Actual Dates'!#REF!,"")</f>
        <v>#REF!</v>
      </c>
      <c r="O373" s="74" t="e">
        <f t="shared" si="186"/>
        <v>#REF!</v>
      </c>
      <c r="P373" s="75" t="e">
        <f t="shared" si="187"/>
        <v>#REF!</v>
      </c>
      <c r="Q373" s="75" t="e">
        <f t="shared" si="188"/>
        <v>#REF!</v>
      </c>
      <c r="R373" s="132"/>
      <c r="S373" s="133"/>
    </row>
    <row r="374" spans="1:19" x14ac:dyDescent="0.25">
      <c r="A374" s="70" t="e">
        <f>'Date Calcs'!#REF!</f>
        <v>#REF!</v>
      </c>
      <c r="B374" s="71" t="e">
        <f>'Date Calcs'!#REF!</f>
        <v>#REF!</v>
      </c>
      <c r="C374" s="72" t="e">
        <f>'Date Calcs'!#REF!</f>
        <v>#REF!</v>
      </c>
      <c r="D374" s="73" t="e">
        <f t="shared" si="183"/>
        <v>#REF!</v>
      </c>
      <c r="E374" s="66">
        <v>44397</v>
      </c>
      <c r="F374" s="73" t="e">
        <f>'Date Calcs'!#REF!</f>
        <v>#REF!</v>
      </c>
      <c r="G374" s="73" t="e">
        <f>IF(VLOOKUP(A374,'Actual Dates'!A4:AF502,8,),'Actual Dates'!#REF!,"")</f>
        <v>#REF!</v>
      </c>
      <c r="H374" s="73" t="e">
        <f t="shared" si="184"/>
        <v>#REF!</v>
      </c>
      <c r="I374" s="73" t="e">
        <f>IF(VLOOKUP(A374,'Actual Dates'!A4:AF497,25,),'Actual Dates'!#REF!,"")</f>
        <v>#REF!</v>
      </c>
      <c r="J374" s="73" t="e">
        <f t="shared" si="185"/>
        <v>#REF!</v>
      </c>
      <c r="K374" s="73" t="e">
        <f>IF(VLOOKUP(A374,'Actual Dates'!A4:AF525,26,),'Actual Dates'!#REF!,"")</f>
        <v>#REF!</v>
      </c>
      <c r="L374" s="73" t="e">
        <f>IF(VLOOKUP(A374,'Actual Dates'!A4:AF525,21,),'Actual Dates'!#REF!,"")</f>
        <v>#REF!</v>
      </c>
      <c r="M374" s="73" t="e">
        <f>'Date Calcs'!#REF!</f>
        <v>#REF!</v>
      </c>
      <c r="N374" s="73" t="e">
        <f>IF(VLOOKUP(A374,'Actual Dates'!A4:AF525,27,),'Actual Dates'!#REF!,"")</f>
        <v>#REF!</v>
      </c>
      <c r="O374" s="74" t="e">
        <f t="shared" si="186"/>
        <v>#REF!</v>
      </c>
      <c r="P374" s="75" t="e">
        <f t="shared" si="187"/>
        <v>#REF!</v>
      </c>
      <c r="Q374" s="75" t="e">
        <f t="shared" si="188"/>
        <v>#REF!</v>
      </c>
      <c r="R374" s="132"/>
      <c r="S374" s="133"/>
    </row>
    <row r="375" spans="1:19" x14ac:dyDescent="0.25">
      <c r="A375" s="70" t="e">
        <f>'Date Calcs'!#REF!</f>
        <v>#REF!</v>
      </c>
      <c r="B375" s="71" t="e">
        <f>'Date Calcs'!#REF!</f>
        <v>#REF!</v>
      </c>
      <c r="C375" s="72" t="e">
        <f>'Date Calcs'!#REF!</f>
        <v>#REF!</v>
      </c>
      <c r="D375" s="73" t="e">
        <f t="shared" si="183"/>
        <v>#REF!</v>
      </c>
      <c r="E375" s="66">
        <v>44398</v>
      </c>
      <c r="F375" s="73" t="e">
        <f>'Date Calcs'!#REF!</f>
        <v>#REF!</v>
      </c>
      <c r="G375" s="73" t="e">
        <f>IF(VLOOKUP(A375,'Actual Dates'!A4:AF503,8,),'Actual Dates'!#REF!,"")</f>
        <v>#REF!</v>
      </c>
      <c r="H375" s="73" t="e">
        <f t="shared" si="184"/>
        <v>#REF!</v>
      </c>
      <c r="I375" s="73" t="e">
        <f>IF(VLOOKUP(A375,'Actual Dates'!A4:AF498,25,),'Actual Dates'!#REF!,"")</f>
        <v>#REF!</v>
      </c>
      <c r="J375" s="73" t="e">
        <f t="shared" si="185"/>
        <v>#REF!</v>
      </c>
      <c r="K375" s="73" t="e">
        <f>IF(VLOOKUP(A375,'Actual Dates'!A4:AF526,26,),'Actual Dates'!#REF!,"")</f>
        <v>#REF!</v>
      </c>
      <c r="L375" s="73" t="e">
        <f>IF(VLOOKUP(A375,'Actual Dates'!A4:AF526,21,),'Actual Dates'!#REF!,"")</f>
        <v>#REF!</v>
      </c>
      <c r="M375" s="73" t="e">
        <f>'Date Calcs'!#REF!</f>
        <v>#REF!</v>
      </c>
      <c r="N375" s="73" t="e">
        <f>IF(VLOOKUP(A375,'Actual Dates'!A4:AF526,27,),'Actual Dates'!#REF!,"")</f>
        <v>#REF!</v>
      </c>
      <c r="O375" s="74" t="e">
        <f t="shared" si="186"/>
        <v>#REF!</v>
      </c>
      <c r="P375" s="75" t="e">
        <f t="shared" si="187"/>
        <v>#REF!</v>
      </c>
      <c r="Q375" s="75" t="e">
        <f t="shared" si="188"/>
        <v>#REF!</v>
      </c>
      <c r="R375" s="132"/>
      <c r="S375" s="133"/>
    </row>
    <row r="376" spans="1:19" x14ac:dyDescent="0.25">
      <c r="A376" s="70" t="e">
        <f>'Date Calcs'!#REF!</f>
        <v>#REF!</v>
      </c>
      <c r="B376" s="71" t="e">
        <f>'Date Calcs'!#REF!</f>
        <v>#REF!</v>
      </c>
      <c r="C376" s="72" t="e">
        <f>'Date Calcs'!#REF!</f>
        <v>#REF!</v>
      </c>
      <c r="D376" s="73" t="e">
        <f t="shared" si="183"/>
        <v>#REF!</v>
      </c>
      <c r="E376" s="66">
        <v>44399</v>
      </c>
      <c r="F376" s="73" t="e">
        <f>'Date Calcs'!#REF!</f>
        <v>#REF!</v>
      </c>
      <c r="G376" s="73" t="e">
        <f>IF(VLOOKUP(A376,'Actual Dates'!A4:AF504,8,),'Actual Dates'!#REF!,"")</f>
        <v>#REF!</v>
      </c>
      <c r="H376" s="73" t="e">
        <f t="shared" si="184"/>
        <v>#REF!</v>
      </c>
      <c r="I376" s="73" t="e">
        <f>IF(VLOOKUP(A376,'Actual Dates'!A4:AF499,25,),'Actual Dates'!#REF!,"")</f>
        <v>#REF!</v>
      </c>
      <c r="J376" s="73" t="e">
        <f t="shared" si="185"/>
        <v>#REF!</v>
      </c>
      <c r="K376" s="73" t="e">
        <f>IF(VLOOKUP(A376,'Actual Dates'!A4:AF527,26,),'Actual Dates'!#REF!,"")</f>
        <v>#REF!</v>
      </c>
      <c r="L376" s="73" t="e">
        <f>IF(VLOOKUP(A376,'Actual Dates'!A4:AF527,21,),'Actual Dates'!#REF!,"")</f>
        <v>#REF!</v>
      </c>
      <c r="M376" s="73" t="e">
        <f>'Date Calcs'!#REF!</f>
        <v>#REF!</v>
      </c>
      <c r="N376" s="73" t="e">
        <f>IF(VLOOKUP(A376,'Actual Dates'!A4:AF527,27,),'Actual Dates'!#REF!,"")</f>
        <v>#REF!</v>
      </c>
      <c r="O376" s="74" t="e">
        <f t="shared" si="186"/>
        <v>#REF!</v>
      </c>
      <c r="P376" s="75" t="e">
        <f t="shared" si="187"/>
        <v>#REF!</v>
      </c>
      <c r="Q376" s="75" t="e">
        <f t="shared" si="188"/>
        <v>#REF!</v>
      </c>
      <c r="R376" s="132"/>
      <c r="S376" s="133"/>
    </row>
    <row r="377" spans="1:19" x14ac:dyDescent="0.25">
      <c r="A377" s="70" t="e">
        <f>'Date Calcs'!#REF!</f>
        <v>#REF!</v>
      </c>
      <c r="B377" s="71" t="e">
        <f>'Date Calcs'!#REF!</f>
        <v>#REF!</v>
      </c>
      <c r="C377" s="72" t="e">
        <f>'Date Calcs'!#REF!</f>
        <v>#REF!</v>
      </c>
      <c r="D377" s="73" t="e">
        <f t="shared" si="183"/>
        <v>#REF!</v>
      </c>
      <c r="E377" s="66">
        <v>44400</v>
      </c>
      <c r="F377" s="73" t="e">
        <f>'Date Calcs'!#REF!</f>
        <v>#REF!</v>
      </c>
      <c r="G377" s="73" t="e">
        <f>IF(VLOOKUP(A377,'Actual Dates'!A4:AF505,8,),'Actual Dates'!#REF!,"")</f>
        <v>#REF!</v>
      </c>
      <c r="H377" s="73" t="e">
        <f t="shared" si="184"/>
        <v>#REF!</v>
      </c>
      <c r="I377" s="73" t="e">
        <f>IF(VLOOKUP(A377,'Actual Dates'!A4:AF500,25,),'Actual Dates'!#REF!,"")</f>
        <v>#REF!</v>
      </c>
      <c r="J377" s="73" t="e">
        <f t="shared" si="185"/>
        <v>#REF!</v>
      </c>
      <c r="K377" s="73" t="e">
        <f>IF(VLOOKUP(A377,'Actual Dates'!A4:AF528,26,),'Actual Dates'!#REF!,"")</f>
        <v>#REF!</v>
      </c>
      <c r="L377" s="73" t="e">
        <f>IF(VLOOKUP(A377,'Actual Dates'!A4:AF528,21,),'Actual Dates'!#REF!,"")</f>
        <v>#REF!</v>
      </c>
      <c r="M377" s="73" t="e">
        <f>'Date Calcs'!#REF!</f>
        <v>#REF!</v>
      </c>
      <c r="N377" s="73" t="e">
        <f>IF(VLOOKUP(A377,'Actual Dates'!A4:AF528,27,),'Actual Dates'!#REF!,"")</f>
        <v>#REF!</v>
      </c>
      <c r="O377" s="74" t="e">
        <f t="shared" si="186"/>
        <v>#REF!</v>
      </c>
      <c r="P377" s="75" t="e">
        <f t="shared" si="187"/>
        <v>#REF!</v>
      </c>
      <c r="Q377" s="75" t="e">
        <f t="shared" si="188"/>
        <v>#REF!</v>
      </c>
      <c r="R377" s="132"/>
      <c r="S377" s="133"/>
    </row>
    <row r="378" spans="1:19" x14ac:dyDescent="0.25">
      <c r="A378" s="70" t="e">
        <f>'Date Calcs'!#REF!</f>
        <v>#REF!</v>
      </c>
      <c r="B378" s="71" t="e">
        <f>'Date Calcs'!#REF!</f>
        <v>#REF!</v>
      </c>
      <c r="C378" s="72" t="e">
        <f>'Date Calcs'!#REF!</f>
        <v>#REF!</v>
      </c>
      <c r="D378" s="73" t="e">
        <f t="shared" si="183"/>
        <v>#REF!</v>
      </c>
      <c r="E378" s="66">
        <v>44401</v>
      </c>
      <c r="F378" s="73" t="e">
        <f>'Date Calcs'!#REF!</f>
        <v>#REF!</v>
      </c>
      <c r="G378" s="73" t="e">
        <f>IF(VLOOKUP(A378,'Actual Dates'!A4:AF506,8,),'Actual Dates'!#REF!,"")</f>
        <v>#REF!</v>
      </c>
      <c r="H378" s="73" t="e">
        <f t="shared" si="184"/>
        <v>#REF!</v>
      </c>
      <c r="I378" s="73" t="e">
        <f>IF(VLOOKUP(A378,'Actual Dates'!A4:AF501,25,),'Actual Dates'!#REF!,"")</f>
        <v>#REF!</v>
      </c>
      <c r="J378" s="73" t="e">
        <f t="shared" si="185"/>
        <v>#REF!</v>
      </c>
      <c r="K378" s="73" t="e">
        <f>IF(VLOOKUP(A378,'Actual Dates'!A4:AF529,26,),'Actual Dates'!#REF!,"")</f>
        <v>#REF!</v>
      </c>
      <c r="L378" s="73" t="e">
        <f>IF(VLOOKUP(A378,'Actual Dates'!A4:AF529,21,),'Actual Dates'!#REF!,"")</f>
        <v>#REF!</v>
      </c>
      <c r="M378" s="73" t="e">
        <f>'Date Calcs'!#REF!</f>
        <v>#REF!</v>
      </c>
      <c r="N378" s="73" t="e">
        <f>IF(VLOOKUP(A378,'Actual Dates'!A4:AF529,27,),'Actual Dates'!#REF!,"")</f>
        <v>#REF!</v>
      </c>
      <c r="O378" s="74" t="e">
        <f t="shared" si="186"/>
        <v>#REF!</v>
      </c>
      <c r="P378" s="75" t="e">
        <f t="shared" si="187"/>
        <v>#REF!</v>
      </c>
      <c r="Q378" s="75" t="e">
        <f t="shared" si="188"/>
        <v>#REF!</v>
      </c>
      <c r="R378" s="132"/>
      <c r="S378" s="133"/>
    </row>
    <row r="379" spans="1:19" x14ac:dyDescent="0.25">
      <c r="A379" s="70" t="e">
        <f>'Date Calcs'!#REF!</f>
        <v>#REF!</v>
      </c>
      <c r="B379" s="71" t="e">
        <f>'Date Calcs'!#REF!</f>
        <v>#REF!</v>
      </c>
      <c r="C379" s="72" t="e">
        <f>'Date Calcs'!#REF!</f>
        <v>#REF!</v>
      </c>
      <c r="D379" s="73" t="e">
        <f t="shared" si="183"/>
        <v>#REF!</v>
      </c>
      <c r="E379" s="66">
        <v>44402</v>
      </c>
      <c r="F379" s="73" t="e">
        <f>'Date Calcs'!#REF!</f>
        <v>#REF!</v>
      </c>
      <c r="G379" s="73" t="e">
        <f>IF(VLOOKUP(A379,'Actual Dates'!A4:AF507,8,),'Actual Dates'!#REF!,"")</f>
        <v>#REF!</v>
      </c>
      <c r="H379" s="73" t="e">
        <f t="shared" si="184"/>
        <v>#REF!</v>
      </c>
      <c r="I379" s="73" t="e">
        <f>IF(VLOOKUP(A379,'Actual Dates'!A4:AF502,25,),'Actual Dates'!#REF!,"")</f>
        <v>#REF!</v>
      </c>
      <c r="J379" s="73" t="e">
        <f t="shared" si="185"/>
        <v>#REF!</v>
      </c>
      <c r="K379" s="73" t="e">
        <f>IF(VLOOKUP(A379,'Actual Dates'!A4:AF530,26,),'Actual Dates'!#REF!,"")</f>
        <v>#REF!</v>
      </c>
      <c r="L379" s="73" t="e">
        <f>IF(VLOOKUP(A379,'Actual Dates'!A4:AF530,21,),'Actual Dates'!#REF!,"")</f>
        <v>#REF!</v>
      </c>
      <c r="M379" s="73" t="e">
        <f>'Date Calcs'!#REF!</f>
        <v>#REF!</v>
      </c>
      <c r="N379" s="73" t="e">
        <f>IF(VLOOKUP(A379,'Actual Dates'!A4:AF530,27,),'Actual Dates'!#REF!,"")</f>
        <v>#REF!</v>
      </c>
      <c r="O379" s="74" t="e">
        <f t="shared" si="186"/>
        <v>#REF!</v>
      </c>
      <c r="P379" s="75" t="e">
        <f t="shared" si="187"/>
        <v>#REF!</v>
      </c>
      <c r="Q379" s="75" t="e">
        <f t="shared" si="188"/>
        <v>#REF!</v>
      </c>
      <c r="R379" s="132"/>
      <c r="S379" s="133"/>
    </row>
    <row r="380" spans="1:19" x14ac:dyDescent="0.25">
      <c r="A380" s="70" t="e">
        <f>'Date Calcs'!#REF!</f>
        <v>#REF!</v>
      </c>
      <c r="B380" s="71" t="e">
        <f>'Date Calcs'!#REF!</f>
        <v>#REF!</v>
      </c>
      <c r="C380" s="72" t="e">
        <f>'Date Calcs'!#REF!</f>
        <v>#REF!</v>
      </c>
      <c r="D380" s="73" t="e">
        <f t="shared" si="183"/>
        <v>#REF!</v>
      </c>
      <c r="E380" s="66">
        <v>44403</v>
      </c>
      <c r="F380" s="73" t="e">
        <f>'Date Calcs'!#REF!</f>
        <v>#REF!</v>
      </c>
      <c r="G380" s="73" t="e">
        <f>IF(VLOOKUP(A380,'Actual Dates'!A4:AF508,8,),'Actual Dates'!#REF!,"")</f>
        <v>#REF!</v>
      </c>
      <c r="H380" s="73" t="e">
        <f t="shared" si="184"/>
        <v>#REF!</v>
      </c>
      <c r="I380" s="73" t="e">
        <f>IF(VLOOKUP(A380,'Actual Dates'!A4:AF503,25,),'Actual Dates'!#REF!,"")</f>
        <v>#REF!</v>
      </c>
      <c r="J380" s="73" t="e">
        <f t="shared" si="185"/>
        <v>#REF!</v>
      </c>
      <c r="K380" s="73" t="e">
        <f>IF(VLOOKUP(A380,'Actual Dates'!A4:AF531,26,),'Actual Dates'!#REF!,"")</f>
        <v>#REF!</v>
      </c>
      <c r="L380" s="73" t="e">
        <f>IF(VLOOKUP(A380,'Actual Dates'!A4:AF531,21,),'Actual Dates'!#REF!,"")</f>
        <v>#REF!</v>
      </c>
      <c r="M380" s="73" t="e">
        <f>'Date Calcs'!#REF!</f>
        <v>#REF!</v>
      </c>
      <c r="N380" s="73" t="e">
        <f>IF(VLOOKUP(A380,'Actual Dates'!A4:AF531,27,),'Actual Dates'!#REF!,"")</f>
        <v>#REF!</v>
      </c>
      <c r="O380" s="74" t="e">
        <f t="shared" si="186"/>
        <v>#REF!</v>
      </c>
      <c r="P380" s="75" t="e">
        <f t="shared" si="187"/>
        <v>#REF!</v>
      </c>
      <c r="Q380" s="75" t="e">
        <f t="shared" si="188"/>
        <v>#REF!</v>
      </c>
      <c r="R380" s="132"/>
      <c r="S380" s="133"/>
    </row>
    <row r="381" spans="1:19" x14ac:dyDescent="0.25">
      <c r="A381" s="70" t="e">
        <f>'Date Calcs'!#REF!</f>
        <v>#REF!</v>
      </c>
      <c r="B381" s="71" t="e">
        <f>'Date Calcs'!#REF!</f>
        <v>#REF!</v>
      </c>
      <c r="C381" s="72" t="e">
        <f>'Date Calcs'!#REF!</f>
        <v>#REF!</v>
      </c>
      <c r="D381" s="73" t="e">
        <f t="shared" si="183"/>
        <v>#REF!</v>
      </c>
      <c r="E381" s="66">
        <v>44404</v>
      </c>
      <c r="F381" s="73" t="e">
        <f>'Date Calcs'!#REF!</f>
        <v>#REF!</v>
      </c>
      <c r="G381" s="73" t="e">
        <f>IF(VLOOKUP(A381,'Actual Dates'!A4:AF509,8,),'Actual Dates'!#REF!,"")</f>
        <v>#REF!</v>
      </c>
      <c r="H381" s="73" t="e">
        <f t="shared" si="184"/>
        <v>#REF!</v>
      </c>
      <c r="I381" s="73" t="e">
        <f>IF(VLOOKUP(A381,'Actual Dates'!A4:AF504,25,),'Actual Dates'!#REF!,"")</f>
        <v>#REF!</v>
      </c>
      <c r="J381" s="73" t="e">
        <f t="shared" si="185"/>
        <v>#REF!</v>
      </c>
      <c r="K381" s="73" t="e">
        <f>IF(VLOOKUP(A381,'Actual Dates'!A4:AF532,26,),'Actual Dates'!#REF!,"")</f>
        <v>#REF!</v>
      </c>
      <c r="L381" s="73" t="e">
        <f>IF(VLOOKUP(A381,'Actual Dates'!A4:AF532,21,),'Actual Dates'!#REF!,"")</f>
        <v>#REF!</v>
      </c>
      <c r="M381" s="73" t="e">
        <f>'Date Calcs'!#REF!</f>
        <v>#REF!</v>
      </c>
      <c r="N381" s="73" t="e">
        <f>IF(VLOOKUP(A381,'Actual Dates'!A4:AF532,27,),'Actual Dates'!#REF!,"")</f>
        <v>#REF!</v>
      </c>
      <c r="O381" s="74" t="e">
        <f t="shared" si="186"/>
        <v>#REF!</v>
      </c>
      <c r="P381" s="75" t="e">
        <f t="shared" si="187"/>
        <v>#REF!</v>
      </c>
      <c r="Q381" s="75" t="e">
        <f t="shared" si="188"/>
        <v>#REF!</v>
      </c>
      <c r="R381" s="132"/>
      <c r="S381" s="133"/>
    </row>
    <row r="382" spans="1:19" x14ac:dyDescent="0.25">
      <c r="A382" s="70" t="e">
        <f>'Date Calcs'!#REF!</f>
        <v>#REF!</v>
      </c>
      <c r="B382" s="71" t="e">
        <f>'Date Calcs'!#REF!</f>
        <v>#REF!</v>
      </c>
      <c r="C382" s="72" t="e">
        <f>'Date Calcs'!#REF!</f>
        <v>#REF!</v>
      </c>
      <c r="D382" s="73" t="e">
        <f t="shared" si="183"/>
        <v>#REF!</v>
      </c>
      <c r="E382" s="66">
        <v>44405</v>
      </c>
      <c r="F382" s="73" t="e">
        <f>'Date Calcs'!#REF!</f>
        <v>#REF!</v>
      </c>
      <c r="G382" s="73" t="e">
        <f>IF(VLOOKUP(A382,'Actual Dates'!A4:AF510,8,),'Actual Dates'!#REF!,"")</f>
        <v>#REF!</v>
      </c>
      <c r="H382" s="73" t="e">
        <f t="shared" si="184"/>
        <v>#REF!</v>
      </c>
      <c r="I382" s="73" t="e">
        <f>IF(VLOOKUP(A382,'Actual Dates'!A4:AF505,25,),'Actual Dates'!#REF!,"")</f>
        <v>#REF!</v>
      </c>
      <c r="J382" s="73" t="e">
        <f t="shared" si="185"/>
        <v>#REF!</v>
      </c>
      <c r="K382" s="73" t="e">
        <f>IF(VLOOKUP(A382,'Actual Dates'!A4:AF533,26,),'Actual Dates'!#REF!,"")</f>
        <v>#REF!</v>
      </c>
      <c r="L382" s="73" t="e">
        <f>IF(VLOOKUP(A382,'Actual Dates'!A4:AF533,21,),'Actual Dates'!#REF!,"")</f>
        <v>#REF!</v>
      </c>
      <c r="M382" s="73" t="e">
        <f>'Date Calcs'!#REF!</f>
        <v>#REF!</v>
      </c>
      <c r="N382" s="73" t="e">
        <f>IF(VLOOKUP(A382,'Actual Dates'!A4:AF533,27,),'Actual Dates'!#REF!,"")</f>
        <v>#REF!</v>
      </c>
      <c r="O382" s="74" t="e">
        <f t="shared" si="186"/>
        <v>#REF!</v>
      </c>
      <c r="P382" s="75" t="e">
        <f t="shared" si="187"/>
        <v>#REF!</v>
      </c>
      <c r="Q382" s="75" t="e">
        <f t="shared" si="188"/>
        <v>#REF!</v>
      </c>
      <c r="R382" s="132"/>
      <c r="S382" s="133"/>
    </row>
    <row r="383" spans="1:19" x14ac:dyDescent="0.25">
      <c r="A383" s="70" t="e">
        <f>'Date Calcs'!#REF!</f>
        <v>#REF!</v>
      </c>
      <c r="B383" s="71" t="e">
        <f>'Date Calcs'!#REF!</f>
        <v>#REF!</v>
      </c>
      <c r="C383" s="72" t="e">
        <f>'Date Calcs'!#REF!</f>
        <v>#REF!</v>
      </c>
      <c r="D383" s="73" t="e">
        <f t="shared" si="183"/>
        <v>#REF!</v>
      </c>
      <c r="E383" s="66">
        <v>44406</v>
      </c>
      <c r="F383" s="73" t="e">
        <f>'Date Calcs'!#REF!</f>
        <v>#REF!</v>
      </c>
      <c r="G383" s="73" t="e">
        <f>IF(VLOOKUP(A383,'Actual Dates'!A4:AF511,8,),'Actual Dates'!#REF!,"")</f>
        <v>#REF!</v>
      </c>
      <c r="H383" s="73" t="e">
        <f t="shared" si="184"/>
        <v>#REF!</v>
      </c>
      <c r="I383" s="73" t="e">
        <f>IF(VLOOKUP(A383,'Actual Dates'!A4:AF506,25,),'Actual Dates'!#REF!,"")</f>
        <v>#REF!</v>
      </c>
      <c r="J383" s="73" t="e">
        <f t="shared" si="185"/>
        <v>#REF!</v>
      </c>
      <c r="K383" s="73" t="e">
        <f>IF(VLOOKUP(A383,'Actual Dates'!A4:AF534,26,),'Actual Dates'!#REF!,"")</f>
        <v>#REF!</v>
      </c>
      <c r="L383" s="73" t="e">
        <f>IF(VLOOKUP(A383,'Actual Dates'!A4:AF534,21,),'Actual Dates'!#REF!,"")</f>
        <v>#REF!</v>
      </c>
      <c r="M383" s="73" t="e">
        <f>'Date Calcs'!#REF!</f>
        <v>#REF!</v>
      </c>
      <c r="N383" s="73" t="e">
        <f>IF(VLOOKUP(A383,'Actual Dates'!A4:AF534,27,),'Actual Dates'!#REF!,"")</f>
        <v>#REF!</v>
      </c>
      <c r="O383" s="74" t="e">
        <f t="shared" si="186"/>
        <v>#REF!</v>
      </c>
      <c r="P383" s="75" t="e">
        <f t="shared" si="187"/>
        <v>#REF!</v>
      </c>
      <c r="Q383" s="75" t="e">
        <f t="shared" si="188"/>
        <v>#REF!</v>
      </c>
      <c r="R383" s="132"/>
      <c r="S383" s="133"/>
    </row>
    <row r="384" spans="1:19" x14ac:dyDescent="0.25">
      <c r="A384" s="70" t="e">
        <f>'Date Calcs'!#REF!</f>
        <v>#REF!</v>
      </c>
      <c r="B384" s="71" t="e">
        <f>'Date Calcs'!#REF!</f>
        <v>#REF!</v>
      </c>
      <c r="C384" s="72" t="e">
        <f>'Date Calcs'!#REF!</f>
        <v>#REF!</v>
      </c>
      <c r="D384" s="73" t="e">
        <f t="shared" si="183"/>
        <v>#REF!</v>
      </c>
      <c r="E384" s="66">
        <v>44407</v>
      </c>
      <c r="F384" s="73" t="e">
        <f>'Date Calcs'!#REF!</f>
        <v>#REF!</v>
      </c>
      <c r="G384" s="73" t="e">
        <f>IF(VLOOKUP(A384,'Actual Dates'!A4:AF512,8,),'Actual Dates'!#REF!,"")</f>
        <v>#REF!</v>
      </c>
      <c r="H384" s="73" t="e">
        <f t="shared" si="184"/>
        <v>#REF!</v>
      </c>
      <c r="I384" s="73" t="e">
        <f>IF(VLOOKUP(A384,'Actual Dates'!A4:AF507,25,),'Actual Dates'!#REF!,"")</f>
        <v>#REF!</v>
      </c>
      <c r="J384" s="73" t="e">
        <f t="shared" si="185"/>
        <v>#REF!</v>
      </c>
      <c r="K384" s="73" t="e">
        <f>IF(VLOOKUP(A384,'Actual Dates'!A4:AF535,26,),'Actual Dates'!#REF!,"")</f>
        <v>#REF!</v>
      </c>
      <c r="L384" s="73" t="e">
        <f>IF(VLOOKUP(A384,'Actual Dates'!A4:AF535,21,),'Actual Dates'!#REF!,"")</f>
        <v>#REF!</v>
      </c>
      <c r="M384" s="73" t="e">
        <f>'Date Calcs'!#REF!</f>
        <v>#REF!</v>
      </c>
      <c r="N384" s="73" t="e">
        <f>IF(VLOOKUP(A384,'Actual Dates'!A4:AF535,27,),'Actual Dates'!#REF!,"")</f>
        <v>#REF!</v>
      </c>
      <c r="O384" s="74" t="e">
        <f t="shared" si="186"/>
        <v>#REF!</v>
      </c>
      <c r="P384" s="75" t="e">
        <f t="shared" si="187"/>
        <v>#REF!</v>
      </c>
      <c r="Q384" s="75" t="e">
        <f t="shared" si="188"/>
        <v>#REF!</v>
      </c>
      <c r="R384" s="132"/>
      <c r="S384" s="133"/>
    </row>
    <row r="385" spans="1:19" x14ac:dyDescent="0.25">
      <c r="A385" s="70" t="e">
        <f>'Date Calcs'!#REF!</f>
        <v>#REF!</v>
      </c>
      <c r="B385" s="71" t="e">
        <f>'Date Calcs'!#REF!</f>
        <v>#REF!</v>
      </c>
      <c r="C385" s="72" t="e">
        <f>'Date Calcs'!#REF!</f>
        <v>#REF!</v>
      </c>
      <c r="D385" s="73" t="e">
        <f t="shared" si="183"/>
        <v>#REF!</v>
      </c>
      <c r="E385" s="66">
        <v>44408</v>
      </c>
      <c r="F385" s="73" t="e">
        <f>'Date Calcs'!#REF!</f>
        <v>#REF!</v>
      </c>
      <c r="G385" s="73" t="e">
        <f>IF(VLOOKUP(A385,'Actual Dates'!A4:AF513,8,),'Actual Dates'!#REF!,"")</f>
        <v>#REF!</v>
      </c>
      <c r="H385" s="73" t="e">
        <f t="shared" si="184"/>
        <v>#REF!</v>
      </c>
      <c r="I385" s="73" t="e">
        <f>IF(VLOOKUP(A385,'Actual Dates'!A4:AF508,25,),'Actual Dates'!#REF!,"")</f>
        <v>#REF!</v>
      </c>
      <c r="J385" s="73" t="e">
        <f t="shared" si="185"/>
        <v>#REF!</v>
      </c>
      <c r="K385" s="73" t="e">
        <f>IF(VLOOKUP(A385,'Actual Dates'!A4:AF536,26,),'Actual Dates'!#REF!,"")</f>
        <v>#REF!</v>
      </c>
      <c r="L385" s="73" t="e">
        <f>IF(VLOOKUP(A385,'Actual Dates'!A4:AF536,21,),'Actual Dates'!#REF!,"")</f>
        <v>#REF!</v>
      </c>
      <c r="M385" s="73" t="e">
        <f>'Date Calcs'!#REF!</f>
        <v>#REF!</v>
      </c>
      <c r="N385" s="73" t="e">
        <f>IF(VLOOKUP(A385,'Actual Dates'!A4:AF536,27,),'Actual Dates'!#REF!,"")</f>
        <v>#REF!</v>
      </c>
      <c r="O385" s="74" t="e">
        <f t="shared" si="186"/>
        <v>#REF!</v>
      </c>
      <c r="P385" s="75" t="e">
        <f t="shared" si="187"/>
        <v>#REF!</v>
      </c>
      <c r="Q385" s="75" t="e">
        <f t="shared" si="188"/>
        <v>#REF!</v>
      </c>
      <c r="R385" s="132"/>
      <c r="S385" s="133"/>
    </row>
    <row r="386" spans="1:19" x14ac:dyDescent="0.25">
      <c r="A386" s="70" t="e">
        <f>'Date Calcs'!#REF!</f>
        <v>#REF!</v>
      </c>
      <c r="B386" s="71" t="e">
        <f>'Date Calcs'!#REF!</f>
        <v>#REF!</v>
      </c>
      <c r="C386" s="72" t="e">
        <f>'Date Calcs'!#REF!</f>
        <v>#REF!</v>
      </c>
      <c r="D386" s="73" t="e">
        <f t="shared" si="183"/>
        <v>#REF!</v>
      </c>
      <c r="E386" s="66">
        <v>44409</v>
      </c>
      <c r="F386" s="73" t="e">
        <f>'Date Calcs'!#REF!</f>
        <v>#REF!</v>
      </c>
      <c r="G386" s="73" t="e">
        <f>IF(VLOOKUP(A386,'Actual Dates'!A4:AF514,8,),'Actual Dates'!#REF!,"")</f>
        <v>#REF!</v>
      </c>
      <c r="H386" s="73" t="e">
        <f t="shared" si="184"/>
        <v>#REF!</v>
      </c>
      <c r="I386" s="73" t="e">
        <f>IF(VLOOKUP(A386,'Actual Dates'!A4:AF509,25,),'Actual Dates'!#REF!,"")</f>
        <v>#REF!</v>
      </c>
      <c r="J386" s="73" t="e">
        <f t="shared" si="185"/>
        <v>#REF!</v>
      </c>
      <c r="K386" s="73" t="e">
        <f>IF(VLOOKUP(A386,'Actual Dates'!A4:AF537,26,),'Actual Dates'!#REF!,"")</f>
        <v>#REF!</v>
      </c>
      <c r="L386" s="73" t="e">
        <f>IF(VLOOKUP(A386,'Actual Dates'!A4:AF537,21,),'Actual Dates'!#REF!,"")</f>
        <v>#REF!</v>
      </c>
      <c r="M386" s="73" t="e">
        <f>'Date Calcs'!#REF!</f>
        <v>#REF!</v>
      </c>
      <c r="N386" s="73" t="e">
        <f>IF(VLOOKUP(A386,'Actual Dates'!A4:AF537,27,),'Actual Dates'!#REF!,"")</f>
        <v>#REF!</v>
      </c>
      <c r="O386" s="74" t="e">
        <f t="shared" si="186"/>
        <v>#REF!</v>
      </c>
      <c r="P386" s="75" t="e">
        <f t="shared" si="187"/>
        <v>#REF!</v>
      </c>
      <c r="Q386" s="75" t="e">
        <f t="shared" si="188"/>
        <v>#REF!</v>
      </c>
      <c r="R386" s="132"/>
      <c r="S386" s="133"/>
    </row>
    <row r="387" spans="1:19" x14ac:dyDescent="0.25">
      <c r="A387" s="70" t="e">
        <f>'Date Calcs'!#REF!</f>
        <v>#REF!</v>
      </c>
      <c r="B387" s="71" t="e">
        <f>'Date Calcs'!#REF!</f>
        <v>#REF!</v>
      </c>
      <c r="C387" s="72" t="e">
        <f>'Date Calcs'!#REF!</f>
        <v>#REF!</v>
      </c>
      <c r="D387" s="73" t="e">
        <f t="shared" si="183"/>
        <v>#REF!</v>
      </c>
      <c r="E387" s="66">
        <v>44410</v>
      </c>
      <c r="F387" s="73" t="e">
        <f>'Date Calcs'!#REF!</f>
        <v>#REF!</v>
      </c>
      <c r="G387" s="73" t="e">
        <f>IF(VLOOKUP(A387,'Actual Dates'!A4:AF515,8,),'Actual Dates'!#REF!,"")</f>
        <v>#REF!</v>
      </c>
      <c r="H387" s="73" t="e">
        <f t="shared" si="184"/>
        <v>#REF!</v>
      </c>
      <c r="I387" s="73" t="e">
        <f>IF(VLOOKUP(A387,'Actual Dates'!A4:AF510,25,),'Actual Dates'!#REF!,"")</f>
        <v>#REF!</v>
      </c>
      <c r="J387" s="73" t="e">
        <f t="shared" si="185"/>
        <v>#REF!</v>
      </c>
      <c r="K387" s="73" t="e">
        <f>IF(VLOOKUP(A387,'Actual Dates'!A4:AF538,26,),'Actual Dates'!#REF!,"")</f>
        <v>#REF!</v>
      </c>
      <c r="L387" s="73" t="e">
        <f>IF(VLOOKUP(A387,'Actual Dates'!A4:AF538,21,),'Actual Dates'!#REF!,"")</f>
        <v>#REF!</v>
      </c>
      <c r="M387" s="73" t="e">
        <f>'Date Calcs'!#REF!</f>
        <v>#REF!</v>
      </c>
      <c r="N387" s="73" t="e">
        <f>IF(VLOOKUP(A387,'Actual Dates'!A4:AF538,27,),'Actual Dates'!#REF!,"")</f>
        <v>#REF!</v>
      </c>
      <c r="O387" s="74" t="e">
        <f t="shared" si="186"/>
        <v>#REF!</v>
      </c>
      <c r="P387" s="75" t="e">
        <f t="shared" si="187"/>
        <v>#REF!</v>
      </c>
      <c r="Q387" s="75" t="e">
        <f t="shared" si="188"/>
        <v>#REF!</v>
      </c>
      <c r="R387" s="132"/>
      <c r="S387" s="133"/>
    </row>
    <row r="388" spans="1:19" x14ac:dyDescent="0.25">
      <c r="A388" s="70" t="e">
        <f>'Date Calcs'!#REF!</f>
        <v>#REF!</v>
      </c>
      <c r="B388" s="71" t="e">
        <f>'Date Calcs'!#REF!</f>
        <v>#REF!</v>
      </c>
      <c r="C388" s="72" t="e">
        <f>'Date Calcs'!#REF!</f>
        <v>#REF!</v>
      </c>
      <c r="D388" s="73" t="e">
        <f t="shared" si="183"/>
        <v>#REF!</v>
      </c>
      <c r="E388" s="66">
        <v>44411</v>
      </c>
      <c r="F388" s="73" t="e">
        <f>'Date Calcs'!#REF!</f>
        <v>#REF!</v>
      </c>
      <c r="G388" s="73" t="e">
        <f>IF(VLOOKUP(A388,'Actual Dates'!A4:AF516,8,),'Actual Dates'!#REF!,"")</f>
        <v>#REF!</v>
      </c>
      <c r="H388" s="73" t="e">
        <f t="shared" si="184"/>
        <v>#REF!</v>
      </c>
      <c r="I388" s="73" t="e">
        <f>IF(VLOOKUP(A388,'Actual Dates'!A4:AF511,25,),'Actual Dates'!#REF!,"")</f>
        <v>#REF!</v>
      </c>
      <c r="J388" s="73" t="e">
        <f t="shared" si="185"/>
        <v>#REF!</v>
      </c>
      <c r="K388" s="73" t="e">
        <f>IF(VLOOKUP(A388,'Actual Dates'!A4:AF539,26,),'Actual Dates'!#REF!,"")</f>
        <v>#REF!</v>
      </c>
      <c r="L388" s="73" t="e">
        <f>IF(VLOOKUP(A388,'Actual Dates'!A4:AF539,21,),'Actual Dates'!#REF!,"")</f>
        <v>#REF!</v>
      </c>
      <c r="M388" s="73" t="e">
        <f>'Date Calcs'!#REF!</f>
        <v>#REF!</v>
      </c>
      <c r="N388" s="73" t="e">
        <f>IF(VLOOKUP(A388,'Actual Dates'!A4:AF539,27,),'Actual Dates'!#REF!,"")</f>
        <v>#REF!</v>
      </c>
      <c r="O388" s="74" t="e">
        <f t="shared" si="186"/>
        <v>#REF!</v>
      </c>
      <c r="P388" s="75" t="e">
        <f t="shared" si="187"/>
        <v>#REF!</v>
      </c>
      <c r="Q388" s="75" t="e">
        <f t="shared" si="188"/>
        <v>#REF!</v>
      </c>
      <c r="R388" s="132"/>
      <c r="S388" s="133"/>
    </row>
    <row r="389" spans="1:19" x14ac:dyDescent="0.25">
      <c r="A389" s="70" t="e">
        <f>'Date Calcs'!#REF!</f>
        <v>#REF!</v>
      </c>
      <c r="B389" s="71" t="e">
        <f>'Date Calcs'!#REF!</f>
        <v>#REF!</v>
      </c>
      <c r="C389" s="72" t="e">
        <f>'Date Calcs'!#REF!</f>
        <v>#REF!</v>
      </c>
      <c r="D389" s="73" t="e">
        <f t="shared" si="183"/>
        <v>#REF!</v>
      </c>
      <c r="E389" s="66">
        <v>44412</v>
      </c>
      <c r="F389" s="73" t="e">
        <f>'Date Calcs'!#REF!</f>
        <v>#REF!</v>
      </c>
      <c r="G389" s="73" t="e">
        <f>IF(VLOOKUP(A389,'Actual Dates'!A4:AF517,8,),'Actual Dates'!#REF!,"")</f>
        <v>#REF!</v>
      </c>
      <c r="H389" s="73" t="e">
        <f t="shared" si="184"/>
        <v>#REF!</v>
      </c>
      <c r="I389" s="73" t="e">
        <f>IF(VLOOKUP(A389,'Actual Dates'!A4:AF512,25,),'Actual Dates'!#REF!,"")</f>
        <v>#REF!</v>
      </c>
      <c r="J389" s="73" t="e">
        <f t="shared" si="185"/>
        <v>#REF!</v>
      </c>
      <c r="K389" s="73" t="e">
        <f>IF(VLOOKUP(A389,'Actual Dates'!A4:AF540,26,),'Actual Dates'!#REF!,"")</f>
        <v>#REF!</v>
      </c>
      <c r="L389" s="73" t="e">
        <f>IF(VLOOKUP(A389,'Actual Dates'!A4:AF540,21,),'Actual Dates'!#REF!,"")</f>
        <v>#REF!</v>
      </c>
      <c r="M389" s="73" t="e">
        <f>'Date Calcs'!#REF!</f>
        <v>#REF!</v>
      </c>
      <c r="N389" s="73" t="e">
        <f>IF(VLOOKUP(A389,'Actual Dates'!A4:AF540,27,),'Actual Dates'!#REF!,"")</f>
        <v>#REF!</v>
      </c>
      <c r="O389" s="74" t="e">
        <f t="shared" si="186"/>
        <v>#REF!</v>
      </c>
      <c r="P389" s="75" t="e">
        <f t="shared" si="187"/>
        <v>#REF!</v>
      </c>
      <c r="Q389" s="75" t="e">
        <f t="shared" si="188"/>
        <v>#REF!</v>
      </c>
      <c r="R389" s="132"/>
      <c r="S389" s="133"/>
    </row>
    <row r="390" spans="1:19" x14ac:dyDescent="0.25">
      <c r="A390" s="70" t="e">
        <f>'Date Calcs'!#REF!</f>
        <v>#REF!</v>
      </c>
      <c r="B390" s="71" t="e">
        <f>'Date Calcs'!#REF!</f>
        <v>#REF!</v>
      </c>
      <c r="C390" s="72" t="e">
        <f>'Date Calcs'!#REF!</f>
        <v>#REF!</v>
      </c>
      <c r="D390" s="73" t="e">
        <f t="shared" si="183"/>
        <v>#REF!</v>
      </c>
      <c r="E390" s="66">
        <v>44413</v>
      </c>
      <c r="F390" s="73" t="e">
        <f>'Date Calcs'!#REF!</f>
        <v>#REF!</v>
      </c>
      <c r="G390" s="73" t="e">
        <f>IF(VLOOKUP(A390,'Actual Dates'!A4:AF518,8,),'Actual Dates'!#REF!,"")</f>
        <v>#REF!</v>
      </c>
      <c r="H390" s="73" t="e">
        <f t="shared" si="184"/>
        <v>#REF!</v>
      </c>
      <c r="I390" s="73" t="e">
        <f>IF(VLOOKUP(A390,'Actual Dates'!A4:AF513,25,),'Actual Dates'!#REF!,"")</f>
        <v>#REF!</v>
      </c>
      <c r="J390" s="73" t="e">
        <f t="shared" si="185"/>
        <v>#REF!</v>
      </c>
      <c r="K390" s="73" t="e">
        <f>IF(VLOOKUP(A390,'Actual Dates'!A4:AF541,26,),'Actual Dates'!#REF!,"")</f>
        <v>#REF!</v>
      </c>
      <c r="L390" s="73" t="e">
        <f>IF(VLOOKUP(A390,'Actual Dates'!A4:AF541,21,),'Actual Dates'!#REF!,"")</f>
        <v>#REF!</v>
      </c>
      <c r="M390" s="73" t="e">
        <f>'Date Calcs'!#REF!</f>
        <v>#REF!</v>
      </c>
      <c r="N390" s="73" t="e">
        <f>IF(VLOOKUP(A390,'Actual Dates'!A4:AF541,27,),'Actual Dates'!#REF!,"")</f>
        <v>#REF!</v>
      </c>
      <c r="O390" s="74" t="e">
        <f t="shared" si="186"/>
        <v>#REF!</v>
      </c>
      <c r="P390" s="75" t="e">
        <f t="shared" si="187"/>
        <v>#REF!</v>
      </c>
      <c r="Q390" s="75" t="e">
        <f t="shared" si="188"/>
        <v>#REF!</v>
      </c>
      <c r="R390" s="132"/>
      <c r="S390" s="133"/>
    </row>
    <row r="391" spans="1:19" x14ac:dyDescent="0.25">
      <c r="A391" s="70" t="e">
        <f>'Date Calcs'!#REF!</f>
        <v>#REF!</v>
      </c>
      <c r="B391" s="71" t="e">
        <f>'Date Calcs'!#REF!</f>
        <v>#REF!</v>
      </c>
      <c r="C391" s="72" t="e">
        <f>'Date Calcs'!#REF!</f>
        <v>#REF!</v>
      </c>
      <c r="D391" s="73" t="e">
        <f t="shared" si="183"/>
        <v>#REF!</v>
      </c>
      <c r="E391" s="66">
        <v>44414</v>
      </c>
      <c r="F391" s="73" t="e">
        <f>'Date Calcs'!#REF!</f>
        <v>#REF!</v>
      </c>
      <c r="G391" s="73" t="e">
        <f>IF(VLOOKUP(A391,'Actual Dates'!A4:AF519,8,),'Actual Dates'!#REF!,"")</f>
        <v>#REF!</v>
      </c>
      <c r="H391" s="73" t="e">
        <f t="shared" si="184"/>
        <v>#REF!</v>
      </c>
      <c r="I391" s="73" t="e">
        <f>IF(VLOOKUP(A391,'Actual Dates'!A4:AF514,25,),'Actual Dates'!#REF!,"")</f>
        <v>#REF!</v>
      </c>
      <c r="J391" s="73" t="e">
        <f t="shared" si="185"/>
        <v>#REF!</v>
      </c>
      <c r="K391" s="73" t="e">
        <f>IF(VLOOKUP(A391,'Actual Dates'!A4:AF542,26,),'Actual Dates'!#REF!,"")</f>
        <v>#REF!</v>
      </c>
      <c r="L391" s="73" t="e">
        <f>IF(VLOOKUP(A391,'Actual Dates'!A4:AF542,21,),'Actual Dates'!#REF!,"")</f>
        <v>#REF!</v>
      </c>
      <c r="M391" s="73" t="e">
        <f>'Date Calcs'!#REF!</f>
        <v>#REF!</v>
      </c>
      <c r="N391" s="73" t="e">
        <f>IF(VLOOKUP(A391,'Actual Dates'!A4:AF542,27,),'Actual Dates'!#REF!,"")</f>
        <v>#REF!</v>
      </c>
      <c r="O391" s="74" t="e">
        <f t="shared" si="186"/>
        <v>#REF!</v>
      </c>
      <c r="P391" s="75" t="e">
        <f t="shared" si="187"/>
        <v>#REF!</v>
      </c>
      <c r="Q391" s="75" t="e">
        <f t="shared" si="188"/>
        <v>#REF!</v>
      </c>
      <c r="R391" s="132"/>
      <c r="S391" s="133"/>
    </row>
    <row r="392" spans="1:19" x14ac:dyDescent="0.25">
      <c r="A392" s="70" t="e">
        <f>'Date Calcs'!#REF!</f>
        <v>#REF!</v>
      </c>
      <c r="B392" s="71" t="e">
        <f>'Date Calcs'!#REF!</f>
        <v>#REF!</v>
      </c>
      <c r="C392" s="72" t="e">
        <f>'Date Calcs'!#REF!</f>
        <v>#REF!</v>
      </c>
      <c r="D392" s="73" t="e">
        <f t="shared" si="183"/>
        <v>#REF!</v>
      </c>
      <c r="E392" s="66">
        <v>44415</v>
      </c>
      <c r="F392" s="73" t="e">
        <f>'Date Calcs'!#REF!</f>
        <v>#REF!</v>
      </c>
      <c r="G392" s="73" t="e">
        <f>IF(VLOOKUP(A392,'Actual Dates'!A4:AF520,8,),'Actual Dates'!#REF!,"")</f>
        <v>#REF!</v>
      </c>
      <c r="H392" s="73" t="e">
        <f t="shared" si="184"/>
        <v>#REF!</v>
      </c>
      <c r="I392" s="73" t="e">
        <f>IF(VLOOKUP(A392,'Actual Dates'!A4:AF515,25,),'Actual Dates'!#REF!,"")</f>
        <v>#REF!</v>
      </c>
      <c r="J392" s="73" t="e">
        <f t="shared" si="185"/>
        <v>#REF!</v>
      </c>
      <c r="K392" s="73" t="e">
        <f>IF(VLOOKUP(A392,'Actual Dates'!A4:AF543,26,),'Actual Dates'!#REF!,"")</f>
        <v>#REF!</v>
      </c>
      <c r="L392" s="73" t="e">
        <f>IF(VLOOKUP(A392,'Actual Dates'!A4:AF543,21,),'Actual Dates'!#REF!,"")</f>
        <v>#REF!</v>
      </c>
      <c r="M392" s="73" t="e">
        <f>'Date Calcs'!#REF!</f>
        <v>#REF!</v>
      </c>
      <c r="N392" s="73" t="e">
        <f>IF(VLOOKUP(A392,'Actual Dates'!A4:AF543,27,),'Actual Dates'!#REF!,"")</f>
        <v>#REF!</v>
      </c>
      <c r="O392" s="74" t="e">
        <f t="shared" si="186"/>
        <v>#REF!</v>
      </c>
      <c r="P392" s="75" t="e">
        <f t="shared" si="187"/>
        <v>#REF!</v>
      </c>
      <c r="Q392" s="75" t="e">
        <f t="shared" si="188"/>
        <v>#REF!</v>
      </c>
      <c r="R392" s="132"/>
      <c r="S392" s="133"/>
    </row>
    <row r="393" spans="1:19" x14ac:dyDescent="0.25">
      <c r="A393" s="70" t="e">
        <f>'Date Calcs'!#REF!</f>
        <v>#REF!</v>
      </c>
      <c r="B393" s="71" t="e">
        <f>'Date Calcs'!#REF!</f>
        <v>#REF!</v>
      </c>
      <c r="C393" s="72" t="e">
        <f>'Date Calcs'!#REF!</f>
        <v>#REF!</v>
      </c>
      <c r="D393" s="73" t="e">
        <f t="shared" ref="D393:D456" si="189">WORKDAY(F393,-1,)</f>
        <v>#REF!</v>
      </c>
      <c r="E393" s="66">
        <v>44416</v>
      </c>
      <c r="F393" s="73" t="e">
        <f>'Date Calcs'!#REF!</f>
        <v>#REF!</v>
      </c>
      <c r="G393" s="73" t="e">
        <f>IF(VLOOKUP(A393,'Actual Dates'!A4:AF521,8,),'Actual Dates'!#REF!,"")</f>
        <v>#REF!</v>
      </c>
      <c r="H393" s="73" t="e">
        <f t="shared" ref="H393:H456" si="190">WORKDAY(L393,3,)</f>
        <v>#REF!</v>
      </c>
      <c r="I393" s="73" t="e">
        <f>IF(VLOOKUP(A393,'Actual Dates'!A4:AF516,25,),'Actual Dates'!#REF!,"")</f>
        <v>#REF!</v>
      </c>
      <c r="J393" s="73" t="e">
        <f t="shared" ref="J393:J456" si="191">WORKDAY(L393,4,)</f>
        <v>#REF!</v>
      </c>
      <c r="K393" s="73" t="e">
        <f>IF(VLOOKUP(A393,'Actual Dates'!A4:AF544,26,),'Actual Dates'!#REF!,"")</f>
        <v>#REF!</v>
      </c>
      <c r="L393" s="73" t="e">
        <f>IF(VLOOKUP(A393,'Actual Dates'!A4:AF544,21,),'Actual Dates'!#REF!,"")</f>
        <v>#REF!</v>
      </c>
      <c r="M393" s="73" t="e">
        <f>'Date Calcs'!#REF!</f>
        <v>#REF!</v>
      </c>
      <c r="N393" s="73" t="e">
        <f>IF(VLOOKUP(A393,'Actual Dates'!A4:AF544,27,),'Actual Dates'!#REF!,"")</f>
        <v>#REF!</v>
      </c>
      <c r="O393" s="74" t="e">
        <f t="shared" ref="O393:O456" si="192">N393-C393</f>
        <v>#REF!</v>
      </c>
      <c r="P393" s="75" t="e">
        <f t="shared" ref="P393:P456" si="193">F393-G393</f>
        <v>#REF!</v>
      </c>
      <c r="Q393" s="75" t="e">
        <f t="shared" ref="Q393:Q456" si="194">M393-N393</f>
        <v>#REF!</v>
      </c>
      <c r="R393" s="132"/>
      <c r="S393" s="133"/>
    </row>
    <row r="394" spans="1:19" x14ac:dyDescent="0.25">
      <c r="A394" s="70" t="e">
        <f>'Date Calcs'!#REF!</f>
        <v>#REF!</v>
      </c>
      <c r="B394" s="71" t="e">
        <f>'Date Calcs'!#REF!</f>
        <v>#REF!</v>
      </c>
      <c r="C394" s="72" t="e">
        <f>'Date Calcs'!#REF!</f>
        <v>#REF!</v>
      </c>
      <c r="D394" s="73" t="e">
        <f t="shared" si="189"/>
        <v>#REF!</v>
      </c>
      <c r="E394" s="66">
        <v>44417</v>
      </c>
      <c r="F394" s="73" t="e">
        <f>'Date Calcs'!#REF!</f>
        <v>#REF!</v>
      </c>
      <c r="G394" s="73" t="e">
        <f>IF(VLOOKUP(A394,'Actual Dates'!A4:AF522,8,),'Actual Dates'!#REF!,"")</f>
        <v>#REF!</v>
      </c>
      <c r="H394" s="73" t="e">
        <f t="shared" si="190"/>
        <v>#REF!</v>
      </c>
      <c r="I394" s="73" t="e">
        <f>IF(VLOOKUP(A394,'Actual Dates'!A4:AF517,25,),'Actual Dates'!#REF!,"")</f>
        <v>#REF!</v>
      </c>
      <c r="J394" s="73" t="e">
        <f t="shared" si="191"/>
        <v>#REF!</v>
      </c>
      <c r="K394" s="73" t="e">
        <f>IF(VLOOKUP(A394,'Actual Dates'!A4:AF545,26,),'Actual Dates'!#REF!,"")</f>
        <v>#REF!</v>
      </c>
      <c r="L394" s="73" t="e">
        <f>IF(VLOOKUP(A394,'Actual Dates'!A4:AF545,21,),'Actual Dates'!#REF!,"")</f>
        <v>#REF!</v>
      </c>
      <c r="M394" s="73" t="e">
        <f>'Date Calcs'!#REF!</f>
        <v>#REF!</v>
      </c>
      <c r="N394" s="73" t="e">
        <f>IF(VLOOKUP(A394,'Actual Dates'!A4:AF545,27,),'Actual Dates'!#REF!,"")</f>
        <v>#REF!</v>
      </c>
      <c r="O394" s="74" t="e">
        <f t="shared" si="192"/>
        <v>#REF!</v>
      </c>
      <c r="P394" s="75" t="e">
        <f t="shared" si="193"/>
        <v>#REF!</v>
      </c>
      <c r="Q394" s="75" t="e">
        <f t="shared" si="194"/>
        <v>#REF!</v>
      </c>
      <c r="R394" s="132"/>
      <c r="S394" s="133"/>
    </row>
    <row r="395" spans="1:19" x14ac:dyDescent="0.25">
      <c r="A395" s="70" t="e">
        <f>'Date Calcs'!#REF!</f>
        <v>#REF!</v>
      </c>
      <c r="B395" s="71" t="e">
        <f>'Date Calcs'!#REF!</f>
        <v>#REF!</v>
      </c>
      <c r="C395" s="72" t="e">
        <f>'Date Calcs'!#REF!</f>
        <v>#REF!</v>
      </c>
      <c r="D395" s="73" t="e">
        <f t="shared" si="189"/>
        <v>#REF!</v>
      </c>
      <c r="E395" s="66">
        <v>44418</v>
      </c>
      <c r="F395" s="73" t="e">
        <f>'Date Calcs'!#REF!</f>
        <v>#REF!</v>
      </c>
      <c r="G395" s="73" t="e">
        <f>IF(VLOOKUP(A395,'Actual Dates'!A4:AF523,8,),'Actual Dates'!#REF!,"")</f>
        <v>#REF!</v>
      </c>
      <c r="H395" s="73" t="e">
        <f t="shared" si="190"/>
        <v>#REF!</v>
      </c>
      <c r="I395" s="73" t="e">
        <f>IF(VLOOKUP(A395,'Actual Dates'!A4:AF518,25,),'Actual Dates'!#REF!,"")</f>
        <v>#REF!</v>
      </c>
      <c r="J395" s="73" t="e">
        <f t="shared" si="191"/>
        <v>#REF!</v>
      </c>
      <c r="K395" s="73" t="e">
        <f>IF(VLOOKUP(A395,'Actual Dates'!A4:AF546,26,),'Actual Dates'!#REF!,"")</f>
        <v>#REF!</v>
      </c>
      <c r="L395" s="73" t="e">
        <f>IF(VLOOKUP(A395,'Actual Dates'!A4:AF546,21,),'Actual Dates'!#REF!,"")</f>
        <v>#REF!</v>
      </c>
      <c r="M395" s="73" t="e">
        <f>'Date Calcs'!#REF!</f>
        <v>#REF!</v>
      </c>
      <c r="N395" s="73" t="e">
        <f>IF(VLOOKUP(A395,'Actual Dates'!A4:AF546,27,),'Actual Dates'!#REF!,"")</f>
        <v>#REF!</v>
      </c>
      <c r="O395" s="74" t="e">
        <f t="shared" si="192"/>
        <v>#REF!</v>
      </c>
      <c r="P395" s="75" t="e">
        <f t="shared" si="193"/>
        <v>#REF!</v>
      </c>
      <c r="Q395" s="75" t="e">
        <f t="shared" si="194"/>
        <v>#REF!</v>
      </c>
      <c r="R395" s="132"/>
      <c r="S395" s="133"/>
    </row>
    <row r="396" spans="1:19" x14ac:dyDescent="0.25">
      <c r="A396" s="70" t="e">
        <f>'Date Calcs'!#REF!</f>
        <v>#REF!</v>
      </c>
      <c r="B396" s="71" t="e">
        <f>'Date Calcs'!#REF!</f>
        <v>#REF!</v>
      </c>
      <c r="C396" s="72" t="e">
        <f>'Date Calcs'!#REF!</f>
        <v>#REF!</v>
      </c>
      <c r="D396" s="73" t="e">
        <f t="shared" si="189"/>
        <v>#REF!</v>
      </c>
      <c r="E396" s="66">
        <v>44419</v>
      </c>
      <c r="F396" s="73" t="e">
        <f>'Date Calcs'!#REF!</f>
        <v>#REF!</v>
      </c>
      <c r="G396" s="73" t="e">
        <f>IF(VLOOKUP(A396,'Actual Dates'!A4:AF524,8,),'Actual Dates'!#REF!,"")</f>
        <v>#REF!</v>
      </c>
      <c r="H396" s="73" t="e">
        <f t="shared" si="190"/>
        <v>#REF!</v>
      </c>
      <c r="I396" s="73" t="e">
        <f>IF(VLOOKUP(A396,'Actual Dates'!A4:AF519,25,),'Actual Dates'!#REF!,"")</f>
        <v>#REF!</v>
      </c>
      <c r="J396" s="73" t="e">
        <f t="shared" si="191"/>
        <v>#REF!</v>
      </c>
      <c r="K396" s="73" t="e">
        <f>IF(VLOOKUP(A396,'Actual Dates'!A4:AF547,26,),'Actual Dates'!#REF!,"")</f>
        <v>#REF!</v>
      </c>
      <c r="L396" s="73" t="e">
        <f>IF(VLOOKUP(A396,'Actual Dates'!A4:AF547,21,),'Actual Dates'!#REF!,"")</f>
        <v>#REF!</v>
      </c>
      <c r="M396" s="73" t="e">
        <f>'Date Calcs'!#REF!</f>
        <v>#REF!</v>
      </c>
      <c r="N396" s="73" t="e">
        <f>IF(VLOOKUP(A396,'Actual Dates'!A4:AF547,27,),'Actual Dates'!#REF!,"")</f>
        <v>#REF!</v>
      </c>
      <c r="O396" s="74" t="e">
        <f t="shared" si="192"/>
        <v>#REF!</v>
      </c>
      <c r="P396" s="75" t="e">
        <f t="shared" si="193"/>
        <v>#REF!</v>
      </c>
      <c r="Q396" s="75" t="e">
        <f t="shared" si="194"/>
        <v>#REF!</v>
      </c>
      <c r="R396" s="132"/>
      <c r="S396" s="133"/>
    </row>
    <row r="397" spans="1:19" x14ac:dyDescent="0.25">
      <c r="A397" s="70" t="e">
        <f>'Date Calcs'!#REF!</f>
        <v>#REF!</v>
      </c>
      <c r="B397" s="71" t="e">
        <f>'Date Calcs'!#REF!</f>
        <v>#REF!</v>
      </c>
      <c r="C397" s="72" t="e">
        <f>'Date Calcs'!#REF!</f>
        <v>#REF!</v>
      </c>
      <c r="D397" s="73" t="e">
        <f t="shared" si="189"/>
        <v>#REF!</v>
      </c>
      <c r="E397" s="66">
        <v>44420</v>
      </c>
      <c r="F397" s="73" t="e">
        <f>'Date Calcs'!#REF!</f>
        <v>#REF!</v>
      </c>
      <c r="G397" s="73" t="e">
        <f>IF(VLOOKUP(A397,'Actual Dates'!A4:AF525,8,),'Actual Dates'!#REF!,"")</f>
        <v>#REF!</v>
      </c>
      <c r="H397" s="73" t="e">
        <f t="shared" si="190"/>
        <v>#REF!</v>
      </c>
      <c r="I397" s="73" t="e">
        <f>IF(VLOOKUP(A397,'Actual Dates'!A4:AF520,25,),'Actual Dates'!#REF!,"")</f>
        <v>#REF!</v>
      </c>
      <c r="J397" s="73" t="e">
        <f t="shared" si="191"/>
        <v>#REF!</v>
      </c>
      <c r="K397" s="73" t="e">
        <f>IF(VLOOKUP(A397,'Actual Dates'!A4:AF548,26,),'Actual Dates'!#REF!,"")</f>
        <v>#REF!</v>
      </c>
      <c r="L397" s="73" t="e">
        <f>IF(VLOOKUP(A397,'Actual Dates'!A4:AF548,21,),'Actual Dates'!#REF!,"")</f>
        <v>#REF!</v>
      </c>
      <c r="M397" s="73" t="e">
        <f>'Date Calcs'!#REF!</f>
        <v>#REF!</v>
      </c>
      <c r="N397" s="73" t="e">
        <f>IF(VLOOKUP(A397,'Actual Dates'!A4:AF548,27,),'Actual Dates'!#REF!,"")</f>
        <v>#REF!</v>
      </c>
      <c r="O397" s="74" t="e">
        <f t="shared" si="192"/>
        <v>#REF!</v>
      </c>
      <c r="P397" s="75" t="e">
        <f t="shared" si="193"/>
        <v>#REF!</v>
      </c>
      <c r="Q397" s="75" t="e">
        <f t="shared" si="194"/>
        <v>#REF!</v>
      </c>
      <c r="R397" s="132"/>
      <c r="S397" s="133"/>
    </row>
    <row r="398" spans="1:19" x14ac:dyDescent="0.25">
      <c r="A398" s="70" t="e">
        <f>'Date Calcs'!#REF!</f>
        <v>#REF!</v>
      </c>
      <c r="B398" s="71" t="e">
        <f>'Date Calcs'!#REF!</f>
        <v>#REF!</v>
      </c>
      <c r="C398" s="72" t="e">
        <f>'Date Calcs'!#REF!</f>
        <v>#REF!</v>
      </c>
      <c r="D398" s="73" t="e">
        <f t="shared" si="189"/>
        <v>#REF!</v>
      </c>
      <c r="E398" s="66">
        <v>44421</v>
      </c>
      <c r="F398" s="73" t="e">
        <f>'Date Calcs'!#REF!</f>
        <v>#REF!</v>
      </c>
      <c r="G398" s="73" t="e">
        <f>IF(VLOOKUP(A398,'Actual Dates'!A4:AF526,8,),'Actual Dates'!#REF!,"")</f>
        <v>#REF!</v>
      </c>
      <c r="H398" s="73" t="e">
        <f t="shared" si="190"/>
        <v>#REF!</v>
      </c>
      <c r="I398" s="73" t="e">
        <f>IF(VLOOKUP(A398,'Actual Dates'!A4:AF521,25,),'Actual Dates'!#REF!,"")</f>
        <v>#REF!</v>
      </c>
      <c r="J398" s="73" t="e">
        <f t="shared" si="191"/>
        <v>#REF!</v>
      </c>
      <c r="K398" s="73" t="e">
        <f>IF(VLOOKUP(A398,'Actual Dates'!A4:AF549,26,),'Actual Dates'!#REF!,"")</f>
        <v>#REF!</v>
      </c>
      <c r="L398" s="73" t="e">
        <f>IF(VLOOKUP(A398,'Actual Dates'!A4:AF549,21,),'Actual Dates'!#REF!,"")</f>
        <v>#REF!</v>
      </c>
      <c r="M398" s="73" t="e">
        <f>'Date Calcs'!#REF!</f>
        <v>#REF!</v>
      </c>
      <c r="N398" s="73" t="e">
        <f>IF(VLOOKUP(A398,'Actual Dates'!A4:AF549,27,),'Actual Dates'!#REF!,"")</f>
        <v>#REF!</v>
      </c>
      <c r="O398" s="74" t="e">
        <f t="shared" si="192"/>
        <v>#REF!</v>
      </c>
      <c r="P398" s="75" t="e">
        <f t="shared" si="193"/>
        <v>#REF!</v>
      </c>
      <c r="Q398" s="75" t="e">
        <f t="shared" si="194"/>
        <v>#REF!</v>
      </c>
      <c r="R398" s="132"/>
      <c r="S398" s="133"/>
    </row>
    <row r="399" spans="1:19" x14ac:dyDescent="0.25">
      <c r="A399" s="70" t="e">
        <f>'Date Calcs'!#REF!</f>
        <v>#REF!</v>
      </c>
      <c r="B399" s="71" t="e">
        <f>'Date Calcs'!#REF!</f>
        <v>#REF!</v>
      </c>
      <c r="C399" s="72" t="e">
        <f>'Date Calcs'!#REF!</f>
        <v>#REF!</v>
      </c>
      <c r="D399" s="73" t="e">
        <f t="shared" si="189"/>
        <v>#REF!</v>
      </c>
      <c r="E399" s="66">
        <v>44422</v>
      </c>
      <c r="F399" s="73" t="e">
        <f>'Date Calcs'!#REF!</f>
        <v>#REF!</v>
      </c>
      <c r="G399" s="73" t="e">
        <f>IF(VLOOKUP(A399,'Actual Dates'!A4:AF527,8,),'Actual Dates'!#REF!,"")</f>
        <v>#REF!</v>
      </c>
      <c r="H399" s="73" t="e">
        <f t="shared" si="190"/>
        <v>#REF!</v>
      </c>
      <c r="I399" s="73" t="e">
        <f>IF(VLOOKUP(A399,'Actual Dates'!A4:AF522,25,),'Actual Dates'!#REF!,"")</f>
        <v>#REF!</v>
      </c>
      <c r="J399" s="73" t="e">
        <f t="shared" si="191"/>
        <v>#REF!</v>
      </c>
      <c r="K399" s="73" t="e">
        <f>IF(VLOOKUP(A399,'Actual Dates'!A4:AF550,26,),'Actual Dates'!#REF!,"")</f>
        <v>#REF!</v>
      </c>
      <c r="L399" s="73" t="e">
        <f>IF(VLOOKUP(A399,'Actual Dates'!A4:AF550,21,),'Actual Dates'!#REF!,"")</f>
        <v>#REF!</v>
      </c>
      <c r="M399" s="73" t="e">
        <f>'Date Calcs'!#REF!</f>
        <v>#REF!</v>
      </c>
      <c r="N399" s="73" t="e">
        <f>IF(VLOOKUP(A399,'Actual Dates'!A4:AF550,27,),'Actual Dates'!#REF!,"")</f>
        <v>#REF!</v>
      </c>
      <c r="O399" s="74" t="e">
        <f t="shared" si="192"/>
        <v>#REF!</v>
      </c>
      <c r="P399" s="75" t="e">
        <f t="shared" si="193"/>
        <v>#REF!</v>
      </c>
      <c r="Q399" s="75" t="e">
        <f t="shared" si="194"/>
        <v>#REF!</v>
      </c>
      <c r="R399" s="132"/>
      <c r="S399" s="133"/>
    </row>
    <row r="400" spans="1:19" x14ac:dyDescent="0.25">
      <c r="A400" s="70" t="e">
        <f>'Date Calcs'!#REF!</f>
        <v>#REF!</v>
      </c>
      <c r="B400" s="71" t="e">
        <f>'Date Calcs'!#REF!</f>
        <v>#REF!</v>
      </c>
      <c r="C400" s="72" t="e">
        <f>'Date Calcs'!#REF!</f>
        <v>#REF!</v>
      </c>
      <c r="D400" s="73" t="e">
        <f t="shared" si="189"/>
        <v>#REF!</v>
      </c>
      <c r="E400" s="66">
        <v>44423</v>
      </c>
      <c r="F400" s="73" t="e">
        <f>'Date Calcs'!#REF!</f>
        <v>#REF!</v>
      </c>
      <c r="G400" s="73" t="e">
        <f>IF(VLOOKUP(A400,'Actual Dates'!A4:AF528,8,),'Actual Dates'!#REF!,"")</f>
        <v>#REF!</v>
      </c>
      <c r="H400" s="73" t="e">
        <f t="shared" si="190"/>
        <v>#REF!</v>
      </c>
      <c r="I400" s="73" t="e">
        <f>IF(VLOOKUP(A400,'Actual Dates'!A4:AF523,25,),'Actual Dates'!#REF!,"")</f>
        <v>#REF!</v>
      </c>
      <c r="J400" s="73" t="e">
        <f t="shared" si="191"/>
        <v>#REF!</v>
      </c>
      <c r="K400" s="73" t="e">
        <f>IF(VLOOKUP(A400,'Actual Dates'!A4:AF551,26,),'Actual Dates'!#REF!,"")</f>
        <v>#REF!</v>
      </c>
      <c r="L400" s="73" t="e">
        <f>IF(VLOOKUP(A400,'Actual Dates'!A4:AF551,21,),'Actual Dates'!#REF!,"")</f>
        <v>#REF!</v>
      </c>
      <c r="M400" s="73" t="e">
        <f>'Date Calcs'!#REF!</f>
        <v>#REF!</v>
      </c>
      <c r="N400" s="73" t="e">
        <f>IF(VLOOKUP(A400,'Actual Dates'!A4:AF551,27,),'Actual Dates'!#REF!,"")</f>
        <v>#REF!</v>
      </c>
      <c r="O400" s="74" t="e">
        <f t="shared" si="192"/>
        <v>#REF!</v>
      </c>
      <c r="P400" s="75" t="e">
        <f t="shared" si="193"/>
        <v>#REF!</v>
      </c>
      <c r="Q400" s="75" t="e">
        <f t="shared" si="194"/>
        <v>#REF!</v>
      </c>
      <c r="R400" s="132"/>
      <c r="S400" s="133"/>
    </row>
    <row r="401" spans="1:19" x14ac:dyDescent="0.25">
      <c r="A401" s="70" t="e">
        <f>'Date Calcs'!#REF!</f>
        <v>#REF!</v>
      </c>
      <c r="B401" s="71" t="e">
        <f>'Date Calcs'!#REF!</f>
        <v>#REF!</v>
      </c>
      <c r="C401" s="72" t="e">
        <f>'Date Calcs'!#REF!</f>
        <v>#REF!</v>
      </c>
      <c r="D401" s="73" t="e">
        <f t="shared" si="189"/>
        <v>#REF!</v>
      </c>
      <c r="E401" s="66">
        <v>44424</v>
      </c>
      <c r="F401" s="73" t="e">
        <f>'Date Calcs'!#REF!</f>
        <v>#REF!</v>
      </c>
      <c r="G401" s="73" t="e">
        <f>IF(VLOOKUP(A401,'Actual Dates'!A4:AF529,8,),'Actual Dates'!#REF!,"")</f>
        <v>#REF!</v>
      </c>
      <c r="H401" s="73" t="e">
        <f t="shared" si="190"/>
        <v>#REF!</v>
      </c>
      <c r="I401" s="73" t="e">
        <f>IF(VLOOKUP(A401,'Actual Dates'!A4:AF524,25,),'Actual Dates'!#REF!,"")</f>
        <v>#REF!</v>
      </c>
      <c r="J401" s="73" t="e">
        <f t="shared" si="191"/>
        <v>#REF!</v>
      </c>
      <c r="K401" s="73" t="e">
        <f>IF(VLOOKUP(A401,'Actual Dates'!A4:AF552,26,),'Actual Dates'!#REF!,"")</f>
        <v>#REF!</v>
      </c>
      <c r="L401" s="73" t="e">
        <f>IF(VLOOKUP(A401,'Actual Dates'!A4:AF552,21,),'Actual Dates'!#REF!,"")</f>
        <v>#REF!</v>
      </c>
      <c r="M401" s="73" t="e">
        <f>'Date Calcs'!#REF!</f>
        <v>#REF!</v>
      </c>
      <c r="N401" s="73" t="e">
        <f>IF(VLOOKUP(A401,'Actual Dates'!A4:AF552,27,),'Actual Dates'!#REF!,"")</f>
        <v>#REF!</v>
      </c>
      <c r="O401" s="74" t="e">
        <f t="shared" si="192"/>
        <v>#REF!</v>
      </c>
      <c r="P401" s="75" t="e">
        <f t="shared" si="193"/>
        <v>#REF!</v>
      </c>
      <c r="Q401" s="75" t="e">
        <f t="shared" si="194"/>
        <v>#REF!</v>
      </c>
      <c r="R401" s="132"/>
      <c r="S401" s="133"/>
    </row>
    <row r="402" spans="1:19" x14ac:dyDescent="0.25">
      <c r="A402" s="70" t="e">
        <f>'Date Calcs'!#REF!</f>
        <v>#REF!</v>
      </c>
      <c r="B402" s="71" t="e">
        <f>'Date Calcs'!#REF!</f>
        <v>#REF!</v>
      </c>
      <c r="C402" s="72" t="e">
        <f>'Date Calcs'!#REF!</f>
        <v>#REF!</v>
      </c>
      <c r="D402" s="73" t="e">
        <f t="shared" si="189"/>
        <v>#REF!</v>
      </c>
      <c r="E402" s="66">
        <v>44425</v>
      </c>
      <c r="F402" s="73" t="e">
        <f>'Date Calcs'!#REF!</f>
        <v>#REF!</v>
      </c>
      <c r="G402" s="73" t="e">
        <f>IF(VLOOKUP(A402,'Actual Dates'!A4:AF530,8,),'Actual Dates'!#REF!,"")</f>
        <v>#REF!</v>
      </c>
      <c r="H402" s="73" t="e">
        <f t="shared" si="190"/>
        <v>#REF!</v>
      </c>
      <c r="I402" s="73" t="e">
        <f>IF(VLOOKUP(A402,'Actual Dates'!A4:AF525,25,),'Actual Dates'!#REF!,"")</f>
        <v>#REF!</v>
      </c>
      <c r="J402" s="73" t="e">
        <f t="shared" si="191"/>
        <v>#REF!</v>
      </c>
      <c r="K402" s="73" t="e">
        <f>IF(VLOOKUP(A402,'Actual Dates'!A4:AF553,26,),'Actual Dates'!#REF!,"")</f>
        <v>#REF!</v>
      </c>
      <c r="L402" s="73" t="e">
        <f>IF(VLOOKUP(A402,'Actual Dates'!A4:AF553,21,),'Actual Dates'!#REF!,"")</f>
        <v>#REF!</v>
      </c>
      <c r="M402" s="73" t="e">
        <f>'Date Calcs'!#REF!</f>
        <v>#REF!</v>
      </c>
      <c r="N402" s="73" t="e">
        <f>IF(VLOOKUP(A402,'Actual Dates'!A4:AF553,27,),'Actual Dates'!#REF!,"")</f>
        <v>#REF!</v>
      </c>
      <c r="O402" s="74" t="e">
        <f t="shared" si="192"/>
        <v>#REF!</v>
      </c>
      <c r="P402" s="75" t="e">
        <f t="shared" si="193"/>
        <v>#REF!</v>
      </c>
      <c r="Q402" s="75" t="e">
        <f t="shared" si="194"/>
        <v>#REF!</v>
      </c>
      <c r="R402" s="132"/>
      <c r="S402" s="133"/>
    </row>
    <row r="403" spans="1:19" x14ac:dyDescent="0.25">
      <c r="A403" s="70" t="e">
        <f>'Date Calcs'!#REF!</f>
        <v>#REF!</v>
      </c>
      <c r="B403" s="71" t="e">
        <f>'Date Calcs'!#REF!</f>
        <v>#REF!</v>
      </c>
      <c r="C403" s="72" t="e">
        <f>'Date Calcs'!#REF!</f>
        <v>#REF!</v>
      </c>
      <c r="D403" s="73" t="e">
        <f t="shared" si="189"/>
        <v>#REF!</v>
      </c>
      <c r="E403" s="66">
        <v>44426</v>
      </c>
      <c r="F403" s="73" t="e">
        <f>'Date Calcs'!#REF!</f>
        <v>#REF!</v>
      </c>
      <c r="G403" s="73" t="e">
        <f>IF(VLOOKUP(A403,'Actual Dates'!A4:AF531,8,),'Actual Dates'!#REF!,"")</f>
        <v>#REF!</v>
      </c>
      <c r="H403" s="73" t="e">
        <f t="shared" si="190"/>
        <v>#REF!</v>
      </c>
      <c r="I403" s="73" t="e">
        <f>IF(VLOOKUP(A403,'Actual Dates'!A4:AF526,25,),'Actual Dates'!#REF!,"")</f>
        <v>#REF!</v>
      </c>
      <c r="J403" s="73" t="e">
        <f t="shared" si="191"/>
        <v>#REF!</v>
      </c>
      <c r="K403" s="73" t="e">
        <f>IF(VLOOKUP(A403,'Actual Dates'!A4:AF554,26,),'Actual Dates'!#REF!,"")</f>
        <v>#REF!</v>
      </c>
      <c r="L403" s="73" t="e">
        <f>IF(VLOOKUP(A403,'Actual Dates'!A4:AF554,21,),'Actual Dates'!#REF!,"")</f>
        <v>#REF!</v>
      </c>
      <c r="M403" s="73" t="e">
        <f>'Date Calcs'!#REF!</f>
        <v>#REF!</v>
      </c>
      <c r="N403" s="73" t="e">
        <f>IF(VLOOKUP(A403,'Actual Dates'!A4:AF554,27,),'Actual Dates'!#REF!,"")</f>
        <v>#REF!</v>
      </c>
      <c r="O403" s="74" t="e">
        <f t="shared" si="192"/>
        <v>#REF!</v>
      </c>
      <c r="P403" s="75" t="e">
        <f t="shared" si="193"/>
        <v>#REF!</v>
      </c>
      <c r="Q403" s="75" t="e">
        <f t="shared" si="194"/>
        <v>#REF!</v>
      </c>
      <c r="R403" s="132"/>
      <c r="S403" s="133"/>
    </row>
    <row r="404" spans="1:19" x14ac:dyDescent="0.25">
      <c r="A404" s="70" t="e">
        <f>'Date Calcs'!#REF!</f>
        <v>#REF!</v>
      </c>
      <c r="B404" s="71" t="e">
        <f>'Date Calcs'!#REF!</f>
        <v>#REF!</v>
      </c>
      <c r="C404" s="72" t="e">
        <f>'Date Calcs'!#REF!</f>
        <v>#REF!</v>
      </c>
      <c r="D404" s="73" t="e">
        <f t="shared" si="189"/>
        <v>#REF!</v>
      </c>
      <c r="E404" s="66">
        <v>44427</v>
      </c>
      <c r="F404" s="73" t="e">
        <f>'Date Calcs'!#REF!</f>
        <v>#REF!</v>
      </c>
      <c r="G404" s="73" t="e">
        <f>IF(VLOOKUP(A404,'Actual Dates'!A4:AF532,8,),'Actual Dates'!#REF!,"")</f>
        <v>#REF!</v>
      </c>
      <c r="H404" s="73" t="e">
        <f t="shared" si="190"/>
        <v>#REF!</v>
      </c>
      <c r="I404" s="73" t="e">
        <f>IF(VLOOKUP(A404,'Actual Dates'!A4:AF527,25,),'Actual Dates'!#REF!,"")</f>
        <v>#REF!</v>
      </c>
      <c r="J404" s="73" t="e">
        <f t="shared" si="191"/>
        <v>#REF!</v>
      </c>
      <c r="K404" s="73" t="e">
        <f>IF(VLOOKUP(A404,'Actual Dates'!A4:AF555,26,),'Actual Dates'!#REF!,"")</f>
        <v>#REF!</v>
      </c>
      <c r="L404" s="73" t="e">
        <f>IF(VLOOKUP(A404,'Actual Dates'!A4:AF555,21,),'Actual Dates'!#REF!,"")</f>
        <v>#REF!</v>
      </c>
      <c r="M404" s="73" t="e">
        <f>'Date Calcs'!#REF!</f>
        <v>#REF!</v>
      </c>
      <c r="N404" s="73" t="e">
        <f>IF(VLOOKUP(A404,'Actual Dates'!A4:AF555,27,),'Actual Dates'!#REF!,"")</f>
        <v>#REF!</v>
      </c>
      <c r="O404" s="74" t="e">
        <f t="shared" si="192"/>
        <v>#REF!</v>
      </c>
      <c r="P404" s="75" t="e">
        <f t="shared" si="193"/>
        <v>#REF!</v>
      </c>
      <c r="Q404" s="75" t="e">
        <f t="shared" si="194"/>
        <v>#REF!</v>
      </c>
      <c r="R404" s="132"/>
      <c r="S404" s="133"/>
    </row>
    <row r="405" spans="1:19" x14ac:dyDescent="0.25">
      <c r="A405" s="70" t="e">
        <f>'Date Calcs'!#REF!</f>
        <v>#REF!</v>
      </c>
      <c r="B405" s="71" t="e">
        <f>'Date Calcs'!#REF!</f>
        <v>#REF!</v>
      </c>
      <c r="C405" s="72" t="e">
        <f>'Date Calcs'!#REF!</f>
        <v>#REF!</v>
      </c>
      <c r="D405" s="73" t="e">
        <f t="shared" si="189"/>
        <v>#REF!</v>
      </c>
      <c r="E405" s="66">
        <v>44428</v>
      </c>
      <c r="F405" s="73" t="e">
        <f>'Date Calcs'!#REF!</f>
        <v>#REF!</v>
      </c>
      <c r="G405" s="73" t="e">
        <f>IF(VLOOKUP(A405,'Actual Dates'!A4:AF533,8,),'Actual Dates'!#REF!,"")</f>
        <v>#REF!</v>
      </c>
      <c r="H405" s="73" t="e">
        <f t="shared" si="190"/>
        <v>#REF!</v>
      </c>
      <c r="I405" s="73" t="e">
        <f>IF(VLOOKUP(A405,'Actual Dates'!A4:AF528,25,),'Actual Dates'!#REF!,"")</f>
        <v>#REF!</v>
      </c>
      <c r="J405" s="73" t="e">
        <f t="shared" si="191"/>
        <v>#REF!</v>
      </c>
      <c r="K405" s="73" t="e">
        <f>IF(VLOOKUP(A405,'Actual Dates'!A4:AF556,26,),'Actual Dates'!#REF!,"")</f>
        <v>#REF!</v>
      </c>
      <c r="L405" s="73" t="e">
        <f>IF(VLOOKUP(A405,'Actual Dates'!A4:AF556,21,),'Actual Dates'!#REF!,"")</f>
        <v>#REF!</v>
      </c>
      <c r="M405" s="73" t="e">
        <f>'Date Calcs'!#REF!</f>
        <v>#REF!</v>
      </c>
      <c r="N405" s="73" t="e">
        <f>IF(VLOOKUP(A405,'Actual Dates'!A4:AF556,27,),'Actual Dates'!#REF!,"")</f>
        <v>#REF!</v>
      </c>
      <c r="O405" s="74" t="e">
        <f t="shared" si="192"/>
        <v>#REF!</v>
      </c>
      <c r="P405" s="75" t="e">
        <f t="shared" si="193"/>
        <v>#REF!</v>
      </c>
      <c r="Q405" s="75" t="e">
        <f t="shared" si="194"/>
        <v>#REF!</v>
      </c>
      <c r="R405" s="132"/>
      <c r="S405" s="133"/>
    </row>
    <row r="406" spans="1:19" x14ac:dyDescent="0.25">
      <c r="A406" s="70" t="e">
        <f>'Date Calcs'!#REF!</f>
        <v>#REF!</v>
      </c>
      <c r="B406" s="71" t="e">
        <f>'Date Calcs'!#REF!</f>
        <v>#REF!</v>
      </c>
      <c r="C406" s="72" t="e">
        <f>'Date Calcs'!#REF!</f>
        <v>#REF!</v>
      </c>
      <c r="D406" s="73" t="e">
        <f t="shared" si="189"/>
        <v>#REF!</v>
      </c>
      <c r="E406" s="66">
        <v>44429</v>
      </c>
      <c r="F406" s="73" t="e">
        <f>'Date Calcs'!#REF!</f>
        <v>#REF!</v>
      </c>
      <c r="G406" s="73" t="e">
        <f>IF(VLOOKUP(A406,'Actual Dates'!A4:AF534,8,),'Actual Dates'!#REF!,"")</f>
        <v>#REF!</v>
      </c>
      <c r="H406" s="73" t="e">
        <f t="shared" si="190"/>
        <v>#REF!</v>
      </c>
      <c r="I406" s="73" t="e">
        <f>IF(VLOOKUP(A406,'Actual Dates'!A4:AF529,25,),'Actual Dates'!#REF!,"")</f>
        <v>#REF!</v>
      </c>
      <c r="J406" s="73" t="e">
        <f t="shared" si="191"/>
        <v>#REF!</v>
      </c>
      <c r="K406" s="73" t="e">
        <f>IF(VLOOKUP(A406,'Actual Dates'!A4:AF557,26,),'Actual Dates'!#REF!,"")</f>
        <v>#REF!</v>
      </c>
      <c r="L406" s="73" t="e">
        <f>IF(VLOOKUP(A406,'Actual Dates'!A4:AF557,21,),'Actual Dates'!#REF!,"")</f>
        <v>#REF!</v>
      </c>
      <c r="M406" s="73" t="e">
        <f>'Date Calcs'!#REF!</f>
        <v>#REF!</v>
      </c>
      <c r="N406" s="73" t="e">
        <f>IF(VLOOKUP(A406,'Actual Dates'!A4:AF557,27,),'Actual Dates'!#REF!,"")</f>
        <v>#REF!</v>
      </c>
      <c r="O406" s="74" t="e">
        <f t="shared" si="192"/>
        <v>#REF!</v>
      </c>
      <c r="P406" s="75" t="e">
        <f t="shared" si="193"/>
        <v>#REF!</v>
      </c>
      <c r="Q406" s="75" t="e">
        <f t="shared" si="194"/>
        <v>#REF!</v>
      </c>
      <c r="R406" s="132"/>
      <c r="S406" s="133"/>
    </row>
    <row r="407" spans="1:19" x14ac:dyDescent="0.25">
      <c r="A407" s="70" t="e">
        <f>'Date Calcs'!#REF!</f>
        <v>#REF!</v>
      </c>
      <c r="B407" s="71" t="e">
        <f>'Date Calcs'!#REF!</f>
        <v>#REF!</v>
      </c>
      <c r="C407" s="72" t="e">
        <f>'Date Calcs'!#REF!</f>
        <v>#REF!</v>
      </c>
      <c r="D407" s="73" t="e">
        <f t="shared" si="189"/>
        <v>#REF!</v>
      </c>
      <c r="E407" s="66">
        <v>44430</v>
      </c>
      <c r="F407" s="73" t="e">
        <f>'Date Calcs'!#REF!</f>
        <v>#REF!</v>
      </c>
      <c r="G407" s="73" t="e">
        <f>IF(VLOOKUP(A407,'Actual Dates'!A4:AF535,8,),'Actual Dates'!#REF!,"")</f>
        <v>#REF!</v>
      </c>
      <c r="H407" s="73" t="e">
        <f t="shared" si="190"/>
        <v>#REF!</v>
      </c>
      <c r="I407" s="73" t="e">
        <f>IF(VLOOKUP(A407,'Actual Dates'!A4:AF530,25,),'Actual Dates'!#REF!,"")</f>
        <v>#REF!</v>
      </c>
      <c r="J407" s="73" t="e">
        <f t="shared" si="191"/>
        <v>#REF!</v>
      </c>
      <c r="K407" s="73" t="e">
        <f>IF(VLOOKUP(A407,'Actual Dates'!A4:AF558,26,),'Actual Dates'!#REF!,"")</f>
        <v>#REF!</v>
      </c>
      <c r="L407" s="73" t="e">
        <f>IF(VLOOKUP(A407,'Actual Dates'!A4:AF558,21,),'Actual Dates'!#REF!,"")</f>
        <v>#REF!</v>
      </c>
      <c r="M407" s="73" t="e">
        <f>'Date Calcs'!#REF!</f>
        <v>#REF!</v>
      </c>
      <c r="N407" s="73" t="e">
        <f>IF(VLOOKUP(A407,'Actual Dates'!A4:AF558,27,),'Actual Dates'!#REF!,"")</f>
        <v>#REF!</v>
      </c>
      <c r="O407" s="74" t="e">
        <f t="shared" si="192"/>
        <v>#REF!</v>
      </c>
      <c r="P407" s="75" t="e">
        <f t="shared" si="193"/>
        <v>#REF!</v>
      </c>
      <c r="Q407" s="75" t="e">
        <f t="shared" si="194"/>
        <v>#REF!</v>
      </c>
      <c r="R407" s="132"/>
      <c r="S407" s="133"/>
    </row>
    <row r="408" spans="1:19" x14ac:dyDescent="0.25">
      <c r="A408" s="70" t="e">
        <f>'Date Calcs'!#REF!</f>
        <v>#REF!</v>
      </c>
      <c r="B408" s="71" t="e">
        <f>'Date Calcs'!#REF!</f>
        <v>#REF!</v>
      </c>
      <c r="C408" s="72" t="e">
        <f>'Date Calcs'!#REF!</f>
        <v>#REF!</v>
      </c>
      <c r="D408" s="73" t="e">
        <f t="shared" si="189"/>
        <v>#REF!</v>
      </c>
      <c r="E408" s="66">
        <v>44431</v>
      </c>
      <c r="F408" s="73" t="e">
        <f>'Date Calcs'!#REF!</f>
        <v>#REF!</v>
      </c>
      <c r="G408" s="73" t="e">
        <f>IF(VLOOKUP(A408,'Actual Dates'!A4:AF536,8,),'Actual Dates'!#REF!,"")</f>
        <v>#REF!</v>
      </c>
      <c r="H408" s="73" t="e">
        <f t="shared" si="190"/>
        <v>#REF!</v>
      </c>
      <c r="I408" s="73" t="e">
        <f>IF(VLOOKUP(A408,'Actual Dates'!A4:AF531,25,),'Actual Dates'!#REF!,"")</f>
        <v>#REF!</v>
      </c>
      <c r="J408" s="73" t="e">
        <f t="shared" si="191"/>
        <v>#REF!</v>
      </c>
      <c r="K408" s="73" t="e">
        <f>IF(VLOOKUP(A408,'Actual Dates'!A4:AF559,26,),'Actual Dates'!#REF!,"")</f>
        <v>#REF!</v>
      </c>
      <c r="L408" s="73" t="e">
        <f>IF(VLOOKUP(A408,'Actual Dates'!A4:AF559,21,),'Actual Dates'!#REF!,"")</f>
        <v>#REF!</v>
      </c>
      <c r="M408" s="73" t="e">
        <f>'Date Calcs'!#REF!</f>
        <v>#REF!</v>
      </c>
      <c r="N408" s="73" t="e">
        <f>IF(VLOOKUP(A408,'Actual Dates'!A4:AF559,27,),'Actual Dates'!#REF!,"")</f>
        <v>#REF!</v>
      </c>
      <c r="O408" s="74" t="e">
        <f t="shared" si="192"/>
        <v>#REF!</v>
      </c>
      <c r="P408" s="75" t="e">
        <f t="shared" si="193"/>
        <v>#REF!</v>
      </c>
      <c r="Q408" s="75" t="e">
        <f t="shared" si="194"/>
        <v>#REF!</v>
      </c>
      <c r="R408" s="132"/>
      <c r="S408" s="133"/>
    </row>
    <row r="409" spans="1:19" x14ac:dyDescent="0.25">
      <c r="A409" s="70" t="e">
        <f>'Date Calcs'!#REF!</f>
        <v>#REF!</v>
      </c>
      <c r="B409" s="71" t="e">
        <f>'Date Calcs'!#REF!</f>
        <v>#REF!</v>
      </c>
      <c r="C409" s="72" t="e">
        <f>'Date Calcs'!#REF!</f>
        <v>#REF!</v>
      </c>
      <c r="D409" s="73" t="e">
        <f t="shared" si="189"/>
        <v>#REF!</v>
      </c>
      <c r="E409" s="66">
        <v>44432</v>
      </c>
      <c r="F409" s="73" t="e">
        <f>'Date Calcs'!#REF!</f>
        <v>#REF!</v>
      </c>
      <c r="G409" s="73" t="e">
        <f>IF(VLOOKUP(A409,'Actual Dates'!A4:AF537,8,),'Actual Dates'!#REF!,"")</f>
        <v>#REF!</v>
      </c>
      <c r="H409" s="73" t="e">
        <f t="shared" si="190"/>
        <v>#REF!</v>
      </c>
      <c r="I409" s="73" t="e">
        <f>IF(VLOOKUP(A409,'Actual Dates'!A4:AF532,25,),'Actual Dates'!#REF!,"")</f>
        <v>#REF!</v>
      </c>
      <c r="J409" s="73" t="e">
        <f t="shared" si="191"/>
        <v>#REF!</v>
      </c>
      <c r="K409" s="73" t="e">
        <f>IF(VLOOKUP(A409,'Actual Dates'!A4:AF560,26,),'Actual Dates'!#REF!,"")</f>
        <v>#REF!</v>
      </c>
      <c r="L409" s="73" t="e">
        <f>IF(VLOOKUP(A409,'Actual Dates'!A4:AF560,21,),'Actual Dates'!#REF!,"")</f>
        <v>#REF!</v>
      </c>
      <c r="M409" s="73" t="e">
        <f>'Date Calcs'!#REF!</f>
        <v>#REF!</v>
      </c>
      <c r="N409" s="73" t="e">
        <f>IF(VLOOKUP(A409,'Actual Dates'!A4:AF560,27,),'Actual Dates'!#REF!,"")</f>
        <v>#REF!</v>
      </c>
      <c r="O409" s="74" t="e">
        <f t="shared" si="192"/>
        <v>#REF!</v>
      </c>
      <c r="P409" s="75" t="e">
        <f t="shared" si="193"/>
        <v>#REF!</v>
      </c>
      <c r="Q409" s="75" t="e">
        <f t="shared" si="194"/>
        <v>#REF!</v>
      </c>
      <c r="R409" s="132"/>
      <c r="S409" s="133"/>
    </row>
    <row r="410" spans="1:19" x14ac:dyDescent="0.25">
      <c r="A410" s="70" t="e">
        <f>'Date Calcs'!#REF!</f>
        <v>#REF!</v>
      </c>
      <c r="B410" s="71" t="e">
        <f>'Date Calcs'!#REF!</f>
        <v>#REF!</v>
      </c>
      <c r="C410" s="72" t="e">
        <f>'Date Calcs'!#REF!</f>
        <v>#REF!</v>
      </c>
      <c r="D410" s="73" t="e">
        <f t="shared" si="189"/>
        <v>#REF!</v>
      </c>
      <c r="E410" s="66">
        <v>44433</v>
      </c>
      <c r="F410" s="73" t="e">
        <f>'Date Calcs'!#REF!</f>
        <v>#REF!</v>
      </c>
      <c r="G410" s="73" t="e">
        <f>IF(VLOOKUP(A410,'Actual Dates'!A4:AF538,8,),'Actual Dates'!#REF!,"")</f>
        <v>#REF!</v>
      </c>
      <c r="H410" s="73" t="e">
        <f t="shared" si="190"/>
        <v>#REF!</v>
      </c>
      <c r="I410" s="73" t="e">
        <f>IF(VLOOKUP(A410,'Actual Dates'!A4:AF533,25,),'Actual Dates'!#REF!,"")</f>
        <v>#REF!</v>
      </c>
      <c r="J410" s="73" t="e">
        <f t="shared" si="191"/>
        <v>#REF!</v>
      </c>
      <c r="K410" s="73" t="e">
        <f>IF(VLOOKUP(A410,'Actual Dates'!A4:AF561,26,),'Actual Dates'!#REF!,"")</f>
        <v>#REF!</v>
      </c>
      <c r="L410" s="73" t="e">
        <f>IF(VLOOKUP(A410,'Actual Dates'!A4:AF561,21,),'Actual Dates'!#REF!,"")</f>
        <v>#REF!</v>
      </c>
      <c r="M410" s="73" t="e">
        <f>'Date Calcs'!#REF!</f>
        <v>#REF!</v>
      </c>
      <c r="N410" s="73" t="e">
        <f>IF(VLOOKUP(A410,'Actual Dates'!A4:AF561,27,),'Actual Dates'!#REF!,"")</f>
        <v>#REF!</v>
      </c>
      <c r="O410" s="74" t="e">
        <f t="shared" si="192"/>
        <v>#REF!</v>
      </c>
      <c r="P410" s="75" t="e">
        <f t="shared" si="193"/>
        <v>#REF!</v>
      </c>
      <c r="Q410" s="75" t="e">
        <f t="shared" si="194"/>
        <v>#REF!</v>
      </c>
      <c r="R410" s="132"/>
      <c r="S410" s="133"/>
    </row>
    <row r="411" spans="1:19" x14ac:dyDescent="0.25">
      <c r="A411" s="70" t="e">
        <f>'Date Calcs'!#REF!</f>
        <v>#REF!</v>
      </c>
      <c r="B411" s="71" t="e">
        <f>'Date Calcs'!#REF!</f>
        <v>#REF!</v>
      </c>
      <c r="C411" s="72" t="e">
        <f>'Date Calcs'!#REF!</f>
        <v>#REF!</v>
      </c>
      <c r="D411" s="73" t="e">
        <f t="shared" si="189"/>
        <v>#REF!</v>
      </c>
      <c r="E411" s="66">
        <v>44434</v>
      </c>
      <c r="F411" s="73" t="e">
        <f>'Date Calcs'!#REF!</f>
        <v>#REF!</v>
      </c>
      <c r="G411" s="73" t="e">
        <f>IF(VLOOKUP(A411,'Actual Dates'!A4:AF539,8,),'Actual Dates'!#REF!,"")</f>
        <v>#REF!</v>
      </c>
      <c r="H411" s="73" t="e">
        <f t="shared" si="190"/>
        <v>#REF!</v>
      </c>
      <c r="I411" s="73" t="e">
        <f>IF(VLOOKUP(A411,'Actual Dates'!A4:AF534,25,),'Actual Dates'!#REF!,"")</f>
        <v>#REF!</v>
      </c>
      <c r="J411" s="73" t="e">
        <f t="shared" si="191"/>
        <v>#REF!</v>
      </c>
      <c r="K411" s="73" t="e">
        <f>IF(VLOOKUP(A411,'Actual Dates'!A4:AF562,26,),'Actual Dates'!#REF!,"")</f>
        <v>#REF!</v>
      </c>
      <c r="L411" s="73" t="e">
        <f>IF(VLOOKUP(A411,'Actual Dates'!A4:AF562,21,),'Actual Dates'!#REF!,"")</f>
        <v>#REF!</v>
      </c>
      <c r="M411" s="73" t="e">
        <f>'Date Calcs'!#REF!</f>
        <v>#REF!</v>
      </c>
      <c r="N411" s="73" t="e">
        <f>IF(VLOOKUP(A411,'Actual Dates'!A4:AF562,27,),'Actual Dates'!#REF!,"")</f>
        <v>#REF!</v>
      </c>
      <c r="O411" s="74" t="e">
        <f t="shared" si="192"/>
        <v>#REF!</v>
      </c>
      <c r="P411" s="75" t="e">
        <f t="shared" si="193"/>
        <v>#REF!</v>
      </c>
      <c r="Q411" s="75" t="e">
        <f t="shared" si="194"/>
        <v>#REF!</v>
      </c>
      <c r="R411" s="132"/>
      <c r="S411" s="133"/>
    </row>
    <row r="412" spans="1:19" x14ac:dyDescent="0.25">
      <c r="A412" s="70" t="e">
        <f>'Date Calcs'!#REF!</f>
        <v>#REF!</v>
      </c>
      <c r="B412" s="71" t="e">
        <f>'Date Calcs'!#REF!</f>
        <v>#REF!</v>
      </c>
      <c r="C412" s="72" t="e">
        <f>'Date Calcs'!#REF!</f>
        <v>#REF!</v>
      </c>
      <c r="D412" s="73" t="e">
        <f t="shared" si="189"/>
        <v>#REF!</v>
      </c>
      <c r="E412" s="66">
        <v>44435</v>
      </c>
      <c r="F412" s="73" t="e">
        <f>'Date Calcs'!#REF!</f>
        <v>#REF!</v>
      </c>
      <c r="G412" s="73" t="e">
        <f>IF(VLOOKUP(A412,'Actual Dates'!A4:AF540,8,),'Actual Dates'!#REF!,"")</f>
        <v>#REF!</v>
      </c>
      <c r="H412" s="73" t="e">
        <f t="shared" si="190"/>
        <v>#REF!</v>
      </c>
      <c r="I412" s="73" t="e">
        <f>IF(VLOOKUP(A412,'Actual Dates'!A4:AF535,25,),'Actual Dates'!#REF!,"")</f>
        <v>#REF!</v>
      </c>
      <c r="J412" s="73" t="e">
        <f t="shared" si="191"/>
        <v>#REF!</v>
      </c>
      <c r="K412" s="73" t="e">
        <f>IF(VLOOKUP(A412,'Actual Dates'!A4:AF563,26,),'Actual Dates'!#REF!,"")</f>
        <v>#REF!</v>
      </c>
      <c r="L412" s="73" t="e">
        <f>IF(VLOOKUP(A412,'Actual Dates'!A4:AF563,21,),'Actual Dates'!#REF!,"")</f>
        <v>#REF!</v>
      </c>
      <c r="M412" s="73" t="e">
        <f>'Date Calcs'!#REF!</f>
        <v>#REF!</v>
      </c>
      <c r="N412" s="73" t="e">
        <f>IF(VLOOKUP(A412,'Actual Dates'!A4:AF563,27,),'Actual Dates'!#REF!,"")</f>
        <v>#REF!</v>
      </c>
      <c r="O412" s="74" t="e">
        <f t="shared" si="192"/>
        <v>#REF!</v>
      </c>
      <c r="P412" s="75" t="e">
        <f t="shared" si="193"/>
        <v>#REF!</v>
      </c>
      <c r="Q412" s="75" t="e">
        <f t="shared" si="194"/>
        <v>#REF!</v>
      </c>
      <c r="R412" s="132"/>
      <c r="S412" s="133"/>
    </row>
    <row r="413" spans="1:19" x14ac:dyDescent="0.25">
      <c r="A413" s="70" t="e">
        <f>'Date Calcs'!#REF!</f>
        <v>#REF!</v>
      </c>
      <c r="B413" s="71" t="e">
        <f>'Date Calcs'!#REF!</f>
        <v>#REF!</v>
      </c>
      <c r="C413" s="72" t="e">
        <f>'Date Calcs'!#REF!</f>
        <v>#REF!</v>
      </c>
      <c r="D413" s="73" t="e">
        <f t="shared" si="189"/>
        <v>#REF!</v>
      </c>
      <c r="E413" s="66">
        <v>44436</v>
      </c>
      <c r="F413" s="73" t="e">
        <f>'Date Calcs'!#REF!</f>
        <v>#REF!</v>
      </c>
      <c r="G413" s="73" t="e">
        <f>IF(VLOOKUP(A413,'Actual Dates'!A4:AF541,8,),'Actual Dates'!#REF!,"")</f>
        <v>#REF!</v>
      </c>
      <c r="H413" s="73" t="e">
        <f t="shared" si="190"/>
        <v>#REF!</v>
      </c>
      <c r="I413" s="73" t="e">
        <f>IF(VLOOKUP(A413,'Actual Dates'!A4:AF536,25,),'Actual Dates'!#REF!,"")</f>
        <v>#REF!</v>
      </c>
      <c r="J413" s="73" t="e">
        <f t="shared" si="191"/>
        <v>#REF!</v>
      </c>
      <c r="K413" s="73" t="e">
        <f>IF(VLOOKUP(A413,'Actual Dates'!A4:AF564,26,),'Actual Dates'!#REF!,"")</f>
        <v>#REF!</v>
      </c>
      <c r="L413" s="73" t="e">
        <f>IF(VLOOKUP(A413,'Actual Dates'!A4:AF564,21,),'Actual Dates'!#REF!,"")</f>
        <v>#REF!</v>
      </c>
      <c r="M413" s="73" t="e">
        <f>'Date Calcs'!#REF!</f>
        <v>#REF!</v>
      </c>
      <c r="N413" s="73" t="e">
        <f>IF(VLOOKUP(A413,'Actual Dates'!A4:AF564,27,),'Actual Dates'!#REF!,"")</f>
        <v>#REF!</v>
      </c>
      <c r="O413" s="74" t="e">
        <f t="shared" si="192"/>
        <v>#REF!</v>
      </c>
      <c r="P413" s="75" t="e">
        <f t="shared" si="193"/>
        <v>#REF!</v>
      </c>
      <c r="Q413" s="75" t="e">
        <f t="shared" si="194"/>
        <v>#REF!</v>
      </c>
      <c r="R413" s="132"/>
      <c r="S413" s="133"/>
    </row>
    <row r="414" spans="1:19" x14ac:dyDescent="0.25">
      <c r="A414" s="70" t="e">
        <f>'Date Calcs'!#REF!</f>
        <v>#REF!</v>
      </c>
      <c r="B414" s="71" t="e">
        <f>'Date Calcs'!#REF!</f>
        <v>#REF!</v>
      </c>
      <c r="C414" s="72" t="e">
        <f>'Date Calcs'!#REF!</f>
        <v>#REF!</v>
      </c>
      <c r="D414" s="73" t="e">
        <f t="shared" si="189"/>
        <v>#REF!</v>
      </c>
      <c r="E414" s="66">
        <v>44437</v>
      </c>
      <c r="F414" s="73" t="e">
        <f>'Date Calcs'!#REF!</f>
        <v>#REF!</v>
      </c>
      <c r="G414" s="73" t="e">
        <f>IF(VLOOKUP(A414,'Actual Dates'!A4:AF542,8,),'Actual Dates'!#REF!,"")</f>
        <v>#REF!</v>
      </c>
      <c r="H414" s="73" t="e">
        <f t="shared" si="190"/>
        <v>#REF!</v>
      </c>
      <c r="I414" s="73" t="e">
        <f>IF(VLOOKUP(A414,'Actual Dates'!A4:AF537,25,),'Actual Dates'!#REF!,"")</f>
        <v>#REF!</v>
      </c>
      <c r="J414" s="73" t="e">
        <f t="shared" si="191"/>
        <v>#REF!</v>
      </c>
      <c r="K414" s="73" t="e">
        <f>IF(VLOOKUP(A414,'Actual Dates'!A4:AF565,26,),'Actual Dates'!#REF!,"")</f>
        <v>#REF!</v>
      </c>
      <c r="L414" s="73" t="e">
        <f>IF(VLOOKUP(A414,'Actual Dates'!A4:AF565,21,),'Actual Dates'!#REF!,"")</f>
        <v>#REF!</v>
      </c>
      <c r="M414" s="73" t="e">
        <f>'Date Calcs'!#REF!</f>
        <v>#REF!</v>
      </c>
      <c r="N414" s="73" t="e">
        <f>IF(VLOOKUP(A414,'Actual Dates'!A4:AF565,27,),'Actual Dates'!#REF!,"")</f>
        <v>#REF!</v>
      </c>
      <c r="O414" s="74" t="e">
        <f t="shared" si="192"/>
        <v>#REF!</v>
      </c>
      <c r="P414" s="75" t="e">
        <f t="shared" si="193"/>
        <v>#REF!</v>
      </c>
      <c r="Q414" s="75" t="e">
        <f t="shared" si="194"/>
        <v>#REF!</v>
      </c>
      <c r="R414" s="132"/>
      <c r="S414" s="133"/>
    </row>
    <row r="415" spans="1:19" x14ac:dyDescent="0.25">
      <c r="A415" s="70" t="e">
        <f>'Date Calcs'!#REF!</f>
        <v>#REF!</v>
      </c>
      <c r="B415" s="71" t="e">
        <f>'Date Calcs'!#REF!</f>
        <v>#REF!</v>
      </c>
      <c r="C415" s="72" t="e">
        <f>'Date Calcs'!#REF!</f>
        <v>#REF!</v>
      </c>
      <c r="D415" s="73" t="e">
        <f t="shared" si="189"/>
        <v>#REF!</v>
      </c>
      <c r="E415" s="66">
        <v>44438</v>
      </c>
      <c r="F415" s="73" t="e">
        <f>'Date Calcs'!#REF!</f>
        <v>#REF!</v>
      </c>
      <c r="G415" s="73" t="e">
        <f>IF(VLOOKUP(A415,'Actual Dates'!A4:AF543,8,),'Actual Dates'!#REF!,"")</f>
        <v>#REF!</v>
      </c>
      <c r="H415" s="73" t="e">
        <f t="shared" si="190"/>
        <v>#REF!</v>
      </c>
      <c r="I415" s="73" t="e">
        <f>IF(VLOOKUP(A415,'Actual Dates'!A4:AF538,25,),'Actual Dates'!#REF!,"")</f>
        <v>#REF!</v>
      </c>
      <c r="J415" s="73" t="e">
        <f t="shared" si="191"/>
        <v>#REF!</v>
      </c>
      <c r="K415" s="73" t="e">
        <f>IF(VLOOKUP(A415,'Actual Dates'!A4:AF566,26,),'Actual Dates'!#REF!,"")</f>
        <v>#REF!</v>
      </c>
      <c r="L415" s="73" t="e">
        <f>IF(VLOOKUP(A415,'Actual Dates'!A4:AF566,21,),'Actual Dates'!#REF!,"")</f>
        <v>#REF!</v>
      </c>
      <c r="M415" s="73" t="e">
        <f>'Date Calcs'!#REF!</f>
        <v>#REF!</v>
      </c>
      <c r="N415" s="73" t="e">
        <f>IF(VLOOKUP(A415,'Actual Dates'!A4:AF566,27,),'Actual Dates'!#REF!,"")</f>
        <v>#REF!</v>
      </c>
      <c r="O415" s="74" t="e">
        <f t="shared" si="192"/>
        <v>#REF!</v>
      </c>
      <c r="P415" s="75" t="e">
        <f t="shared" si="193"/>
        <v>#REF!</v>
      </c>
      <c r="Q415" s="75" t="e">
        <f t="shared" si="194"/>
        <v>#REF!</v>
      </c>
      <c r="R415" s="132"/>
      <c r="S415" s="133"/>
    </row>
    <row r="416" spans="1:19" x14ac:dyDescent="0.25">
      <c r="A416" s="70" t="e">
        <f>'Date Calcs'!#REF!</f>
        <v>#REF!</v>
      </c>
      <c r="B416" s="71" t="e">
        <f>'Date Calcs'!#REF!</f>
        <v>#REF!</v>
      </c>
      <c r="C416" s="72" t="e">
        <f>'Date Calcs'!#REF!</f>
        <v>#REF!</v>
      </c>
      <c r="D416" s="73" t="e">
        <f t="shared" si="189"/>
        <v>#REF!</v>
      </c>
      <c r="E416" s="66">
        <v>44439</v>
      </c>
      <c r="F416" s="73" t="e">
        <f>'Date Calcs'!#REF!</f>
        <v>#REF!</v>
      </c>
      <c r="G416" s="73" t="e">
        <f>IF(VLOOKUP(A416,'Actual Dates'!A4:AF544,8,),'Actual Dates'!#REF!,"")</f>
        <v>#REF!</v>
      </c>
      <c r="H416" s="73" t="e">
        <f t="shared" si="190"/>
        <v>#REF!</v>
      </c>
      <c r="I416" s="73" t="e">
        <f>IF(VLOOKUP(A416,'Actual Dates'!A4:AF539,25,),'Actual Dates'!#REF!,"")</f>
        <v>#REF!</v>
      </c>
      <c r="J416" s="73" t="e">
        <f t="shared" si="191"/>
        <v>#REF!</v>
      </c>
      <c r="K416" s="73" t="e">
        <f>IF(VLOOKUP(A416,'Actual Dates'!A4:AF567,26,),'Actual Dates'!#REF!,"")</f>
        <v>#REF!</v>
      </c>
      <c r="L416" s="73" t="e">
        <f>IF(VLOOKUP(A416,'Actual Dates'!A4:AF567,21,),'Actual Dates'!#REF!,"")</f>
        <v>#REF!</v>
      </c>
      <c r="M416" s="73" t="e">
        <f>'Date Calcs'!#REF!</f>
        <v>#REF!</v>
      </c>
      <c r="N416" s="73" t="e">
        <f>IF(VLOOKUP(A416,'Actual Dates'!A4:AF567,27,),'Actual Dates'!#REF!,"")</f>
        <v>#REF!</v>
      </c>
      <c r="O416" s="74" t="e">
        <f t="shared" si="192"/>
        <v>#REF!</v>
      </c>
      <c r="P416" s="75" t="e">
        <f t="shared" si="193"/>
        <v>#REF!</v>
      </c>
      <c r="Q416" s="75" t="e">
        <f t="shared" si="194"/>
        <v>#REF!</v>
      </c>
      <c r="R416" s="132"/>
      <c r="S416" s="133"/>
    </row>
    <row r="417" spans="1:19" x14ac:dyDescent="0.25">
      <c r="A417" s="70" t="e">
        <f>'Date Calcs'!#REF!</f>
        <v>#REF!</v>
      </c>
      <c r="B417" s="71" t="e">
        <f>'Date Calcs'!#REF!</f>
        <v>#REF!</v>
      </c>
      <c r="C417" s="72" t="e">
        <f>'Date Calcs'!#REF!</f>
        <v>#REF!</v>
      </c>
      <c r="D417" s="73" t="e">
        <f t="shared" si="189"/>
        <v>#REF!</v>
      </c>
      <c r="E417" s="66">
        <v>44440</v>
      </c>
      <c r="F417" s="73" t="e">
        <f>'Date Calcs'!#REF!</f>
        <v>#REF!</v>
      </c>
      <c r="G417" s="73" t="e">
        <f>IF(VLOOKUP(A417,'Actual Dates'!A4:AF545,8,),'Actual Dates'!#REF!,"")</f>
        <v>#REF!</v>
      </c>
      <c r="H417" s="73" t="e">
        <f t="shared" si="190"/>
        <v>#REF!</v>
      </c>
      <c r="I417" s="73" t="e">
        <f>IF(VLOOKUP(A417,'Actual Dates'!A4:AF540,25,),'Actual Dates'!#REF!,"")</f>
        <v>#REF!</v>
      </c>
      <c r="J417" s="73" t="e">
        <f t="shared" si="191"/>
        <v>#REF!</v>
      </c>
      <c r="K417" s="73" t="e">
        <f>IF(VLOOKUP(A417,'Actual Dates'!A4:AF568,26,),'Actual Dates'!#REF!,"")</f>
        <v>#REF!</v>
      </c>
      <c r="L417" s="73" t="e">
        <f>IF(VLOOKUP(A417,'Actual Dates'!A4:AF568,21,),'Actual Dates'!#REF!,"")</f>
        <v>#REF!</v>
      </c>
      <c r="M417" s="73" t="e">
        <f>'Date Calcs'!#REF!</f>
        <v>#REF!</v>
      </c>
      <c r="N417" s="73" t="e">
        <f>IF(VLOOKUP(A417,'Actual Dates'!A4:AF568,27,),'Actual Dates'!#REF!,"")</f>
        <v>#REF!</v>
      </c>
      <c r="O417" s="74" t="e">
        <f t="shared" si="192"/>
        <v>#REF!</v>
      </c>
      <c r="P417" s="75" t="e">
        <f t="shared" si="193"/>
        <v>#REF!</v>
      </c>
      <c r="Q417" s="75" t="e">
        <f t="shared" si="194"/>
        <v>#REF!</v>
      </c>
      <c r="R417" s="132"/>
      <c r="S417" s="133"/>
    </row>
    <row r="418" spans="1:19" x14ac:dyDescent="0.25">
      <c r="A418" s="70" t="e">
        <f>'Date Calcs'!#REF!</f>
        <v>#REF!</v>
      </c>
      <c r="B418" s="71" t="e">
        <f>'Date Calcs'!#REF!</f>
        <v>#REF!</v>
      </c>
      <c r="C418" s="72" t="e">
        <f>'Date Calcs'!#REF!</f>
        <v>#REF!</v>
      </c>
      <c r="D418" s="73" t="e">
        <f t="shared" si="189"/>
        <v>#REF!</v>
      </c>
      <c r="E418" s="66">
        <v>44441</v>
      </c>
      <c r="F418" s="73" t="e">
        <f>'Date Calcs'!#REF!</f>
        <v>#REF!</v>
      </c>
      <c r="G418" s="73" t="e">
        <f>IF(VLOOKUP(A418,'Actual Dates'!A4:AF546,8,),'Actual Dates'!#REF!,"")</f>
        <v>#REF!</v>
      </c>
      <c r="H418" s="73" t="e">
        <f t="shared" si="190"/>
        <v>#REF!</v>
      </c>
      <c r="I418" s="73" t="e">
        <f>IF(VLOOKUP(A418,'Actual Dates'!A4:AF541,25,),'Actual Dates'!#REF!,"")</f>
        <v>#REF!</v>
      </c>
      <c r="J418" s="73" t="e">
        <f t="shared" si="191"/>
        <v>#REF!</v>
      </c>
      <c r="K418" s="73" t="e">
        <f>IF(VLOOKUP(A418,'Actual Dates'!A4:AF569,26,),'Actual Dates'!#REF!,"")</f>
        <v>#REF!</v>
      </c>
      <c r="L418" s="73" t="e">
        <f>IF(VLOOKUP(A418,'Actual Dates'!A4:AF569,21,),'Actual Dates'!#REF!,"")</f>
        <v>#REF!</v>
      </c>
      <c r="M418" s="73" t="e">
        <f>'Date Calcs'!#REF!</f>
        <v>#REF!</v>
      </c>
      <c r="N418" s="73" t="e">
        <f>IF(VLOOKUP(A418,'Actual Dates'!A4:AF569,27,),'Actual Dates'!#REF!,"")</f>
        <v>#REF!</v>
      </c>
      <c r="O418" s="74" t="e">
        <f t="shared" si="192"/>
        <v>#REF!</v>
      </c>
      <c r="P418" s="75" t="e">
        <f t="shared" si="193"/>
        <v>#REF!</v>
      </c>
      <c r="Q418" s="75" t="e">
        <f t="shared" si="194"/>
        <v>#REF!</v>
      </c>
      <c r="R418" s="132"/>
      <c r="S418" s="133"/>
    </row>
    <row r="419" spans="1:19" x14ac:dyDescent="0.25">
      <c r="A419" s="70" t="e">
        <f>'Date Calcs'!#REF!</f>
        <v>#REF!</v>
      </c>
      <c r="B419" s="71" t="e">
        <f>'Date Calcs'!#REF!</f>
        <v>#REF!</v>
      </c>
      <c r="C419" s="72" t="e">
        <f>'Date Calcs'!#REF!</f>
        <v>#REF!</v>
      </c>
      <c r="D419" s="73" t="e">
        <f t="shared" si="189"/>
        <v>#REF!</v>
      </c>
      <c r="E419" s="66">
        <v>44442</v>
      </c>
      <c r="F419" s="73" t="e">
        <f>'Date Calcs'!#REF!</f>
        <v>#REF!</v>
      </c>
      <c r="G419" s="73" t="e">
        <f>IF(VLOOKUP(A419,'Actual Dates'!A4:AF547,8,),'Actual Dates'!#REF!,"")</f>
        <v>#REF!</v>
      </c>
      <c r="H419" s="73" t="e">
        <f t="shared" si="190"/>
        <v>#REF!</v>
      </c>
      <c r="I419" s="73" t="e">
        <f>IF(VLOOKUP(A419,'Actual Dates'!A4:AF542,25,),'Actual Dates'!#REF!,"")</f>
        <v>#REF!</v>
      </c>
      <c r="J419" s="73" t="e">
        <f t="shared" si="191"/>
        <v>#REF!</v>
      </c>
      <c r="K419" s="73" t="e">
        <f>IF(VLOOKUP(A419,'Actual Dates'!A4:AF570,26,),'Actual Dates'!#REF!,"")</f>
        <v>#REF!</v>
      </c>
      <c r="L419" s="73" t="e">
        <f>IF(VLOOKUP(A419,'Actual Dates'!A4:AF570,21,),'Actual Dates'!#REF!,"")</f>
        <v>#REF!</v>
      </c>
      <c r="M419" s="73" t="e">
        <f>'Date Calcs'!#REF!</f>
        <v>#REF!</v>
      </c>
      <c r="N419" s="73" t="e">
        <f>IF(VLOOKUP(A419,'Actual Dates'!A4:AF570,27,),'Actual Dates'!#REF!,"")</f>
        <v>#REF!</v>
      </c>
      <c r="O419" s="74" t="e">
        <f t="shared" si="192"/>
        <v>#REF!</v>
      </c>
      <c r="P419" s="75" t="e">
        <f t="shared" si="193"/>
        <v>#REF!</v>
      </c>
      <c r="Q419" s="75" t="e">
        <f t="shared" si="194"/>
        <v>#REF!</v>
      </c>
      <c r="R419" s="132"/>
      <c r="S419" s="133"/>
    </row>
    <row r="420" spans="1:19" x14ac:dyDescent="0.25">
      <c r="A420" s="70" t="e">
        <f>'Date Calcs'!#REF!</f>
        <v>#REF!</v>
      </c>
      <c r="B420" s="71" t="e">
        <f>'Date Calcs'!#REF!</f>
        <v>#REF!</v>
      </c>
      <c r="C420" s="72" t="e">
        <f>'Date Calcs'!#REF!</f>
        <v>#REF!</v>
      </c>
      <c r="D420" s="73" t="e">
        <f t="shared" si="189"/>
        <v>#REF!</v>
      </c>
      <c r="E420" s="66">
        <v>44443</v>
      </c>
      <c r="F420" s="73" t="e">
        <f>'Date Calcs'!#REF!</f>
        <v>#REF!</v>
      </c>
      <c r="G420" s="73" t="e">
        <f>IF(VLOOKUP(A420,'Actual Dates'!A4:AF548,8,),'Actual Dates'!#REF!,"")</f>
        <v>#REF!</v>
      </c>
      <c r="H420" s="73" t="e">
        <f t="shared" si="190"/>
        <v>#REF!</v>
      </c>
      <c r="I420" s="73" t="e">
        <f>IF(VLOOKUP(A420,'Actual Dates'!A4:AF543,25,),'Actual Dates'!#REF!,"")</f>
        <v>#REF!</v>
      </c>
      <c r="J420" s="73" t="e">
        <f t="shared" si="191"/>
        <v>#REF!</v>
      </c>
      <c r="K420" s="73" t="e">
        <f>IF(VLOOKUP(A420,'Actual Dates'!A4:AF571,26,),'Actual Dates'!#REF!,"")</f>
        <v>#REF!</v>
      </c>
      <c r="L420" s="73" t="e">
        <f>IF(VLOOKUP(A420,'Actual Dates'!A4:AF571,21,),'Actual Dates'!#REF!,"")</f>
        <v>#REF!</v>
      </c>
      <c r="M420" s="73" t="e">
        <f>'Date Calcs'!#REF!</f>
        <v>#REF!</v>
      </c>
      <c r="N420" s="73" t="e">
        <f>IF(VLOOKUP(A420,'Actual Dates'!A4:AF571,27,),'Actual Dates'!#REF!,"")</f>
        <v>#REF!</v>
      </c>
      <c r="O420" s="74" t="e">
        <f t="shared" si="192"/>
        <v>#REF!</v>
      </c>
      <c r="P420" s="75" t="e">
        <f t="shared" si="193"/>
        <v>#REF!</v>
      </c>
      <c r="Q420" s="75" t="e">
        <f t="shared" si="194"/>
        <v>#REF!</v>
      </c>
      <c r="R420" s="132"/>
      <c r="S420" s="133"/>
    </row>
    <row r="421" spans="1:19" x14ac:dyDescent="0.25">
      <c r="A421" s="70" t="e">
        <f>'Date Calcs'!#REF!</f>
        <v>#REF!</v>
      </c>
      <c r="B421" s="71" t="e">
        <f>'Date Calcs'!#REF!</f>
        <v>#REF!</v>
      </c>
      <c r="C421" s="72" t="e">
        <f>'Date Calcs'!#REF!</f>
        <v>#REF!</v>
      </c>
      <c r="D421" s="73" t="e">
        <f t="shared" si="189"/>
        <v>#REF!</v>
      </c>
      <c r="E421" s="66">
        <v>44444</v>
      </c>
      <c r="F421" s="73" t="e">
        <f>'Date Calcs'!#REF!</f>
        <v>#REF!</v>
      </c>
      <c r="G421" s="73" t="e">
        <f>IF(VLOOKUP(A421,'Actual Dates'!A4:AF549,8,),'Actual Dates'!#REF!,"")</f>
        <v>#REF!</v>
      </c>
      <c r="H421" s="73" t="e">
        <f t="shared" si="190"/>
        <v>#REF!</v>
      </c>
      <c r="I421" s="73" t="e">
        <f>IF(VLOOKUP(A421,'Actual Dates'!A4:AF544,25,),'Actual Dates'!#REF!,"")</f>
        <v>#REF!</v>
      </c>
      <c r="J421" s="73" t="e">
        <f t="shared" si="191"/>
        <v>#REF!</v>
      </c>
      <c r="K421" s="73" t="e">
        <f>IF(VLOOKUP(A421,'Actual Dates'!A4:AF572,26,),'Actual Dates'!#REF!,"")</f>
        <v>#REF!</v>
      </c>
      <c r="L421" s="73" t="e">
        <f>IF(VLOOKUP(A421,'Actual Dates'!A4:AF572,21,),'Actual Dates'!#REF!,"")</f>
        <v>#REF!</v>
      </c>
      <c r="M421" s="73" t="e">
        <f>'Date Calcs'!#REF!</f>
        <v>#REF!</v>
      </c>
      <c r="N421" s="73" t="e">
        <f>IF(VLOOKUP(A421,'Actual Dates'!A4:AF572,27,),'Actual Dates'!#REF!,"")</f>
        <v>#REF!</v>
      </c>
      <c r="O421" s="74" t="e">
        <f t="shared" si="192"/>
        <v>#REF!</v>
      </c>
      <c r="P421" s="75" t="e">
        <f t="shared" si="193"/>
        <v>#REF!</v>
      </c>
      <c r="Q421" s="75" t="e">
        <f t="shared" si="194"/>
        <v>#REF!</v>
      </c>
      <c r="R421" s="132"/>
      <c r="S421" s="133"/>
    </row>
    <row r="422" spans="1:19" x14ac:dyDescent="0.25">
      <c r="A422" s="70" t="e">
        <f>'Date Calcs'!#REF!</f>
        <v>#REF!</v>
      </c>
      <c r="B422" s="71" t="e">
        <f>'Date Calcs'!#REF!</f>
        <v>#REF!</v>
      </c>
      <c r="C422" s="72" t="e">
        <f>'Date Calcs'!#REF!</f>
        <v>#REF!</v>
      </c>
      <c r="D422" s="73" t="e">
        <f t="shared" si="189"/>
        <v>#REF!</v>
      </c>
      <c r="E422" s="66">
        <v>44445</v>
      </c>
      <c r="F422" s="73" t="e">
        <f>'Date Calcs'!#REF!</f>
        <v>#REF!</v>
      </c>
      <c r="G422" s="73" t="e">
        <f>IF(VLOOKUP(A422,'Actual Dates'!A4:AF550,8,),'Actual Dates'!#REF!,"")</f>
        <v>#REF!</v>
      </c>
      <c r="H422" s="73" t="e">
        <f t="shared" si="190"/>
        <v>#REF!</v>
      </c>
      <c r="I422" s="73" t="e">
        <f>IF(VLOOKUP(A422,'Actual Dates'!A4:AF545,25,),'Actual Dates'!#REF!,"")</f>
        <v>#REF!</v>
      </c>
      <c r="J422" s="73" t="e">
        <f t="shared" si="191"/>
        <v>#REF!</v>
      </c>
      <c r="K422" s="73" t="e">
        <f>IF(VLOOKUP(A422,'Actual Dates'!A4:AF573,26,),'Actual Dates'!#REF!,"")</f>
        <v>#REF!</v>
      </c>
      <c r="L422" s="73" t="e">
        <f>IF(VLOOKUP(A422,'Actual Dates'!A4:AF573,21,),'Actual Dates'!#REF!,"")</f>
        <v>#REF!</v>
      </c>
      <c r="M422" s="73" t="e">
        <f>'Date Calcs'!#REF!</f>
        <v>#REF!</v>
      </c>
      <c r="N422" s="73" t="e">
        <f>IF(VLOOKUP(A422,'Actual Dates'!A4:AF573,27,),'Actual Dates'!#REF!,"")</f>
        <v>#REF!</v>
      </c>
      <c r="O422" s="74" t="e">
        <f t="shared" si="192"/>
        <v>#REF!</v>
      </c>
      <c r="P422" s="75" t="e">
        <f t="shared" si="193"/>
        <v>#REF!</v>
      </c>
      <c r="Q422" s="75" t="e">
        <f t="shared" si="194"/>
        <v>#REF!</v>
      </c>
      <c r="R422" s="132"/>
      <c r="S422" s="133"/>
    </row>
    <row r="423" spans="1:19" x14ac:dyDescent="0.25">
      <c r="A423" s="70" t="e">
        <f>'Date Calcs'!#REF!</f>
        <v>#REF!</v>
      </c>
      <c r="B423" s="71" t="e">
        <f>'Date Calcs'!#REF!</f>
        <v>#REF!</v>
      </c>
      <c r="C423" s="72" t="e">
        <f>'Date Calcs'!#REF!</f>
        <v>#REF!</v>
      </c>
      <c r="D423" s="73" t="e">
        <f t="shared" si="189"/>
        <v>#REF!</v>
      </c>
      <c r="E423" s="66">
        <v>44446</v>
      </c>
      <c r="F423" s="73" t="e">
        <f>'Date Calcs'!#REF!</f>
        <v>#REF!</v>
      </c>
      <c r="G423" s="73" t="e">
        <f>IF(VLOOKUP(A423,'Actual Dates'!A4:AF551,8,),'Actual Dates'!#REF!,"")</f>
        <v>#REF!</v>
      </c>
      <c r="H423" s="73" t="e">
        <f t="shared" si="190"/>
        <v>#REF!</v>
      </c>
      <c r="I423" s="73" t="e">
        <f>IF(VLOOKUP(A423,'Actual Dates'!A4:AF546,25,),'Actual Dates'!#REF!,"")</f>
        <v>#REF!</v>
      </c>
      <c r="J423" s="73" t="e">
        <f t="shared" si="191"/>
        <v>#REF!</v>
      </c>
      <c r="K423" s="73" t="e">
        <f>IF(VLOOKUP(A423,'Actual Dates'!A4:AF574,26,),'Actual Dates'!#REF!,"")</f>
        <v>#REF!</v>
      </c>
      <c r="L423" s="73" t="e">
        <f>IF(VLOOKUP(A423,'Actual Dates'!A4:AF574,21,),'Actual Dates'!#REF!,"")</f>
        <v>#REF!</v>
      </c>
      <c r="M423" s="73" t="e">
        <f>'Date Calcs'!#REF!</f>
        <v>#REF!</v>
      </c>
      <c r="N423" s="73" t="e">
        <f>IF(VLOOKUP(A423,'Actual Dates'!A4:AF574,27,),'Actual Dates'!#REF!,"")</f>
        <v>#REF!</v>
      </c>
      <c r="O423" s="74" t="e">
        <f t="shared" si="192"/>
        <v>#REF!</v>
      </c>
      <c r="P423" s="75" t="e">
        <f t="shared" si="193"/>
        <v>#REF!</v>
      </c>
      <c r="Q423" s="75" t="e">
        <f t="shared" si="194"/>
        <v>#REF!</v>
      </c>
      <c r="R423" s="132"/>
      <c r="S423" s="133"/>
    </row>
    <row r="424" spans="1:19" x14ac:dyDescent="0.25">
      <c r="A424" s="70" t="e">
        <f>'Date Calcs'!#REF!</f>
        <v>#REF!</v>
      </c>
      <c r="B424" s="71" t="e">
        <f>'Date Calcs'!#REF!</f>
        <v>#REF!</v>
      </c>
      <c r="C424" s="72" t="e">
        <f>'Date Calcs'!#REF!</f>
        <v>#REF!</v>
      </c>
      <c r="D424" s="73" t="e">
        <f t="shared" si="189"/>
        <v>#REF!</v>
      </c>
      <c r="E424" s="66">
        <v>44447</v>
      </c>
      <c r="F424" s="73" t="e">
        <f>'Date Calcs'!#REF!</f>
        <v>#REF!</v>
      </c>
      <c r="G424" s="73" t="e">
        <f>IF(VLOOKUP(A424,'Actual Dates'!A4:AF552,8,),'Actual Dates'!#REF!,"")</f>
        <v>#REF!</v>
      </c>
      <c r="H424" s="73" t="e">
        <f t="shared" si="190"/>
        <v>#REF!</v>
      </c>
      <c r="I424" s="73" t="e">
        <f>IF(VLOOKUP(A424,'Actual Dates'!A4:AF547,25,),'Actual Dates'!#REF!,"")</f>
        <v>#REF!</v>
      </c>
      <c r="J424" s="73" t="e">
        <f t="shared" si="191"/>
        <v>#REF!</v>
      </c>
      <c r="K424" s="73" t="e">
        <f>IF(VLOOKUP(A424,'Actual Dates'!A4:AF575,26,),'Actual Dates'!#REF!,"")</f>
        <v>#REF!</v>
      </c>
      <c r="L424" s="73" t="e">
        <f>IF(VLOOKUP(A424,'Actual Dates'!A4:AF575,21,),'Actual Dates'!#REF!,"")</f>
        <v>#REF!</v>
      </c>
      <c r="M424" s="73" t="e">
        <f>'Date Calcs'!#REF!</f>
        <v>#REF!</v>
      </c>
      <c r="N424" s="73" t="e">
        <f>IF(VLOOKUP(A424,'Actual Dates'!A4:AF575,27,),'Actual Dates'!#REF!,"")</f>
        <v>#REF!</v>
      </c>
      <c r="O424" s="74" t="e">
        <f t="shared" si="192"/>
        <v>#REF!</v>
      </c>
      <c r="P424" s="75" t="e">
        <f t="shared" si="193"/>
        <v>#REF!</v>
      </c>
      <c r="Q424" s="75" t="e">
        <f t="shared" si="194"/>
        <v>#REF!</v>
      </c>
      <c r="R424" s="132"/>
      <c r="S424" s="133"/>
    </row>
    <row r="425" spans="1:19" x14ac:dyDescent="0.25">
      <c r="A425" s="70" t="e">
        <f>'Date Calcs'!#REF!</f>
        <v>#REF!</v>
      </c>
      <c r="B425" s="71" t="e">
        <f>'Date Calcs'!#REF!</f>
        <v>#REF!</v>
      </c>
      <c r="C425" s="72" t="e">
        <f>'Date Calcs'!#REF!</f>
        <v>#REF!</v>
      </c>
      <c r="D425" s="73" t="e">
        <f t="shared" si="189"/>
        <v>#REF!</v>
      </c>
      <c r="E425" s="66">
        <v>44448</v>
      </c>
      <c r="F425" s="73" t="e">
        <f>'Date Calcs'!#REF!</f>
        <v>#REF!</v>
      </c>
      <c r="G425" s="73" t="e">
        <f>IF(VLOOKUP(A425,'Actual Dates'!A4:AF553,8,),'Actual Dates'!#REF!,"")</f>
        <v>#REF!</v>
      </c>
      <c r="H425" s="73" t="e">
        <f t="shared" si="190"/>
        <v>#REF!</v>
      </c>
      <c r="I425" s="73" t="e">
        <f>IF(VLOOKUP(A425,'Actual Dates'!A4:AF548,25,),'Actual Dates'!#REF!,"")</f>
        <v>#REF!</v>
      </c>
      <c r="J425" s="73" t="e">
        <f t="shared" si="191"/>
        <v>#REF!</v>
      </c>
      <c r="K425" s="73" t="e">
        <f>IF(VLOOKUP(A425,'Actual Dates'!A4:AF576,26,),'Actual Dates'!#REF!,"")</f>
        <v>#REF!</v>
      </c>
      <c r="L425" s="73" t="e">
        <f>IF(VLOOKUP(A425,'Actual Dates'!A4:AF576,21,),'Actual Dates'!#REF!,"")</f>
        <v>#REF!</v>
      </c>
      <c r="M425" s="73" t="e">
        <f>'Date Calcs'!#REF!</f>
        <v>#REF!</v>
      </c>
      <c r="N425" s="73" t="e">
        <f>IF(VLOOKUP(A425,'Actual Dates'!A4:AF576,27,),'Actual Dates'!#REF!,"")</f>
        <v>#REF!</v>
      </c>
      <c r="O425" s="74" t="e">
        <f t="shared" si="192"/>
        <v>#REF!</v>
      </c>
      <c r="P425" s="75" t="e">
        <f t="shared" si="193"/>
        <v>#REF!</v>
      </c>
      <c r="Q425" s="75" t="e">
        <f t="shared" si="194"/>
        <v>#REF!</v>
      </c>
      <c r="R425" s="132"/>
      <c r="S425" s="133"/>
    </row>
    <row r="426" spans="1:19" x14ac:dyDescent="0.25">
      <c r="A426" s="70" t="e">
        <f>'Date Calcs'!#REF!</f>
        <v>#REF!</v>
      </c>
      <c r="B426" s="71" t="e">
        <f>'Date Calcs'!#REF!</f>
        <v>#REF!</v>
      </c>
      <c r="C426" s="72" t="e">
        <f>'Date Calcs'!#REF!</f>
        <v>#REF!</v>
      </c>
      <c r="D426" s="73" t="e">
        <f t="shared" si="189"/>
        <v>#REF!</v>
      </c>
      <c r="E426" s="66">
        <v>44449</v>
      </c>
      <c r="F426" s="73" t="e">
        <f>'Date Calcs'!#REF!</f>
        <v>#REF!</v>
      </c>
      <c r="G426" s="73" t="e">
        <f>IF(VLOOKUP(A426,'Actual Dates'!A4:AF554,8,),'Actual Dates'!#REF!,"")</f>
        <v>#REF!</v>
      </c>
      <c r="H426" s="73" t="e">
        <f t="shared" si="190"/>
        <v>#REF!</v>
      </c>
      <c r="I426" s="73" t="e">
        <f>IF(VLOOKUP(A426,'Actual Dates'!A4:AF549,25,),'Actual Dates'!#REF!,"")</f>
        <v>#REF!</v>
      </c>
      <c r="J426" s="73" t="e">
        <f t="shared" si="191"/>
        <v>#REF!</v>
      </c>
      <c r="K426" s="73" t="e">
        <f>IF(VLOOKUP(A426,'Actual Dates'!A4:AF577,26,),'Actual Dates'!#REF!,"")</f>
        <v>#REF!</v>
      </c>
      <c r="L426" s="73" t="e">
        <f>IF(VLOOKUP(A426,'Actual Dates'!A4:AF577,21,),'Actual Dates'!#REF!,"")</f>
        <v>#REF!</v>
      </c>
      <c r="M426" s="73" t="e">
        <f>'Date Calcs'!#REF!</f>
        <v>#REF!</v>
      </c>
      <c r="N426" s="73" t="e">
        <f>IF(VLOOKUP(A426,'Actual Dates'!A4:AF577,27,),'Actual Dates'!#REF!,"")</f>
        <v>#REF!</v>
      </c>
      <c r="O426" s="74" t="e">
        <f t="shared" si="192"/>
        <v>#REF!</v>
      </c>
      <c r="P426" s="75" t="e">
        <f t="shared" si="193"/>
        <v>#REF!</v>
      </c>
      <c r="Q426" s="75" t="e">
        <f t="shared" si="194"/>
        <v>#REF!</v>
      </c>
      <c r="R426" s="132"/>
      <c r="S426" s="133"/>
    </row>
    <row r="427" spans="1:19" x14ac:dyDescent="0.25">
      <c r="A427" s="70" t="e">
        <f>'Date Calcs'!#REF!</f>
        <v>#REF!</v>
      </c>
      <c r="B427" s="71" t="e">
        <f>'Date Calcs'!#REF!</f>
        <v>#REF!</v>
      </c>
      <c r="C427" s="72" t="e">
        <f>'Date Calcs'!#REF!</f>
        <v>#REF!</v>
      </c>
      <c r="D427" s="73" t="e">
        <f t="shared" si="189"/>
        <v>#REF!</v>
      </c>
      <c r="E427" s="66">
        <v>44450</v>
      </c>
      <c r="F427" s="73" t="e">
        <f>'Date Calcs'!#REF!</f>
        <v>#REF!</v>
      </c>
      <c r="G427" s="73" t="e">
        <f>IF(VLOOKUP(A427,'Actual Dates'!A4:AF555,8,),'Actual Dates'!#REF!,"")</f>
        <v>#REF!</v>
      </c>
      <c r="H427" s="73" t="e">
        <f t="shared" si="190"/>
        <v>#REF!</v>
      </c>
      <c r="I427" s="73" t="e">
        <f>IF(VLOOKUP(A427,'Actual Dates'!A4:AF550,25,),'Actual Dates'!#REF!,"")</f>
        <v>#REF!</v>
      </c>
      <c r="J427" s="73" t="e">
        <f t="shared" si="191"/>
        <v>#REF!</v>
      </c>
      <c r="K427" s="73" t="e">
        <f>IF(VLOOKUP(A427,'Actual Dates'!A4:AF578,26,),'Actual Dates'!#REF!,"")</f>
        <v>#REF!</v>
      </c>
      <c r="L427" s="73" t="e">
        <f>IF(VLOOKUP(A427,'Actual Dates'!A4:AF578,21,),'Actual Dates'!#REF!,"")</f>
        <v>#REF!</v>
      </c>
      <c r="M427" s="73" t="e">
        <f>'Date Calcs'!#REF!</f>
        <v>#REF!</v>
      </c>
      <c r="N427" s="73" t="e">
        <f>IF(VLOOKUP(A427,'Actual Dates'!A4:AF578,27,),'Actual Dates'!#REF!,"")</f>
        <v>#REF!</v>
      </c>
      <c r="O427" s="74" t="e">
        <f t="shared" si="192"/>
        <v>#REF!</v>
      </c>
      <c r="P427" s="75" t="e">
        <f t="shared" si="193"/>
        <v>#REF!</v>
      </c>
      <c r="Q427" s="75" t="e">
        <f t="shared" si="194"/>
        <v>#REF!</v>
      </c>
      <c r="R427" s="132"/>
      <c r="S427" s="133"/>
    </row>
    <row r="428" spans="1:19" x14ac:dyDescent="0.25">
      <c r="A428" s="70" t="e">
        <f>'Date Calcs'!#REF!</f>
        <v>#REF!</v>
      </c>
      <c r="B428" s="71" t="e">
        <f>'Date Calcs'!#REF!</f>
        <v>#REF!</v>
      </c>
      <c r="C428" s="72" t="e">
        <f>'Date Calcs'!#REF!</f>
        <v>#REF!</v>
      </c>
      <c r="D428" s="73" t="e">
        <f t="shared" si="189"/>
        <v>#REF!</v>
      </c>
      <c r="E428" s="66">
        <v>44451</v>
      </c>
      <c r="F428" s="73" t="e">
        <f>'Date Calcs'!#REF!</f>
        <v>#REF!</v>
      </c>
      <c r="G428" s="73" t="e">
        <f>IF(VLOOKUP(A428,'Actual Dates'!A4:AF556,8,),'Actual Dates'!#REF!,"")</f>
        <v>#REF!</v>
      </c>
      <c r="H428" s="73" t="e">
        <f t="shared" si="190"/>
        <v>#REF!</v>
      </c>
      <c r="I428" s="73" t="e">
        <f>IF(VLOOKUP(A428,'Actual Dates'!A4:AF551,25,),'Actual Dates'!#REF!,"")</f>
        <v>#REF!</v>
      </c>
      <c r="J428" s="73" t="e">
        <f t="shared" si="191"/>
        <v>#REF!</v>
      </c>
      <c r="K428" s="73" t="e">
        <f>IF(VLOOKUP(A428,'Actual Dates'!A4:AF579,26,),'Actual Dates'!#REF!,"")</f>
        <v>#REF!</v>
      </c>
      <c r="L428" s="73" t="e">
        <f>IF(VLOOKUP(A428,'Actual Dates'!A4:AF579,21,),'Actual Dates'!#REF!,"")</f>
        <v>#REF!</v>
      </c>
      <c r="M428" s="73" t="e">
        <f>'Date Calcs'!#REF!</f>
        <v>#REF!</v>
      </c>
      <c r="N428" s="73" t="e">
        <f>IF(VLOOKUP(A428,'Actual Dates'!A4:AF579,27,),'Actual Dates'!#REF!,"")</f>
        <v>#REF!</v>
      </c>
      <c r="O428" s="74" t="e">
        <f t="shared" si="192"/>
        <v>#REF!</v>
      </c>
      <c r="P428" s="75" t="e">
        <f t="shared" si="193"/>
        <v>#REF!</v>
      </c>
      <c r="Q428" s="75" t="e">
        <f t="shared" si="194"/>
        <v>#REF!</v>
      </c>
      <c r="R428" s="132"/>
      <c r="S428" s="133"/>
    </row>
    <row r="429" spans="1:19" x14ac:dyDescent="0.25">
      <c r="A429" s="70" t="e">
        <f>'Date Calcs'!#REF!</f>
        <v>#REF!</v>
      </c>
      <c r="B429" s="71" t="e">
        <f>'Date Calcs'!#REF!</f>
        <v>#REF!</v>
      </c>
      <c r="C429" s="72" t="e">
        <f>'Date Calcs'!#REF!</f>
        <v>#REF!</v>
      </c>
      <c r="D429" s="73" t="e">
        <f t="shared" si="189"/>
        <v>#REF!</v>
      </c>
      <c r="E429" s="66">
        <v>44452</v>
      </c>
      <c r="F429" s="73" t="e">
        <f>'Date Calcs'!#REF!</f>
        <v>#REF!</v>
      </c>
      <c r="G429" s="73" t="e">
        <f>IF(VLOOKUP(A429,'Actual Dates'!A4:AF557,8,),'Actual Dates'!#REF!,"")</f>
        <v>#REF!</v>
      </c>
      <c r="H429" s="73" t="e">
        <f t="shared" si="190"/>
        <v>#REF!</v>
      </c>
      <c r="I429" s="73" t="e">
        <f>IF(VLOOKUP(A429,'Actual Dates'!A4:AF552,25,),'Actual Dates'!#REF!,"")</f>
        <v>#REF!</v>
      </c>
      <c r="J429" s="73" t="e">
        <f t="shared" si="191"/>
        <v>#REF!</v>
      </c>
      <c r="K429" s="73" t="e">
        <f>IF(VLOOKUP(A429,'Actual Dates'!A4:AF580,26,),'Actual Dates'!#REF!,"")</f>
        <v>#REF!</v>
      </c>
      <c r="L429" s="73" t="e">
        <f>IF(VLOOKUP(A429,'Actual Dates'!A4:AF580,21,),'Actual Dates'!#REF!,"")</f>
        <v>#REF!</v>
      </c>
      <c r="M429" s="73" t="e">
        <f>'Date Calcs'!#REF!</f>
        <v>#REF!</v>
      </c>
      <c r="N429" s="73" t="e">
        <f>IF(VLOOKUP(A429,'Actual Dates'!A4:AF580,27,),'Actual Dates'!#REF!,"")</f>
        <v>#REF!</v>
      </c>
      <c r="O429" s="74" t="e">
        <f t="shared" si="192"/>
        <v>#REF!</v>
      </c>
      <c r="P429" s="75" t="e">
        <f t="shared" si="193"/>
        <v>#REF!</v>
      </c>
      <c r="Q429" s="75" t="e">
        <f t="shared" si="194"/>
        <v>#REF!</v>
      </c>
      <c r="R429" s="132"/>
      <c r="S429" s="133"/>
    </row>
    <row r="430" spans="1:19" x14ac:dyDescent="0.25">
      <c r="A430" s="70" t="e">
        <f>'Date Calcs'!#REF!</f>
        <v>#REF!</v>
      </c>
      <c r="B430" s="71" t="e">
        <f>'Date Calcs'!#REF!</f>
        <v>#REF!</v>
      </c>
      <c r="C430" s="72" t="e">
        <f>'Date Calcs'!#REF!</f>
        <v>#REF!</v>
      </c>
      <c r="D430" s="73" t="e">
        <f t="shared" si="189"/>
        <v>#REF!</v>
      </c>
      <c r="E430" s="66">
        <v>44453</v>
      </c>
      <c r="F430" s="73" t="e">
        <f>'Date Calcs'!#REF!</f>
        <v>#REF!</v>
      </c>
      <c r="G430" s="73" t="e">
        <f>IF(VLOOKUP(A430,'Actual Dates'!A4:AF558,8,),'Actual Dates'!#REF!,"")</f>
        <v>#REF!</v>
      </c>
      <c r="H430" s="73" t="e">
        <f t="shared" si="190"/>
        <v>#REF!</v>
      </c>
      <c r="I430" s="73" t="e">
        <f>IF(VLOOKUP(A430,'Actual Dates'!A4:AF553,25,),'Actual Dates'!#REF!,"")</f>
        <v>#REF!</v>
      </c>
      <c r="J430" s="73" t="e">
        <f t="shared" si="191"/>
        <v>#REF!</v>
      </c>
      <c r="K430" s="73" t="e">
        <f>IF(VLOOKUP(A430,'Actual Dates'!A4:AF581,26,),'Actual Dates'!#REF!,"")</f>
        <v>#REF!</v>
      </c>
      <c r="L430" s="73" t="e">
        <f>IF(VLOOKUP(A430,'Actual Dates'!A4:AF581,21,),'Actual Dates'!#REF!,"")</f>
        <v>#REF!</v>
      </c>
      <c r="M430" s="73" t="e">
        <f>'Date Calcs'!#REF!</f>
        <v>#REF!</v>
      </c>
      <c r="N430" s="73" t="e">
        <f>IF(VLOOKUP(A430,'Actual Dates'!A4:AF581,27,),'Actual Dates'!#REF!,"")</f>
        <v>#REF!</v>
      </c>
      <c r="O430" s="74" t="e">
        <f t="shared" si="192"/>
        <v>#REF!</v>
      </c>
      <c r="P430" s="75" t="e">
        <f t="shared" si="193"/>
        <v>#REF!</v>
      </c>
      <c r="Q430" s="75" t="e">
        <f t="shared" si="194"/>
        <v>#REF!</v>
      </c>
      <c r="R430" s="132"/>
      <c r="S430" s="133"/>
    </row>
    <row r="431" spans="1:19" x14ac:dyDescent="0.25">
      <c r="A431" s="70" t="e">
        <f>'Date Calcs'!#REF!</f>
        <v>#REF!</v>
      </c>
      <c r="B431" s="71" t="e">
        <f>'Date Calcs'!#REF!</f>
        <v>#REF!</v>
      </c>
      <c r="C431" s="72" t="e">
        <f>'Date Calcs'!#REF!</f>
        <v>#REF!</v>
      </c>
      <c r="D431" s="73" t="e">
        <f t="shared" si="189"/>
        <v>#REF!</v>
      </c>
      <c r="E431" s="66">
        <v>44454</v>
      </c>
      <c r="F431" s="73" t="e">
        <f>'Date Calcs'!#REF!</f>
        <v>#REF!</v>
      </c>
      <c r="G431" s="73" t="e">
        <f>IF(VLOOKUP(A431,'Actual Dates'!A4:AF559,8,),'Actual Dates'!#REF!,"")</f>
        <v>#REF!</v>
      </c>
      <c r="H431" s="73" t="e">
        <f t="shared" si="190"/>
        <v>#REF!</v>
      </c>
      <c r="I431" s="73" t="e">
        <f>IF(VLOOKUP(A431,'Actual Dates'!A4:AF554,25,),'Actual Dates'!#REF!,"")</f>
        <v>#REF!</v>
      </c>
      <c r="J431" s="73" t="e">
        <f t="shared" si="191"/>
        <v>#REF!</v>
      </c>
      <c r="K431" s="73" t="e">
        <f>IF(VLOOKUP(A431,'Actual Dates'!A4:AF582,26,),'Actual Dates'!#REF!,"")</f>
        <v>#REF!</v>
      </c>
      <c r="L431" s="73" t="e">
        <f>IF(VLOOKUP(A431,'Actual Dates'!A4:AF582,21,),'Actual Dates'!#REF!,"")</f>
        <v>#REF!</v>
      </c>
      <c r="M431" s="73" t="e">
        <f>'Date Calcs'!#REF!</f>
        <v>#REF!</v>
      </c>
      <c r="N431" s="73" t="e">
        <f>IF(VLOOKUP(A431,'Actual Dates'!A4:AF582,27,),'Actual Dates'!#REF!,"")</f>
        <v>#REF!</v>
      </c>
      <c r="O431" s="74" t="e">
        <f t="shared" si="192"/>
        <v>#REF!</v>
      </c>
      <c r="P431" s="75" t="e">
        <f t="shared" si="193"/>
        <v>#REF!</v>
      </c>
      <c r="Q431" s="75" t="e">
        <f t="shared" si="194"/>
        <v>#REF!</v>
      </c>
      <c r="R431" s="132"/>
      <c r="S431" s="133"/>
    </row>
    <row r="432" spans="1:19" x14ac:dyDescent="0.25">
      <c r="A432" s="70" t="e">
        <f>'Date Calcs'!#REF!</f>
        <v>#REF!</v>
      </c>
      <c r="B432" s="71" t="e">
        <f>'Date Calcs'!#REF!</f>
        <v>#REF!</v>
      </c>
      <c r="C432" s="72" t="e">
        <f>'Date Calcs'!#REF!</f>
        <v>#REF!</v>
      </c>
      <c r="D432" s="73" t="e">
        <f t="shared" si="189"/>
        <v>#REF!</v>
      </c>
      <c r="E432" s="66">
        <v>44455</v>
      </c>
      <c r="F432" s="73" t="e">
        <f>'Date Calcs'!#REF!</f>
        <v>#REF!</v>
      </c>
      <c r="G432" s="73" t="e">
        <f>IF(VLOOKUP(A432,'Actual Dates'!A4:AF560,8,),'Actual Dates'!#REF!,"")</f>
        <v>#REF!</v>
      </c>
      <c r="H432" s="73" t="e">
        <f t="shared" si="190"/>
        <v>#REF!</v>
      </c>
      <c r="I432" s="73" t="e">
        <f>IF(VLOOKUP(A432,'Actual Dates'!A4:AF555,25,),'Actual Dates'!#REF!,"")</f>
        <v>#REF!</v>
      </c>
      <c r="J432" s="73" t="e">
        <f t="shared" si="191"/>
        <v>#REF!</v>
      </c>
      <c r="K432" s="73" t="e">
        <f>IF(VLOOKUP(A432,'Actual Dates'!A4:AF583,26,),'Actual Dates'!#REF!,"")</f>
        <v>#REF!</v>
      </c>
      <c r="L432" s="73" t="e">
        <f>IF(VLOOKUP(A432,'Actual Dates'!A4:AF583,21,),'Actual Dates'!#REF!,"")</f>
        <v>#REF!</v>
      </c>
      <c r="M432" s="73" t="e">
        <f>'Date Calcs'!#REF!</f>
        <v>#REF!</v>
      </c>
      <c r="N432" s="73" t="e">
        <f>IF(VLOOKUP(A432,'Actual Dates'!A4:AF583,27,),'Actual Dates'!#REF!,"")</f>
        <v>#REF!</v>
      </c>
      <c r="O432" s="74" t="e">
        <f t="shared" si="192"/>
        <v>#REF!</v>
      </c>
      <c r="P432" s="75" t="e">
        <f t="shared" si="193"/>
        <v>#REF!</v>
      </c>
      <c r="Q432" s="75" t="e">
        <f t="shared" si="194"/>
        <v>#REF!</v>
      </c>
      <c r="R432" s="132"/>
      <c r="S432" s="133"/>
    </row>
    <row r="433" spans="1:19" x14ac:dyDescent="0.25">
      <c r="A433" s="70" t="e">
        <f>'Date Calcs'!#REF!</f>
        <v>#REF!</v>
      </c>
      <c r="B433" s="71" t="e">
        <f>'Date Calcs'!#REF!</f>
        <v>#REF!</v>
      </c>
      <c r="C433" s="72" t="e">
        <f>'Date Calcs'!#REF!</f>
        <v>#REF!</v>
      </c>
      <c r="D433" s="73" t="e">
        <f t="shared" si="189"/>
        <v>#REF!</v>
      </c>
      <c r="E433" s="66">
        <v>44456</v>
      </c>
      <c r="F433" s="73" t="e">
        <f>'Date Calcs'!#REF!</f>
        <v>#REF!</v>
      </c>
      <c r="G433" s="73" t="e">
        <f>IF(VLOOKUP(A433,'Actual Dates'!A4:AF561,8,),'Actual Dates'!#REF!,"")</f>
        <v>#REF!</v>
      </c>
      <c r="H433" s="73" t="e">
        <f t="shared" si="190"/>
        <v>#REF!</v>
      </c>
      <c r="I433" s="73" t="e">
        <f>IF(VLOOKUP(A433,'Actual Dates'!A4:AF556,25,),'Actual Dates'!#REF!,"")</f>
        <v>#REF!</v>
      </c>
      <c r="J433" s="73" t="e">
        <f t="shared" si="191"/>
        <v>#REF!</v>
      </c>
      <c r="K433" s="73" t="e">
        <f>IF(VLOOKUP(A433,'Actual Dates'!A4:AF584,26,),'Actual Dates'!#REF!,"")</f>
        <v>#REF!</v>
      </c>
      <c r="L433" s="73" t="e">
        <f>IF(VLOOKUP(A433,'Actual Dates'!A4:AF584,21,),'Actual Dates'!#REF!,"")</f>
        <v>#REF!</v>
      </c>
      <c r="M433" s="73" t="e">
        <f>'Date Calcs'!#REF!</f>
        <v>#REF!</v>
      </c>
      <c r="N433" s="73" t="e">
        <f>IF(VLOOKUP(A433,'Actual Dates'!A4:AF584,27,),'Actual Dates'!#REF!,"")</f>
        <v>#REF!</v>
      </c>
      <c r="O433" s="74" t="e">
        <f t="shared" si="192"/>
        <v>#REF!</v>
      </c>
      <c r="P433" s="75" t="e">
        <f t="shared" si="193"/>
        <v>#REF!</v>
      </c>
      <c r="Q433" s="75" t="e">
        <f t="shared" si="194"/>
        <v>#REF!</v>
      </c>
      <c r="R433" s="132"/>
      <c r="S433" s="133"/>
    </row>
    <row r="434" spans="1:19" x14ac:dyDescent="0.25">
      <c r="A434" s="70" t="e">
        <f>'Date Calcs'!#REF!</f>
        <v>#REF!</v>
      </c>
      <c r="B434" s="71" t="e">
        <f>'Date Calcs'!#REF!</f>
        <v>#REF!</v>
      </c>
      <c r="C434" s="72" t="e">
        <f>'Date Calcs'!#REF!</f>
        <v>#REF!</v>
      </c>
      <c r="D434" s="73" t="e">
        <f t="shared" si="189"/>
        <v>#REF!</v>
      </c>
      <c r="E434" s="66">
        <v>44457</v>
      </c>
      <c r="F434" s="73" t="e">
        <f>'Date Calcs'!#REF!</f>
        <v>#REF!</v>
      </c>
      <c r="G434" s="73" t="e">
        <f>IF(VLOOKUP(A434,'Actual Dates'!A4:AF562,8,),'Actual Dates'!#REF!,"")</f>
        <v>#REF!</v>
      </c>
      <c r="H434" s="73" t="e">
        <f t="shared" si="190"/>
        <v>#REF!</v>
      </c>
      <c r="I434" s="73" t="e">
        <f>IF(VLOOKUP(A434,'Actual Dates'!A4:AF557,25,),'Actual Dates'!#REF!,"")</f>
        <v>#REF!</v>
      </c>
      <c r="J434" s="73" t="e">
        <f t="shared" si="191"/>
        <v>#REF!</v>
      </c>
      <c r="K434" s="73" t="e">
        <f>IF(VLOOKUP(A434,'Actual Dates'!A4:AF585,26,),'Actual Dates'!#REF!,"")</f>
        <v>#REF!</v>
      </c>
      <c r="L434" s="73" t="e">
        <f>IF(VLOOKUP(A434,'Actual Dates'!A4:AF585,21,),'Actual Dates'!#REF!,"")</f>
        <v>#REF!</v>
      </c>
      <c r="M434" s="73" t="e">
        <f>'Date Calcs'!#REF!</f>
        <v>#REF!</v>
      </c>
      <c r="N434" s="73" t="e">
        <f>IF(VLOOKUP(A434,'Actual Dates'!A4:AF585,27,),'Actual Dates'!#REF!,"")</f>
        <v>#REF!</v>
      </c>
      <c r="O434" s="74" t="e">
        <f t="shared" si="192"/>
        <v>#REF!</v>
      </c>
      <c r="P434" s="75" t="e">
        <f t="shared" si="193"/>
        <v>#REF!</v>
      </c>
      <c r="Q434" s="75" t="e">
        <f t="shared" si="194"/>
        <v>#REF!</v>
      </c>
      <c r="R434" s="132"/>
      <c r="S434" s="133"/>
    </row>
    <row r="435" spans="1:19" x14ac:dyDescent="0.25">
      <c r="A435" s="70" t="e">
        <f>'Date Calcs'!#REF!</f>
        <v>#REF!</v>
      </c>
      <c r="B435" s="71" t="e">
        <f>'Date Calcs'!#REF!</f>
        <v>#REF!</v>
      </c>
      <c r="C435" s="72" t="e">
        <f>'Date Calcs'!#REF!</f>
        <v>#REF!</v>
      </c>
      <c r="D435" s="73" t="e">
        <f t="shared" si="189"/>
        <v>#REF!</v>
      </c>
      <c r="E435" s="66">
        <v>44458</v>
      </c>
      <c r="F435" s="73" t="e">
        <f>'Date Calcs'!#REF!</f>
        <v>#REF!</v>
      </c>
      <c r="G435" s="73" t="e">
        <f>IF(VLOOKUP(A435,'Actual Dates'!A4:AF563,8,),'Actual Dates'!#REF!,"")</f>
        <v>#REF!</v>
      </c>
      <c r="H435" s="73" t="e">
        <f t="shared" si="190"/>
        <v>#REF!</v>
      </c>
      <c r="I435" s="73" t="e">
        <f>IF(VLOOKUP(A435,'Actual Dates'!A4:AF558,25,),'Actual Dates'!#REF!,"")</f>
        <v>#REF!</v>
      </c>
      <c r="J435" s="73" t="e">
        <f t="shared" si="191"/>
        <v>#REF!</v>
      </c>
      <c r="K435" s="73" t="e">
        <f>IF(VLOOKUP(A435,'Actual Dates'!A4:AF586,26,),'Actual Dates'!#REF!,"")</f>
        <v>#REF!</v>
      </c>
      <c r="L435" s="73" t="e">
        <f>IF(VLOOKUP(A435,'Actual Dates'!A4:AF586,21,),'Actual Dates'!#REF!,"")</f>
        <v>#REF!</v>
      </c>
      <c r="M435" s="73" t="e">
        <f>'Date Calcs'!#REF!</f>
        <v>#REF!</v>
      </c>
      <c r="N435" s="73" t="e">
        <f>IF(VLOOKUP(A435,'Actual Dates'!A4:AF586,27,),'Actual Dates'!#REF!,"")</f>
        <v>#REF!</v>
      </c>
      <c r="O435" s="74" t="e">
        <f t="shared" si="192"/>
        <v>#REF!</v>
      </c>
      <c r="P435" s="75" t="e">
        <f t="shared" si="193"/>
        <v>#REF!</v>
      </c>
      <c r="Q435" s="75" t="e">
        <f t="shared" si="194"/>
        <v>#REF!</v>
      </c>
      <c r="R435" s="132"/>
      <c r="S435" s="133"/>
    </row>
    <row r="436" spans="1:19" x14ac:dyDescent="0.25">
      <c r="A436" s="70" t="e">
        <f>'Date Calcs'!#REF!</f>
        <v>#REF!</v>
      </c>
      <c r="B436" s="71" t="e">
        <f>'Date Calcs'!#REF!</f>
        <v>#REF!</v>
      </c>
      <c r="C436" s="72" t="e">
        <f>'Date Calcs'!#REF!</f>
        <v>#REF!</v>
      </c>
      <c r="D436" s="73" t="e">
        <f t="shared" si="189"/>
        <v>#REF!</v>
      </c>
      <c r="E436" s="66">
        <v>44459</v>
      </c>
      <c r="F436" s="73" t="e">
        <f>'Date Calcs'!#REF!</f>
        <v>#REF!</v>
      </c>
      <c r="G436" s="73" t="e">
        <f>IF(VLOOKUP(A436,'Actual Dates'!A4:AF564,8,),'Actual Dates'!#REF!,"")</f>
        <v>#REF!</v>
      </c>
      <c r="H436" s="73" t="e">
        <f t="shared" si="190"/>
        <v>#REF!</v>
      </c>
      <c r="I436" s="73" t="e">
        <f>IF(VLOOKUP(A436,'Actual Dates'!A4:AF559,25,),'Actual Dates'!#REF!,"")</f>
        <v>#REF!</v>
      </c>
      <c r="J436" s="73" t="e">
        <f t="shared" si="191"/>
        <v>#REF!</v>
      </c>
      <c r="K436" s="73" t="e">
        <f>IF(VLOOKUP(A436,'Actual Dates'!A4:AF587,26,),'Actual Dates'!#REF!,"")</f>
        <v>#REF!</v>
      </c>
      <c r="L436" s="73" t="e">
        <f>IF(VLOOKUP(A436,'Actual Dates'!A4:AF587,21,),'Actual Dates'!#REF!,"")</f>
        <v>#REF!</v>
      </c>
      <c r="M436" s="73" t="e">
        <f>'Date Calcs'!#REF!</f>
        <v>#REF!</v>
      </c>
      <c r="N436" s="73" t="e">
        <f>IF(VLOOKUP(A436,'Actual Dates'!A4:AF587,27,),'Actual Dates'!#REF!,"")</f>
        <v>#REF!</v>
      </c>
      <c r="O436" s="74" t="e">
        <f t="shared" si="192"/>
        <v>#REF!</v>
      </c>
      <c r="P436" s="75" t="e">
        <f t="shared" si="193"/>
        <v>#REF!</v>
      </c>
      <c r="Q436" s="75" t="e">
        <f t="shared" si="194"/>
        <v>#REF!</v>
      </c>
      <c r="R436" s="132"/>
      <c r="S436" s="133"/>
    </row>
    <row r="437" spans="1:19" x14ac:dyDescent="0.25">
      <c r="A437" s="70" t="e">
        <f>'Date Calcs'!#REF!</f>
        <v>#REF!</v>
      </c>
      <c r="B437" s="71" t="e">
        <f>'Date Calcs'!#REF!</f>
        <v>#REF!</v>
      </c>
      <c r="C437" s="72" t="e">
        <f>'Date Calcs'!#REF!</f>
        <v>#REF!</v>
      </c>
      <c r="D437" s="73" t="e">
        <f t="shared" si="189"/>
        <v>#REF!</v>
      </c>
      <c r="E437" s="66">
        <v>44460</v>
      </c>
      <c r="F437" s="73" t="e">
        <f>'Date Calcs'!#REF!</f>
        <v>#REF!</v>
      </c>
      <c r="G437" s="73" t="e">
        <f>IF(VLOOKUP(A437,'Actual Dates'!A4:AF565,8,),'Actual Dates'!#REF!,"")</f>
        <v>#REF!</v>
      </c>
      <c r="H437" s="73" t="e">
        <f t="shared" si="190"/>
        <v>#REF!</v>
      </c>
      <c r="I437" s="73" t="e">
        <f>IF(VLOOKUP(A437,'Actual Dates'!A4:AF560,25,),'Actual Dates'!#REF!,"")</f>
        <v>#REF!</v>
      </c>
      <c r="J437" s="73" t="e">
        <f t="shared" si="191"/>
        <v>#REF!</v>
      </c>
      <c r="K437" s="73" t="e">
        <f>IF(VLOOKUP(A437,'Actual Dates'!A4:AF588,26,),'Actual Dates'!#REF!,"")</f>
        <v>#REF!</v>
      </c>
      <c r="L437" s="73" t="e">
        <f>IF(VLOOKUP(A437,'Actual Dates'!A4:AF588,21,),'Actual Dates'!#REF!,"")</f>
        <v>#REF!</v>
      </c>
      <c r="M437" s="73" t="e">
        <f>'Date Calcs'!#REF!</f>
        <v>#REF!</v>
      </c>
      <c r="N437" s="73" t="e">
        <f>IF(VLOOKUP(A437,'Actual Dates'!A4:AF588,27,),'Actual Dates'!#REF!,"")</f>
        <v>#REF!</v>
      </c>
      <c r="O437" s="74" t="e">
        <f t="shared" si="192"/>
        <v>#REF!</v>
      </c>
      <c r="P437" s="75" t="e">
        <f t="shared" si="193"/>
        <v>#REF!</v>
      </c>
      <c r="Q437" s="75" t="e">
        <f t="shared" si="194"/>
        <v>#REF!</v>
      </c>
      <c r="R437" s="132"/>
      <c r="S437" s="133"/>
    </row>
    <row r="438" spans="1:19" x14ac:dyDescent="0.25">
      <c r="A438" s="70" t="e">
        <f>'Date Calcs'!#REF!</f>
        <v>#REF!</v>
      </c>
      <c r="B438" s="71" t="e">
        <f>'Date Calcs'!#REF!</f>
        <v>#REF!</v>
      </c>
      <c r="C438" s="72" t="e">
        <f>'Date Calcs'!#REF!</f>
        <v>#REF!</v>
      </c>
      <c r="D438" s="73" t="e">
        <f t="shared" si="189"/>
        <v>#REF!</v>
      </c>
      <c r="E438" s="66">
        <v>44461</v>
      </c>
      <c r="F438" s="73" t="e">
        <f>'Date Calcs'!#REF!</f>
        <v>#REF!</v>
      </c>
      <c r="G438" s="73" t="e">
        <f>IF(VLOOKUP(A438,'Actual Dates'!A4:AF566,8,),'Actual Dates'!#REF!,"")</f>
        <v>#REF!</v>
      </c>
      <c r="H438" s="73" t="e">
        <f t="shared" si="190"/>
        <v>#REF!</v>
      </c>
      <c r="I438" s="73" t="e">
        <f>IF(VLOOKUP(A438,'Actual Dates'!A4:AF561,25,),'Actual Dates'!#REF!,"")</f>
        <v>#REF!</v>
      </c>
      <c r="J438" s="73" t="e">
        <f t="shared" si="191"/>
        <v>#REF!</v>
      </c>
      <c r="K438" s="73" t="e">
        <f>IF(VLOOKUP(A438,'Actual Dates'!A4:AF589,26,),'Actual Dates'!#REF!,"")</f>
        <v>#REF!</v>
      </c>
      <c r="L438" s="73" t="e">
        <f>IF(VLOOKUP(A438,'Actual Dates'!A4:AF589,21,),'Actual Dates'!#REF!,"")</f>
        <v>#REF!</v>
      </c>
      <c r="M438" s="73" t="e">
        <f>'Date Calcs'!#REF!</f>
        <v>#REF!</v>
      </c>
      <c r="N438" s="73" t="e">
        <f>IF(VLOOKUP(A438,'Actual Dates'!A4:AF589,27,),'Actual Dates'!#REF!,"")</f>
        <v>#REF!</v>
      </c>
      <c r="O438" s="74" t="e">
        <f t="shared" si="192"/>
        <v>#REF!</v>
      </c>
      <c r="P438" s="75" t="e">
        <f t="shared" si="193"/>
        <v>#REF!</v>
      </c>
      <c r="Q438" s="75" t="e">
        <f t="shared" si="194"/>
        <v>#REF!</v>
      </c>
      <c r="R438" s="132"/>
      <c r="S438" s="133"/>
    </row>
    <row r="439" spans="1:19" x14ac:dyDescent="0.25">
      <c r="A439" s="70" t="e">
        <f>'Date Calcs'!#REF!</f>
        <v>#REF!</v>
      </c>
      <c r="B439" s="71" t="e">
        <f>'Date Calcs'!#REF!</f>
        <v>#REF!</v>
      </c>
      <c r="C439" s="72" t="e">
        <f>'Date Calcs'!#REF!</f>
        <v>#REF!</v>
      </c>
      <c r="D439" s="73" t="e">
        <f t="shared" si="189"/>
        <v>#REF!</v>
      </c>
      <c r="E439" s="66">
        <v>44462</v>
      </c>
      <c r="F439" s="73" t="e">
        <f>'Date Calcs'!#REF!</f>
        <v>#REF!</v>
      </c>
      <c r="G439" s="73" t="e">
        <f>IF(VLOOKUP(A439,'Actual Dates'!A4:AF567,8,),'Actual Dates'!#REF!,"")</f>
        <v>#REF!</v>
      </c>
      <c r="H439" s="73" t="e">
        <f t="shared" si="190"/>
        <v>#REF!</v>
      </c>
      <c r="I439" s="73" t="e">
        <f>IF(VLOOKUP(A439,'Actual Dates'!A4:AF562,25,),'Actual Dates'!#REF!,"")</f>
        <v>#REF!</v>
      </c>
      <c r="J439" s="73" t="e">
        <f t="shared" si="191"/>
        <v>#REF!</v>
      </c>
      <c r="K439" s="73" t="e">
        <f>IF(VLOOKUP(A439,'Actual Dates'!A4:AF590,26,),'Actual Dates'!#REF!,"")</f>
        <v>#REF!</v>
      </c>
      <c r="L439" s="73" t="e">
        <f>IF(VLOOKUP(A439,'Actual Dates'!A4:AF590,21,),'Actual Dates'!#REF!,"")</f>
        <v>#REF!</v>
      </c>
      <c r="M439" s="73" t="e">
        <f>'Date Calcs'!#REF!</f>
        <v>#REF!</v>
      </c>
      <c r="N439" s="73" t="e">
        <f>IF(VLOOKUP(A439,'Actual Dates'!A4:AF590,27,),'Actual Dates'!#REF!,"")</f>
        <v>#REF!</v>
      </c>
      <c r="O439" s="74" t="e">
        <f t="shared" si="192"/>
        <v>#REF!</v>
      </c>
      <c r="P439" s="75" t="e">
        <f t="shared" si="193"/>
        <v>#REF!</v>
      </c>
      <c r="Q439" s="75" t="e">
        <f t="shared" si="194"/>
        <v>#REF!</v>
      </c>
      <c r="R439" s="132"/>
      <c r="S439" s="133"/>
    </row>
    <row r="440" spans="1:19" x14ac:dyDescent="0.25">
      <c r="A440" s="70" t="e">
        <f>'Date Calcs'!#REF!</f>
        <v>#REF!</v>
      </c>
      <c r="B440" s="71" t="e">
        <f>'Date Calcs'!#REF!</f>
        <v>#REF!</v>
      </c>
      <c r="C440" s="72" t="e">
        <f>'Date Calcs'!#REF!</f>
        <v>#REF!</v>
      </c>
      <c r="D440" s="73" t="e">
        <f t="shared" si="189"/>
        <v>#REF!</v>
      </c>
      <c r="E440" s="66">
        <v>44463</v>
      </c>
      <c r="F440" s="73" t="e">
        <f>'Date Calcs'!#REF!</f>
        <v>#REF!</v>
      </c>
      <c r="G440" s="73" t="e">
        <f>IF(VLOOKUP(A440,'Actual Dates'!A4:AF568,8,),'Actual Dates'!#REF!,"")</f>
        <v>#REF!</v>
      </c>
      <c r="H440" s="73" t="e">
        <f t="shared" si="190"/>
        <v>#REF!</v>
      </c>
      <c r="I440" s="73" t="e">
        <f>IF(VLOOKUP(A440,'Actual Dates'!A4:AF563,25,),'Actual Dates'!#REF!,"")</f>
        <v>#REF!</v>
      </c>
      <c r="J440" s="73" t="e">
        <f t="shared" si="191"/>
        <v>#REF!</v>
      </c>
      <c r="K440" s="73" t="e">
        <f>IF(VLOOKUP(A440,'Actual Dates'!A4:AF591,26,),'Actual Dates'!#REF!,"")</f>
        <v>#REF!</v>
      </c>
      <c r="L440" s="73" t="e">
        <f>IF(VLOOKUP(A440,'Actual Dates'!A4:AF591,21,),'Actual Dates'!#REF!,"")</f>
        <v>#REF!</v>
      </c>
      <c r="M440" s="73" t="e">
        <f>'Date Calcs'!#REF!</f>
        <v>#REF!</v>
      </c>
      <c r="N440" s="73" t="e">
        <f>IF(VLOOKUP(A440,'Actual Dates'!A4:AF591,27,),'Actual Dates'!#REF!,"")</f>
        <v>#REF!</v>
      </c>
      <c r="O440" s="74" t="e">
        <f t="shared" si="192"/>
        <v>#REF!</v>
      </c>
      <c r="P440" s="75" t="e">
        <f t="shared" si="193"/>
        <v>#REF!</v>
      </c>
      <c r="Q440" s="75" t="e">
        <f t="shared" si="194"/>
        <v>#REF!</v>
      </c>
      <c r="R440" s="132"/>
      <c r="S440" s="133"/>
    </row>
    <row r="441" spans="1:19" x14ac:dyDescent="0.25">
      <c r="A441" s="70" t="e">
        <f>'Date Calcs'!#REF!</f>
        <v>#REF!</v>
      </c>
      <c r="B441" s="71" t="e">
        <f>'Date Calcs'!#REF!</f>
        <v>#REF!</v>
      </c>
      <c r="C441" s="72" t="e">
        <f>'Date Calcs'!#REF!</f>
        <v>#REF!</v>
      </c>
      <c r="D441" s="73" t="e">
        <f t="shared" si="189"/>
        <v>#REF!</v>
      </c>
      <c r="E441" s="66">
        <v>44464</v>
      </c>
      <c r="F441" s="73" t="e">
        <f>'Date Calcs'!#REF!</f>
        <v>#REF!</v>
      </c>
      <c r="G441" s="73" t="e">
        <f>IF(VLOOKUP(A441,'Actual Dates'!A4:AF569,8,),'Actual Dates'!#REF!,"")</f>
        <v>#REF!</v>
      </c>
      <c r="H441" s="73" t="e">
        <f t="shared" si="190"/>
        <v>#REF!</v>
      </c>
      <c r="I441" s="73" t="e">
        <f>IF(VLOOKUP(A441,'Actual Dates'!A4:AF564,25,),'Actual Dates'!#REF!,"")</f>
        <v>#REF!</v>
      </c>
      <c r="J441" s="73" t="e">
        <f t="shared" si="191"/>
        <v>#REF!</v>
      </c>
      <c r="K441" s="73" t="e">
        <f>IF(VLOOKUP(A441,'Actual Dates'!A4:AF592,26,),'Actual Dates'!#REF!,"")</f>
        <v>#REF!</v>
      </c>
      <c r="L441" s="73" t="e">
        <f>IF(VLOOKUP(A441,'Actual Dates'!A4:AF592,21,),'Actual Dates'!#REF!,"")</f>
        <v>#REF!</v>
      </c>
      <c r="M441" s="73" t="e">
        <f>'Date Calcs'!#REF!</f>
        <v>#REF!</v>
      </c>
      <c r="N441" s="73" t="e">
        <f>IF(VLOOKUP(A441,'Actual Dates'!A4:AF592,27,),'Actual Dates'!#REF!,"")</f>
        <v>#REF!</v>
      </c>
      <c r="O441" s="74" t="e">
        <f t="shared" si="192"/>
        <v>#REF!</v>
      </c>
      <c r="P441" s="75" t="e">
        <f t="shared" si="193"/>
        <v>#REF!</v>
      </c>
      <c r="Q441" s="75" t="e">
        <f t="shared" si="194"/>
        <v>#REF!</v>
      </c>
      <c r="R441" s="132"/>
      <c r="S441" s="133"/>
    </row>
    <row r="442" spans="1:19" x14ac:dyDescent="0.25">
      <c r="A442" s="70" t="e">
        <f>'Date Calcs'!#REF!</f>
        <v>#REF!</v>
      </c>
      <c r="B442" s="71" t="e">
        <f>'Date Calcs'!#REF!</f>
        <v>#REF!</v>
      </c>
      <c r="C442" s="72" t="e">
        <f>'Date Calcs'!#REF!</f>
        <v>#REF!</v>
      </c>
      <c r="D442" s="73" t="e">
        <f t="shared" si="189"/>
        <v>#REF!</v>
      </c>
      <c r="E442" s="66">
        <v>44465</v>
      </c>
      <c r="F442" s="73" t="e">
        <f>'Date Calcs'!#REF!</f>
        <v>#REF!</v>
      </c>
      <c r="G442" s="73" t="e">
        <f>IF(VLOOKUP(A442,'Actual Dates'!A4:AF570,8,),'Actual Dates'!#REF!,"")</f>
        <v>#REF!</v>
      </c>
      <c r="H442" s="73" t="e">
        <f t="shared" si="190"/>
        <v>#REF!</v>
      </c>
      <c r="I442" s="73" t="e">
        <f>IF(VLOOKUP(A442,'Actual Dates'!A4:AF565,25,),'Actual Dates'!#REF!,"")</f>
        <v>#REF!</v>
      </c>
      <c r="J442" s="73" t="e">
        <f t="shared" si="191"/>
        <v>#REF!</v>
      </c>
      <c r="K442" s="73" t="e">
        <f>IF(VLOOKUP(A442,'Actual Dates'!A4:AF593,26,),'Actual Dates'!#REF!,"")</f>
        <v>#REF!</v>
      </c>
      <c r="L442" s="73" t="e">
        <f>IF(VLOOKUP(A442,'Actual Dates'!A4:AF593,21,),'Actual Dates'!#REF!,"")</f>
        <v>#REF!</v>
      </c>
      <c r="M442" s="73" t="e">
        <f>'Date Calcs'!#REF!</f>
        <v>#REF!</v>
      </c>
      <c r="N442" s="73" t="e">
        <f>IF(VLOOKUP(A442,'Actual Dates'!A4:AF593,27,),'Actual Dates'!#REF!,"")</f>
        <v>#REF!</v>
      </c>
      <c r="O442" s="74" t="e">
        <f t="shared" si="192"/>
        <v>#REF!</v>
      </c>
      <c r="P442" s="75" t="e">
        <f t="shared" si="193"/>
        <v>#REF!</v>
      </c>
      <c r="Q442" s="75" t="e">
        <f t="shared" si="194"/>
        <v>#REF!</v>
      </c>
      <c r="R442" s="132"/>
      <c r="S442" s="133"/>
    </row>
    <row r="443" spans="1:19" x14ac:dyDescent="0.25">
      <c r="A443" s="70" t="e">
        <f>'Date Calcs'!#REF!</f>
        <v>#REF!</v>
      </c>
      <c r="B443" s="71" t="e">
        <f>'Date Calcs'!#REF!</f>
        <v>#REF!</v>
      </c>
      <c r="C443" s="72" t="e">
        <f>'Date Calcs'!#REF!</f>
        <v>#REF!</v>
      </c>
      <c r="D443" s="73" t="e">
        <f t="shared" si="189"/>
        <v>#REF!</v>
      </c>
      <c r="E443" s="66">
        <v>44466</v>
      </c>
      <c r="F443" s="73" t="e">
        <f>'Date Calcs'!#REF!</f>
        <v>#REF!</v>
      </c>
      <c r="G443" s="73" t="e">
        <f>IF(VLOOKUP(A443,'Actual Dates'!A4:AF571,8,),'Actual Dates'!#REF!,"")</f>
        <v>#REF!</v>
      </c>
      <c r="H443" s="73" t="e">
        <f t="shared" si="190"/>
        <v>#REF!</v>
      </c>
      <c r="I443" s="73" t="e">
        <f>IF(VLOOKUP(A443,'Actual Dates'!A4:AF566,25,),'Actual Dates'!#REF!,"")</f>
        <v>#REF!</v>
      </c>
      <c r="J443" s="73" t="e">
        <f t="shared" si="191"/>
        <v>#REF!</v>
      </c>
      <c r="K443" s="73" t="e">
        <f>IF(VLOOKUP(A443,'Actual Dates'!A4:AF594,26,),'Actual Dates'!#REF!,"")</f>
        <v>#REF!</v>
      </c>
      <c r="L443" s="73" t="e">
        <f>IF(VLOOKUP(A443,'Actual Dates'!A4:AF594,21,),'Actual Dates'!#REF!,"")</f>
        <v>#REF!</v>
      </c>
      <c r="M443" s="73" t="e">
        <f>'Date Calcs'!#REF!</f>
        <v>#REF!</v>
      </c>
      <c r="N443" s="73" t="e">
        <f>IF(VLOOKUP(A443,'Actual Dates'!A4:AF594,27,),'Actual Dates'!#REF!,"")</f>
        <v>#REF!</v>
      </c>
      <c r="O443" s="74" t="e">
        <f t="shared" si="192"/>
        <v>#REF!</v>
      </c>
      <c r="P443" s="75" t="e">
        <f t="shared" si="193"/>
        <v>#REF!</v>
      </c>
      <c r="Q443" s="75" t="e">
        <f t="shared" si="194"/>
        <v>#REF!</v>
      </c>
      <c r="R443" s="132"/>
      <c r="S443" s="133"/>
    </row>
    <row r="444" spans="1:19" x14ac:dyDescent="0.25">
      <c r="A444" s="70" t="e">
        <f>'Date Calcs'!#REF!</f>
        <v>#REF!</v>
      </c>
      <c r="B444" s="71" t="e">
        <f>'Date Calcs'!#REF!</f>
        <v>#REF!</v>
      </c>
      <c r="C444" s="72" t="e">
        <f>'Date Calcs'!#REF!</f>
        <v>#REF!</v>
      </c>
      <c r="D444" s="73" t="e">
        <f t="shared" si="189"/>
        <v>#REF!</v>
      </c>
      <c r="E444" s="66">
        <v>44467</v>
      </c>
      <c r="F444" s="73" t="e">
        <f>'Date Calcs'!#REF!</f>
        <v>#REF!</v>
      </c>
      <c r="G444" s="73" t="e">
        <f>IF(VLOOKUP(A444,'Actual Dates'!A4:AF572,8,),'Actual Dates'!#REF!,"")</f>
        <v>#REF!</v>
      </c>
      <c r="H444" s="73" t="e">
        <f t="shared" si="190"/>
        <v>#REF!</v>
      </c>
      <c r="I444" s="73" t="e">
        <f>IF(VLOOKUP(A444,'Actual Dates'!A4:AF567,25,),'Actual Dates'!#REF!,"")</f>
        <v>#REF!</v>
      </c>
      <c r="J444" s="73" t="e">
        <f t="shared" si="191"/>
        <v>#REF!</v>
      </c>
      <c r="K444" s="73" t="e">
        <f>IF(VLOOKUP(A444,'Actual Dates'!A4:AF595,26,),'Actual Dates'!#REF!,"")</f>
        <v>#REF!</v>
      </c>
      <c r="L444" s="73" t="e">
        <f>IF(VLOOKUP(A444,'Actual Dates'!A4:AF595,21,),'Actual Dates'!#REF!,"")</f>
        <v>#REF!</v>
      </c>
      <c r="M444" s="73" t="e">
        <f>'Date Calcs'!#REF!</f>
        <v>#REF!</v>
      </c>
      <c r="N444" s="73" t="e">
        <f>IF(VLOOKUP(A444,'Actual Dates'!A4:AF595,27,),'Actual Dates'!#REF!,"")</f>
        <v>#REF!</v>
      </c>
      <c r="O444" s="74" t="e">
        <f t="shared" si="192"/>
        <v>#REF!</v>
      </c>
      <c r="P444" s="75" t="e">
        <f t="shared" si="193"/>
        <v>#REF!</v>
      </c>
      <c r="Q444" s="75" t="e">
        <f t="shared" si="194"/>
        <v>#REF!</v>
      </c>
      <c r="R444" s="132"/>
      <c r="S444" s="133"/>
    </row>
    <row r="445" spans="1:19" x14ac:dyDescent="0.25">
      <c r="A445" s="70" t="e">
        <f>'Date Calcs'!#REF!</f>
        <v>#REF!</v>
      </c>
      <c r="B445" s="71" t="e">
        <f>'Date Calcs'!#REF!</f>
        <v>#REF!</v>
      </c>
      <c r="C445" s="72" t="e">
        <f>'Date Calcs'!#REF!</f>
        <v>#REF!</v>
      </c>
      <c r="D445" s="73" t="e">
        <f t="shared" si="189"/>
        <v>#REF!</v>
      </c>
      <c r="E445" s="66">
        <v>44468</v>
      </c>
      <c r="F445" s="73" t="e">
        <f>'Date Calcs'!#REF!</f>
        <v>#REF!</v>
      </c>
      <c r="G445" s="73" t="e">
        <f>IF(VLOOKUP(A445,'Actual Dates'!A4:AF573,8,),'Actual Dates'!#REF!,"")</f>
        <v>#REF!</v>
      </c>
      <c r="H445" s="73" t="e">
        <f t="shared" si="190"/>
        <v>#REF!</v>
      </c>
      <c r="I445" s="73" t="e">
        <f>IF(VLOOKUP(A445,'Actual Dates'!A4:AF568,25,),'Actual Dates'!#REF!,"")</f>
        <v>#REF!</v>
      </c>
      <c r="J445" s="73" t="e">
        <f t="shared" si="191"/>
        <v>#REF!</v>
      </c>
      <c r="K445" s="73" t="e">
        <f>IF(VLOOKUP(A445,'Actual Dates'!A4:AF596,26,),'Actual Dates'!#REF!,"")</f>
        <v>#REF!</v>
      </c>
      <c r="L445" s="73" t="e">
        <f>IF(VLOOKUP(A445,'Actual Dates'!A4:AF596,21,),'Actual Dates'!#REF!,"")</f>
        <v>#REF!</v>
      </c>
      <c r="M445" s="73" t="e">
        <f>'Date Calcs'!#REF!</f>
        <v>#REF!</v>
      </c>
      <c r="N445" s="73" t="e">
        <f>IF(VLOOKUP(A445,'Actual Dates'!A4:AF596,27,),'Actual Dates'!#REF!,"")</f>
        <v>#REF!</v>
      </c>
      <c r="O445" s="74" t="e">
        <f t="shared" si="192"/>
        <v>#REF!</v>
      </c>
      <c r="P445" s="75" t="e">
        <f t="shared" si="193"/>
        <v>#REF!</v>
      </c>
      <c r="Q445" s="75" t="e">
        <f t="shared" si="194"/>
        <v>#REF!</v>
      </c>
      <c r="R445" s="132"/>
      <c r="S445" s="133"/>
    </row>
    <row r="446" spans="1:19" x14ac:dyDescent="0.25">
      <c r="A446" s="70" t="e">
        <f>'Date Calcs'!#REF!</f>
        <v>#REF!</v>
      </c>
      <c r="B446" s="71" t="e">
        <f>'Date Calcs'!#REF!</f>
        <v>#REF!</v>
      </c>
      <c r="C446" s="72" t="e">
        <f>'Date Calcs'!#REF!</f>
        <v>#REF!</v>
      </c>
      <c r="D446" s="73" t="e">
        <f t="shared" si="189"/>
        <v>#REF!</v>
      </c>
      <c r="E446" s="66">
        <v>44469</v>
      </c>
      <c r="F446" s="73" t="e">
        <f>'Date Calcs'!#REF!</f>
        <v>#REF!</v>
      </c>
      <c r="G446" s="73" t="e">
        <f>IF(VLOOKUP(A446,'Actual Dates'!A4:AF574,8,),'Actual Dates'!#REF!,"")</f>
        <v>#REF!</v>
      </c>
      <c r="H446" s="73" t="e">
        <f t="shared" si="190"/>
        <v>#REF!</v>
      </c>
      <c r="I446" s="73" t="e">
        <f>IF(VLOOKUP(A446,'Actual Dates'!A4:AF569,25,),'Actual Dates'!#REF!,"")</f>
        <v>#REF!</v>
      </c>
      <c r="J446" s="73" t="e">
        <f t="shared" si="191"/>
        <v>#REF!</v>
      </c>
      <c r="K446" s="73" t="e">
        <f>IF(VLOOKUP(A446,'Actual Dates'!A4:AF597,26,),'Actual Dates'!#REF!,"")</f>
        <v>#REF!</v>
      </c>
      <c r="L446" s="73" t="e">
        <f>IF(VLOOKUP(A446,'Actual Dates'!A4:AF597,21,),'Actual Dates'!#REF!,"")</f>
        <v>#REF!</v>
      </c>
      <c r="M446" s="73" t="e">
        <f>'Date Calcs'!#REF!</f>
        <v>#REF!</v>
      </c>
      <c r="N446" s="73" t="e">
        <f>IF(VLOOKUP(A446,'Actual Dates'!A4:AF597,27,),'Actual Dates'!#REF!,"")</f>
        <v>#REF!</v>
      </c>
      <c r="O446" s="74" t="e">
        <f t="shared" si="192"/>
        <v>#REF!</v>
      </c>
      <c r="P446" s="75" t="e">
        <f t="shared" si="193"/>
        <v>#REF!</v>
      </c>
      <c r="Q446" s="75" t="e">
        <f t="shared" si="194"/>
        <v>#REF!</v>
      </c>
      <c r="R446" s="132"/>
      <c r="S446" s="133"/>
    </row>
    <row r="447" spans="1:19" x14ac:dyDescent="0.25">
      <c r="A447" s="70" t="e">
        <f>'Date Calcs'!#REF!</f>
        <v>#REF!</v>
      </c>
      <c r="B447" s="71" t="e">
        <f>'Date Calcs'!#REF!</f>
        <v>#REF!</v>
      </c>
      <c r="C447" s="72" t="e">
        <f>'Date Calcs'!#REF!</f>
        <v>#REF!</v>
      </c>
      <c r="D447" s="73" t="e">
        <f t="shared" si="189"/>
        <v>#REF!</v>
      </c>
      <c r="E447" s="66">
        <v>44470</v>
      </c>
      <c r="F447" s="73" t="e">
        <f>'Date Calcs'!#REF!</f>
        <v>#REF!</v>
      </c>
      <c r="G447" s="73" t="e">
        <f>IF(VLOOKUP(A447,'Actual Dates'!A4:AF575,8,),'Actual Dates'!#REF!,"")</f>
        <v>#REF!</v>
      </c>
      <c r="H447" s="73" t="e">
        <f t="shared" si="190"/>
        <v>#REF!</v>
      </c>
      <c r="I447" s="73" t="e">
        <f>IF(VLOOKUP(A447,'Actual Dates'!A4:AF570,25,),'Actual Dates'!#REF!,"")</f>
        <v>#REF!</v>
      </c>
      <c r="J447" s="73" t="e">
        <f t="shared" si="191"/>
        <v>#REF!</v>
      </c>
      <c r="K447" s="73" t="e">
        <f>IF(VLOOKUP(A447,'Actual Dates'!A4:AF598,26,),'Actual Dates'!#REF!,"")</f>
        <v>#REF!</v>
      </c>
      <c r="L447" s="73" t="e">
        <f>IF(VLOOKUP(A447,'Actual Dates'!A4:AF598,21,),'Actual Dates'!#REF!,"")</f>
        <v>#REF!</v>
      </c>
      <c r="M447" s="73" t="e">
        <f>'Date Calcs'!#REF!</f>
        <v>#REF!</v>
      </c>
      <c r="N447" s="73" t="e">
        <f>IF(VLOOKUP(A447,'Actual Dates'!A4:AF598,27,),'Actual Dates'!#REF!,"")</f>
        <v>#REF!</v>
      </c>
      <c r="O447" s="74" t="e">
        <f t="shared" si="192"/>
        <v>#REF!</v>
      </c>
      <c r="P447" s="75" t="e">
        <f t="shared" si="193"/>
        <v>#REF!</v>
      </c>
      <c r="Q447" s="75" t="e">
        <f t="shared" si="194"/>
        <v>#REF!</v>
      </c>
      <c r="R447" s="132"/>
      <c r="S447" s="133"/>
    </row>
    <row r="448" spans="1:19" x14ac:dyDescent="0.25">
      <c r="A448" s="70" t="e">
        <f>'Date Calcs'!#REF!</f>
        <v>#REF!</v>
      </c>
      <c r="B448" s="71" t="e">
        <f>'Date Calcs'!#REF!</f>
        <v>#REF!</v>
      </c>
      <c r="C448" s="72" t="e">
        <f>'Date Calcs'!#REF!</f>
        <v>#REF!</v>
      </c>
      <c r="D448" s="73" t="e">
        <f t="shared" si="189"/>
        <v>#REF!</v>
      </c>
      <c r="E448" s="66">
        <v>44471</v>
      </c>
      <c r="F448" s="73" t="e">
        <f>'Date Calcs'!#REF!</f>
        <v>#REF!</v>
      </c>
      <c r="G448" s="73" t="e">
        <f>IF(VLOOKUP(A448,'Actual Dates'!A4:AF576,8,),'Actual Dates'!#REF!,"")</f>
        <v>#REF!</v>
      </c>
      <c r="H448" s="73" t="e">
        <f t="shared" si="190"/>
        <v>#REF!</v>
      </c>
      <c r="I448" s="73" t="e">
        <f>IF(VLOOKUP(A448,'Actual Dates'!A4:AF571,25,),'Actual Dates'!#REF!,"")</f>
        <v>#REF!</v>
      </c>
      <c r="J448" s="73" t="e">
        <f t="shared" si="191"/>
        <v>#REF!</v>
      </c>
      <c r="K448" s="73" t="e">
        <f>IF(VLOOKUP(A448,'Actual Dates'!A4:AF599,26,),'Actual Dates'!#REF!,"")</f>
        <v>#REF!</v>
      </c>
      <c r="L448" s="73" t="e">
        <f>IF(VLOOKUP(A448,'Actual Dates'!A4:AF599,21,),'Actual Dates'!#REF!,"")</f>
        <v>#REF!</v>
      </c>
      <c r="M448" s="73" t="e">
        <f>'Date Calcs'!#REF!</f>
        <v>#REF!</v>
      </c>
      <c r="N448" s="73" t="e">
        <f>IF(VLOOKUP(A448,'Actual Dates'!A4:AF599,27,),'Actual Dates'!#REF!,"")</f>
        <v>#REF!</v>
      </c>
      <c r="O448" s="74" t="e">
        <f t="shared" si="192"/>
        <v>#REF!</v>
      </c>
      <c r="P448" s="75" t="e">
        <f t="shared" si="193"/>
        <v>#REF!</v>
      </c>
      <c r="Q448" s="75" t="e">
        <f t="shared" si="194"/>
        <v>#REF!</v>
      </c>
      <c r="R448" s="132"/>
      <c r="S448" s="133"/>
    </row>
    <row r="449" spans="1:19" x14ac:dyDescent="0.25">
      <c r="A449" s="70" t="e">
        <f>'Date Calcs'!#REF!</f>
        <v>#REF!</v>
      </c>
      <c r="B449" s="71" t="e">
        <f>'Date Calcs'!#REF!</f>
        <v>#REF!</v>
      </c>
      <c r="C449" s="72" t="e">
        <f>'Date Calcs'!#REF!</f>
        <v>#REF!</v>
      </c>
      <c r="D449" s="73" t="e">
        <f t="shared" si="189"/>
        <v>#REF!</v>
      </c>
      <c r="E449" s="66">
        <v>44472</v>
      </c>
      <c r="F449" s="73" t="e">
        <f>'Date Calcs'!#REF!</f>
        <v>#REF!</v>
      </c>
      <c r="G449" s="73" t="e">
        <f>IF(VLOOKUP(A449,'Actual Dates'!A4:AF577,8,),'Actual Dates'!#REF!,"")</f>
        <v>#REF!</v>
      </c>
      <c r="H449" s="73" t="e">
        <f t="shared" si="190"/>
        <v>#REF!</v>
      </c>
      <c r="I449" s="73" t="e">
        <f>IF(VLOOKUP(A449,'Actual Dates'!A4:AF572,25,),'Actual Dates'!#REF!,"")</f>
        <v>#REF!</v>
      </c>
      <c r="J449" s="73" t="e">
        <f t="shared" si="191"/>
        <v>#REF!</v>
      </c>
      <c r="K449" s="73" t="e">
        <f>IF(VLOOKUP(A449,'Actual Dates'!A4:AF600,26,),'Actual Dates'!#REF!,"")</f>
        <v>#REF!</v>
      </c>
      <c r="L449" s="73" t="e">
        <f>IF(VLOOKUP(A449,'Actual Dates'!A4:AF600,21,),'Actual Dates'!#REF!,"")</f>
        <v>#REF!</v>
      </c>
      <c r="M449" s="73" t="e">
        <f>'Date Calcs'!#REF!</f>
        <v>#REF!</v>
      </c>
      <c r="N449" s="73" t="e">
        <f>IF(VLOOKUP(A449,'Actual Dates'!A4:AF600,27,),'Actual Dates'!#REF!,"")</f>
        <v>#REF!</v>
      </c>
      <c r="O449" s="74" t="e">
        <f t="shared" si="192"/>
        <v>#REF!</v>
      </c>
      <c r="P449" s="75" t="e">
        <f t="shared" si="193"/>
        <v>#REF!</v>
      </c>
      <c r="Q449" s="75" t="e">
        <f t="shared" si="194"/>
        <v>#REF!</v>
      </c>
      <c r="R449" s="132"/>
      <c r="S449" s="133"/>
    </row>
    <row r="450" spans="1:19" x14ac:dyDescent="0.25">
      <c r="A450" s="70" t="e">
        <f>'Date Calcs'!#REF!</f>
        <v>#REF!</v>
      </c>
      <c r="B450" s="71" t="e">
        <f>'Date Calcs'!#REF!</f>
        <v>#REF!</v>
      </c>
      <c r="C450" s="72" t="e">
        <f>'Date Calcs'!#REF!</f>
        <v>#REF!</v>
      </c>
      <c r="D450" s="73" t="e">
        <f t="shared" si="189"/>
        <v>#REF!</v>
      </c>
      <c r="E450" s="66">
        <v>44473</v>
      </c>
      <c r="F450" s="73" t="e">
        <f>'Date Calcs'!#REF!</f>
        <v>#REF!</v>
      </c>
      <c r="G450" s="73" t="e">
        <f>IF(VLOOKUP(A450,'Actual Dates'!A4:AF578,8,),'Actual Dates'!#REF!,"")</f>
        <v>#REF!</v>
      </c>
      <c r="H450" s="73" t="e">
        <f t="shared" si="190"/>
        <v>#REF!</v>
      </c>
      <c r="I450" s="73" t="e">
        <f>IF(VLOOKUP(A450,'Actual Dates'!A4:AF573,25,),'Actual Dates'!#REF!,"")</f>
        <v>#REF!</v>
      </c>
      <c r="J450" s="73" t="e">
        <f t="shared" si="191"/>
        <v>#REF!</v>
      </c>
      <c r="K450" s="73" t="e">
        <f>IF(VLOOKUP(A450,'Actual Dates'!A4:AF601,26,),'Actual Dates'!#REF!,"")</f>
        <v>#REF!</v>
      </c>
      <c r="L450" s="73" t="e">
        <f>IF(VLOOKUP(A450,'Actual Dates'!A4:AF601,21,),'Actual Dates'!#REF!,"")</f>
        <v>#REF!</v>
      </c>
      <c r="M450" s="73" t="e">
        <f>'Date Calcs'!#REF!</f>
        <v>#REF!</v>
      </c>
      <c r="N450" s="73" t="e">
        <f>IF(VLOOKUP(A450,'Actual Dates'!A4:AF601,27,),'Actual Dates'!#REF!,"")</f>
        <v>#REF!</v>
      </c>
      <c r="O450" s="74" t="e">
        <f t="shared" si="192"/>
        <v>#REF!</v>
      </c>
      <c r="P450" s="75" t="e">
        <f t="shared" si="193"/>
        <v>#REF!</v>
      </c>
      <c r="Q450" s="75" t="e">
        <f t="shared" si="194"/>
        <v>#REF!</v>
      </c>
      <c r="R450" s="132"/>
      <c r="S450" s="133"/>
    </row>
    <row r="451" spans="1:19" x14ac:dyDescent="0.25">
      <c r="A451" s="70" t="e">
        <f>'Date Calcs'!#REF!</f>
        <v>#REF!</v>
      </c>
      <c r="B451" s="71" t="e">
        <f>'Date Calcs'!#REF!</f>
        <v>#REF!</v>
      </c>
      <c r="C451" s="72" t="e">
        <f>'Date Calcs'!#REF!</f>
        <v>#REF!</v>
      </c>
      <c r="D451" s="73" t="e">
        <f t="shared" si="189"/>
        <v>#REF!</v>
      </c>
      <c r="E451" s="66">
        <v>44474</v>
      </c>
      <c r="F451" s="73" t="e">
        <f>'Date Calcs'!#REF!</f>
        <v>#REF!</v>
      </c>
      <c r="G451" s="73" t="e">
        <f>IF(VLOOKUP(A451,'Actual Dates'!A4:AF579,8,),'Actual Dates'!#REF!,"")</f>
        <v>#REF!</v>
      </c>
      <c r="H451" s="73" t="e">
        <f t="shared" si="190"/>
        <v>#REF!</v>
      </c>
      <c r="I451" s="73" t="e">
        <f>IF(VLOOKUP(A451,'Actual Dates'!A4:AF574,25,),'Actual Dates'!#REF!,"")</f>
        <v>#REF!</v>
      </c>
      <c r="J451" s="73" t="e">
        <f t="shared" si="191"/>
        <v>#REF!</v>
      </c>
      <c r="K451" s="73" t="e">
        <f>IF(VLOOKUP(A451,'Actual Dates'!A4:AF602,26,),'Actual Dates'!#REF!,"")</f>
        <v>#REF!</v>
      </c>
      <c r="L451" s="73" t="e">
        <f>IF(VLOOKUP(A451,'Actual Dates'!A4:AF602,21,),'Actual Dates'!#REF!,"")</f>
        <v>#REF!</v>
      </c>
      <c r="M451" s="73" t="e">
        <f>'Date Calcs'!#REF!</f>
        <v>#REF!</v>
      </c>
      <c r="N451" s="73" t="e">
        <f>IF(VLOOKUP(A451,'Actual Dates'!A4:AF602,27,),'Actual Dates'!#REF!,"")</f>
        <v>#REF!</v>
      </c>
      <c r="O451" s="74" t="e">
        <f t="shared" si="192"/>
        <v>#REF!</v>
      </c>
      <c r="P451" s="75" t="e">
        <f t="shared" si="193"/>
        <v>#REF!</v>
      </c>
      <c r="Q451" s="75" t="e">
        <f t="shared" si="194"/>
        <v>#REF!</v>
      </c>
      <c r="R451" s="132"/>
      <c r="S451" s="133"/>
    </row>
    <row r="452" spans="1:19" x14ac:dyDescent="0.25">
      <c r="A452" s="70" t="e">
        <f>'Date Calcs'!#REF!</f>
        <v>#REF!</v>
      </c>
      <c r="B452" s="71" t="e">
        <f>'Date Calcs'!#REF!</f>
        <v>#REF!</v>
      </c>
      <c r="C452" s="72" t="e">
        <f>'Date Calcs'!#REF!</f>
        <v>#REF!</v>
      </c>
      <c r="D452" s="73" t="e">
        <f t="shared" si="189"/>
        <v>#REF!</v>
      </c>
      <c r="E452" s="66">
        <v>44475</v>
      </c>
      <c r="F452" s="73" t="e">
        <f>'Date Calcs'!#REF!</f>
        <v>#REF!</v>
      </c>
      <c r="G452" s="73" t="e">
        <f>IF(VLOOKUP(A452,'Actual Dates'!A4:AF580,8,),'Actual Dates'!#REF!,"")</f>
        <v>#REF!</v>
      </c>
      <c r="H452" s="73" t="e">
        <f t="shared" si="190"/>
        <v>#REF!</v>
      </c>
      <c r="I452" s="73" t="e">
        <f>IF(VLOOKUP(A452,'Actual Dates'!A4:AF575,25,),'Actual Dates'!#REF!,"")</f>
        <v>#REF!</v>
      </c>
      <c r="J452" s="73" t="e">
        <f t="shared" si="191"/>
        <v>#REF!</v>
      </c>
      <c r="K452" s="73" t="e">
        <f>IF(VLOOKUP(A452,'Actual Dates'!A4:AF603,26,),'Actual Dates'!#REF!,"")</f>
        <v>#REF!</v>
      </c>
      <c r="L452" s="73" t="e">
        <f>IF(VLOOKUP(A452,'Actual Dates'!A4:AF603,21,),'Actual Dates'!#REF!,"")</f>
        <v>#REF!</v>
      </c>
      <c r="M452" s="73" t="e">
        <f>'Date Calcs'!#REF!</f>
        <v>#REF!</v>
      </c>
      <c r="N452" s="73" t="e">
        <f>IF(VLOOKUP(A452,'Actual Dates'!A4:AF603,27,),'Actual Dates'!#REF!,"")</f>
        <v>#REF!</v>
      </c>
      <c r="O452" s="74" t="e">
        <f t="shared" si="192"/>
        <v>#REF!</v>
      </c>
      <c r="P452" s="75" t="e">
        <f t="shared" si="193"/>
        <v>#REF!</v>
      </c>
      <c r="Q452" s="75" t="e">
        <f t="shared" si="194"/>
        <v>#REF!</v>
      </c>
      <c r="R452" s="132"/>
      <c r="S452" s="133"/>
    </row>
    <row r="453" spans="1:19" x14ac:dyDescent="0.25">
      <c r="A453" s="70" t="e">
        <f>'Date Calcs'!#REF!</f>
        <v>#REF!</v>
      </c>
      <c r="B453" s="71" t="e">
        <f>'Date Calcs'!#REF!</f>
        <v>#REF!</v>
      </c>
      <c r="C453" s="72" t="e">
        <f>'Date Calcs'!#REF!</f>
        <v>#REF!</v>
      </c>
      <c r="D453" s="73" t="e">
        <f t="shared" si="189"/>
        <v>#REF!</v>
      </c>
      <c r="E453" s="66">
        <v>44476</v>
      </c>
      <c r="F453" s="73" t="e">
        <f>'Date Calcs'!#REF!</f>
        <v>#REF!</v>
      </c>
      <c r="G453" s="73" t="e">
        <f>IF(VLOOKUP(A453,'Actual Dates'!A4:AF581,8,),'Actual Dates'!#REF!,"")</f>
        <v>#REF!</v>
      </c>
      <c r="H453" s="73" t="e">
        <f t="shared" si="190"/>
        <v>#REF!</v>
      </c>
      <c r="I453" s="73" t="e">
        <f>IF(VLOOKUP(A453,'Actual Dates'!A4:AF576,25,),'Actual Dates'!#REF!,"")</f>
        <v>#REF!</v>
      </c>
      <c r="J453" s="73" t="e">
        <f t="shared" si="191"/>
        <v>#REF!</v>
      </c>
      <c r="K453" s="73" t="e">
        <f>IF(VLOOKUP(A453,'Actual Dates'!A4:AF604,26,),'Actual Dates'!#REF!,"")</f>
        <v>#REF!</v>
      </c>
      <c r="L453" s="73" t="e">
        <f>IF(VLOOKUP(A453,'Actual Dates'!A4:AF604,21,),'Actual Dates'!#REF!,"")</f>
        <v>#REF!</v>
      </c>
      <c r="M453" s="73" t="e">
        <f>'Date Calcs'!#REF!</f>
        <v>#REF!</v>
      </c>
      <c r="N453" s="73" t="e">
        <f>IF(VLOOKUP(A453,'Actual Dates'!A4:AF604,27,),'Actual Dates'!#REF!,"")</f>
        <v>#REF!</v>
      </c>
      <c r="O453" s="74" t="e">
        <f t="shared" si="192"/>
        <v>#REF!</v>
      </c>
      <c r="P453" s="75" t="e">
        <f t="shared" si="193"/>
        <v>#REF!</v>
      </c>
      <c r="Q453" s="75" t="e">
        <f t="shared" si="194"/>
        <v>#REF!</v>
      </c>
      <c r="R453" s="132"/>
      <c r="S453" s="133"/>
    </row>
    <row r="454" spans="1:19" x14ac:dyDescent="0.25">
      <c r="A454" s="70" t="e">
        <f>'Date Calcs'!#REF!</f>
        <v>#REF!</v>
      </c>
      <c r="B454" s="71" t="e">
        <f>'Date Calcs'!#REF!</f>
        <v>#REF!</v>
      </c>
      <c r="C454" s="72" t="e">
        <f>'Date Calcs'!#REF!</f>
        <v>#REF!</v>
      </c>
      <c r="D454" s="73" t="e">
        <f t="shared" si="189"/>
        <v>#REF!</v>
      </c>
      <c r="E454" s="66">
        <v>44477</v>
      </c>
      <c r="F454" s="73" t="e">
        <f>'Date Calcs'!#REF!</f>
        <v>#REF!</v>
      </c>
      <c r="G454" s="73" t="e">
        <f>IF(VLOOKUP(A454,'Actual Dates'!A4:AF582,8,),'Actual Dates'!#REF!,"")</f>
        <v>#REF!</v>
      </c>
      <c r="H454" s="73" t="e">
        <f t="shared" si="190"/>
        <v>#REF!</v>
      </c>
      <c r="I454" s="73" t="e">
        <f>IF(VLOOKUP(A454,'Actual Dates'!A4:AF577,25,),'Actual Dates'!#REF!,"")</f>
        <v>#REF!</v>
      </c>
      <c r="J454" s="73" t="e">
        <f t="shared" si="191"/>
        <v>#REF!</v>
      </c>
      <c r="K454" s="73" t="e">
        <f>IF(VLOOKUP(A454,'Actual Dates'!A4:AF605,26,),'Actual Dates'!#REF!,"")</f>
        <v>#REF!</v>
      </c>
      <c r="L454" s="73" t="e">
        <f>IF(VLOOKUP(A454,'Actual Dates'!A4:AF605,21,),'Actual Dates'!#REF!,"")</f>
        <v>#REF!</v>
      </c>
      <c r="M454" s="73" t="e">
        <f>'Date Calcs'!#REF!</f>
        <v>#REF!</v>
      </c>
      <c r="N454" s="73" t="e">
        <f>IF(VLOOKUP(A454,'Actual Dates'!A4:AF605,27,),'Actual Dates'!#REF!,"")</f>
        <v>#REF!</v>
      </c>
      <c r="O454" s="74" t="e">
        <f t="shared" si="192"/>
        <v>#REF!</v>
      </c>
      <c r="P454" s="75" t="e">
        <f t="shared" si="193"/>
        <v>#REF!</v>
      </c>
      <c r="Q454" s="75" t="e">
        <f t="shared" si="194"/>
        <v>#REF!</v>
      </c>
      <c r="R454" s="132"/>
      <c r="S454" s="133"/>
    </row>
    <row r="455" spans="1:19" x14ac:dyDescent="0.25">
      <c r="A455" s="70" t="e">
        <f>'Date Calcs'!#REF!</f>
        <v>#REF!</v>
      </c>
      <c r="B455" s="71" t="e">
        <f>'Date Calcs'!#REF!</f>
        <v>#REF!</v>
      </c>
      <c r="C455" s="72" t="e">
        <f>'Date Calcs'!#REF!</f>
        <v>#REF!</v>
      </c>
      <c r="D455" s="73" t="e">
        <f t="shared" si="189"/>
        <v>#REF!</v>
      </c>
      <c r="E455" s="66">
        <v>44478</v>
      </c>
      <c r="F455" s="73" t="e">
        <f>'Date Calcs'!#REF!</f>
        <v>#REF!</v>
      </c>
      <c r="G455" s="73" t="e">
        <f>IF(VLOOKUP(A455,'Actual Dates'!A4:AF583,8,),'Actual Dates'!#REF!,"")</f>
        <v>#REF!</v>
      </c>
      <c r="H455" s="73" t="e">
        <f t="shared" si="190"/>
        <v>#REF!</v>
      </c>
      <c r="I455" s="73" t="e">
        <f>IF(VLOOKUP(A455,'Actual Dates'!A4:AF578,25,),'Actual Dates'!#REF!,"")</f>
        <v>#REF!</v>
      </c>
      <c r="J455" s="73" t="e">
        <f t="shared" si="191"/>
        <v>#REF!</v>
      </c>
      <c r="K455" s="73" t="e">
        <f>IF(VLOOKUP(A455,'Actual Dates'!A4:AF606,26,),'Actual Dates'!#REF!,"")</f>
        <v>#REF!</v>
      </c>
      <c r="L455" s="73" t="e">
        <f>IF(VLOOKUP(A455,'Actual Dates'!A4:AF606,21,),'Actual Dates'!#REF!,"")</f>
        <v>#REF!</v>
      </c>
      <c r="M455" s="73" t="e">
        <f>'Date Calcs'!#REF!</f>
        <v>#REF!</v>
      </c>
      <c r="N455" s="73" t="e">
        <f>IF(VLOOKUP(A455,'Actual Dates'!A4:AF606,27,),'Actual Dates'!#REF!,"")</f>
        <v>#REF!</v>
      </c>
      <c r="O455" s="74" t="e">
        <f t="shared" si="192"/>
        <v>#REF!</v>
      </c>
      <c r="P455" s="75" t="e">
        <f t="shared" si="193"/>
        <v>#REF!</v>
      </c>
      <c r="Q455" s="75" t="e">
        <f t="shared" si="194"/>
        <v>#REF!</v>
      </c>
      <c r="R455" s="132"/>
      <c r="S455" s="133"/>
    </row>
    <row r="456" spans="1:19" x14ac:dyDescent="0.25">
      <c r="A456" s="70" t="e">
        <f>'Date Calcs'!#REF!</f>
        <v>#REF!</v>
      </c>
      <c r="B456" s="71" t="e">
        <f>'Date Calcs'!#REF!</f>
        <v>#REF!</v>
      </c>
      <c r="C456" s="72" t="e">
        <f>'Date Calcs'!#REF!</f>
        <v>#REF!</v>
      </c>
      <c r="D456" s="73" t="e">
        <f t="shared" si="189"/>
        <v>#REF!</v>
      </c>
      <c r="E456" s="66">
        <v>44479</v>
      </c>
      <c r="F456" s="73" t="e">
        <f>'Date Calcs'!#REF!</f>
        <v>#REF!</v>
      </c>
      <c r="G456" s="73" t="e">
        <f>IF(VLOOKUP(A456,'Actual Dates'!A4:AF584,8,),'Actual Dates'!#REF!,"")</f>
        <v>#REF!</v>
      </c>
      <c r="H456" s="73" t="e">
        <f t="shared" si="190"/>
        <v>#REF!</v>
      </c>
      <c r="I456" s="73" t="e">
        <f>IF(VLOOKUP(A456,'Actual Dates'!A4:AF579,25,),'Actual Dates'!#REF!,"")</f>
        <v>#REF!</v>
      </c>
      <c r="J456" s="73" t="e">
        <f t="shared" si="191"/>
        <v>#REF!</v>
      </c>
      <c r="K456" s="73" t="e">
        <f>IF(VLOOKUP(A456,'Actual Dates'!A4:AF607,26,),'Actual Dates'!#REF!,"")</f>
        <v>#REF!</v>
      </c>
      <c r="L456" s="73" t="e">
        <f>IF(VLOOKUP(A456,'Actual Dates'!A4:AF607,21,),'Actual Dates'!#REF!,"")</f>
        <v>#REF!</v>
      </c>
      <c r="M456" s="73" t="e">
        <f>'Date Calcs'!#REF!</f>
        <v>#REF!</v>
      </c>
      <c r="N456" s="73" t="e">
        <f>IF(VLOOKUP(A456,'Actual Dates'!A4:AF607,27,),'Actual Dates'!#REF!,"")</f>
        <v>#REF!</v>
      </c>
      <c r="O456" s="74" t="e">
        <f t="shared" si="192"/>
        <v>#REF!</v>
      </c>
      <c r="P456" s="75" t="e">
        <f t="shared" si="193"/>
        <v>#REF!</v>
      </c>
      <c r="Q456" s="75" t="e">
        <f t="shared" si="194"/>
        <v>#REF!</v>
      </c>
      <c r="R456" s="132"/>
      <c r="S456" s="133"/>
    </row>
    <row r="457" spans="1:19" x14ac:dyDescent="0.25">
      <c r="A457" s="70" t="e">
        <f>'Date Calcs'!#REF!</f>
        <v>#REF!</v>
      </c>
      <c r="B457" s="71" t="e">
        <f>'Date Calcs'!#REF!</f>
        <v>#REF!</v>
      </c>
      <c r="C457" s="72" t="e">
        <f>'Date Calcs'!#REF!</f>
        <v>#REF!</v>
      </c>
      <c r="D457" s="73" t="e">
        <f t="shared" ref="D457:D520" si="195">WORKDAY(F457,-1,)</f>
        <v>#REF!</v>
      </c>
      <c r="E457" s="66">
        <v>44480</v>
      </c>
      <c r="F457" s="73" t="e">
        <f>'Date Calcs'!#REF!</f>
        <v>#REF!</v>
      </c>
      <c r="G457" s="73" t="e">
        <f>IF(VLOOKUP(A457,'Actual Dates'!A4:AF585,8,),'Actual Dates'!#REF!,"")</f>
        <v>#REF!</v>
      </c>
      <c r="H457" s="73" t="e">
        <f t="shared" ref="H457:H520" si="196">WORKDAY(L457,3,)</f>
        <v>#REF!</v>
      </c>
      <c r="I457" s="73" t="e">
        <f>IF(VLOOKUP(A457,'Actual Dates'!A4:AF580,25,),'Actual Dates'!#REF!,"")</f>
        <v>#REF!</v>
      </c>
      <c r="J457" s="73" t="e">
        <f t="shared" ref="J457:J520" si="197">WORKDAY(L457,4,)</f>
        <v>#REF!</v>
      </c>
      <c r="K457" s="73" t="e">
        <f>IF(VLOOKUP(A457,'Actual Dates'!A4:AF608,26,),'Actual Dates'!#REF!,"")</f>
        <v>#REF!</v>
      </c>
      <c r="L457" s="73" t="e">
        <f>IF(VLOOKUP(A457,'Actual Dates'!A4:AF608,21,),'Actual Dates'!#REF!,"")</f>
        <v>#REF!</v>
      </c>
      <c r="M457" s="73" t="e">
        <f>'Date Calcs'!#REF!</f>
        <v>#REF!</v>
      </c>
      <c r="N457" s="73" t="e">
        <f>IF(VLOOKUP(A457,'Actual Dates'!A4:AF608,27,),'Actual Dates'!#REF!,"")</f>
        <v>#REF!</v>
      </c>
      <c r="O457" s="74" t="e">
        <f t="shared" ref="O457:O520" si="198">N457-C457</f>
        <v>#REF!</v>
      </c>
      <c r="P457" s="75" t="e">
        <f t="shared" ref="P457:P520" si="199">F457-G457</f>
        <v>#REF!</v>
      </c>
      <c r="Q457" s="75" t="e">
        <f t="shared" ref="Q457:Q520" si="200">M457-N457</f>
        <v>#REF!</v>
      </c>
      <c r="R457" s="132"/>
      <c r="S457" s="133"/>
    </row>
    <row r="458" spans="1:19" x14ac:dyDescent="0.25">
      <c r="A458" s="70" t="e">
        <f>'Date Calcs'!#REF!</f>
        <v>#REF!</v>
      </c>
      <c r="B458" s="71" t="e">
        <f>'Date Calcs'!#REF!</f>
        <v>#REF!</v>
      </c>
      <c r="C458" s="72" t="e">
        <f>'Date Calcs'!#REF!</f>
        <v>#REF!</v>
      </c>
      <c r="D458" s="73" t="e">
        <f t="shared" si="195"/>
        <v>#REF!</v>
      </c>
      <c r="E458" s="66">
        <v>44481</v>
      </c>
      <c r="F458" s="73" t="e">
        <f>'Date Calcs'!#REF!</f>
        <v>#REF!</v>
      </c>
      <c r="G458" s="73" t="e">
        <f>IF(VLOOKUP(A458,'Actual Dates'!A4:AF586,8,),'Actual Dates'!#REF!,"")</f>
        <v>#REF!</v>
      </c>
      <c r="H458" s="73" t="e">
        <f t="shared" si="196"/>
        <v>#REF!</v>
      </c>
      <c r="I458" s="73" t="e">
        <f>IF(VLOOKUP(A458,'Actual Dates'!A4:AF581,25,),'Actual Dates'!#REF!,"")</f>
        <v>#REF!</v>
      </c>
      <c r="J458" s="73" t="e">
        <f t="shared" si="197"/>
        <v>#REF!</v>
      </c>
      <c r="K458" s="73" t="e">
        <f>IF(VLOOKUP(A458,'Actual Dates'!A4:AF609,26,),'Actual Dates'!#REF!,"")</f>
        <v>#REF!</v>
      </c>
      <c r="L458" s="73" t="e">
        <f>IF(VLOOKUP(A458,'Actual Dates'!A4:AF609,21,),'Actual Dates'!#REF!,"")</f>
        <v>#REF!</v>
      </c>
      <c r="M458" s="73" t="e">
        <f>'Date Calcs'!#REF!</f>
        <v>#REF!</v>
      </c>
      <c r="N458" s="73" t="e">
        <f>IF(VLOOKUP(A458,'Actual Dates'!A4:AF609,27,),'Actual Dates'!#REF!,"")</f>
        <v>#REF!</v>
      </c>
      <c r="O458" s="74" t="e">
        <f t="shared" si="198"/>
        <v>#REF!</v>
      </c>
      <c r="P458" s="75" t="e">
        <f t="shared" si="199"/>
        <v>#REF!</v>
      </c>
      <c r="Q458" s="75" t="e">
        <f t="shared" si="200"/>
        <v>#REF!</v>
      </c>
      <c r="R458" s="132"/>
      <c r="S458" s="133"/>
    </row>
    <row r="459" spans="1:19" x14ac:dyDescent="0.25">
      <c r="A459" s="70" t="e">
        <f>'Date Calcs'!#REF!</f>
        <v>#REF!</v>
      </c>
      <c r="B459" s="71" t="e">
        <f>'Date Calcs'!#REF!</f>
        <v>#REF!</v>
      </c>
      <c r="C459" s="72" t="e">
        <f>'Date Calcs'!#REF!</f>
        <v>#REF!</v>
      </c>
      <c r="D459" s="73" t="e">
        <f t="shared" si="195"/>
        <v>#REF!</v>
      </c>
      <c r="E459" s="66">
        <v>44482</v>
      </c>
      <c r="F459" s="73" t="e">
        <f>'Date Calcs'!#REF!</f>
        <v>#REF!</v>
      </c>
      <c r="G459" s="73" t="e">
        <f>IF(VLOOKUP(A459,'Actual Dates'!A4:AF587,8,),'Actual Dates'!#REF!,"")</f>
        <v>#REF!</v>
      </c>
      <c r="H459" s="73" t="e">
        <f t="shared" si="196"/>
        <v>#REF!</v>
      </c>
      <c r="I459" s="73" t="e">
        <f>IF(VLOOKUP(A459,'Actual Dates'!A4:AF582,25,),'Actual Dates'!#REF!,"")</f>
        <v>#REF!</v>
      </c>
      <c r="J459" s="73" t="e">
        <f t="shared" si="197"/>
        <v>#REF!</v>
      </c>
      <c r="K459" s="73" t="e">
        <f>IF(VLOOKUP(A459,'Actual Dates'!A4:AF610,26,),'Actual Dates'!#REF!,"")</f>
        <v>#REF!</v>
      </c>
      <c r="L459" s="73" t="e">
        <f>IF(VLOOKUP(A459,'Actual Dates'!A4:AF610,21,),'Actual Dates'!#REF!,"")</f>
        <v>#REF!</v>
      </c>
      <c r="M459" s="73" t="e">
        <f>'Date Calcs'!#REF!</f>
        <v>#REF!</v>
      </c>
      <c r="N459" s="73" t="e">
        <f>IF(VLOOKUP(A459,'Actual Dates'!A4:AF610,27,),'Actual Dates'!#REF!,"")</f>
        <v>#REF!</v>
      </c>
      <c r="O459" s="74" t="e">
        <f t="shared" si="198"/>
        <v>#REF!</v>
      </c>
      <c r="P459" s="75" t="e">
        <f t="shared" si="199"/>
        <v>#REF!</v>
      </c>
      <c r="Q459" s="75" t="e">
        <f t="shared" si="200"/>
        <v>#REF!</v>
      </c>
      <c r="R459" s="132"/>
      <c r="S459" s="133"/>
    </row>
    <row r="460" spans="1:19" x14ac:dyDescent="0.25">
      <c r="A460" s="70" t="e">
        <f>'Date Calcs'!#REF!</f>
        <v>#REF!</v>
      </c>
      <c r="B460" s="71" t="e">
        <f>'Date Calcs'!#REF!</f>
        <v>#REF!</v>
      </c>
      <c r="C460" s="72" t="e">
        <f>'Date Calcs'!#REF!</f>
        <v>#REF!</v>
      </c>
      <c r="D460" s="73" t="e">
        <f t="shared" si="195"/>
        <v>#REF!</v>
      </c>
      <c r="E460" s="66">
        <v>44483</v>
      </c>
      <c r="F460" s="73" t="e">
        <f>'Date Calcs'!#REF!</f>
        <v>#REF!</v>
      </c>
      <c r="G460" s="73" t="e">
        <f>IF(VLOOKUP(A460,'Actual Dates'!A4:AF588,8,),'Actual Dates'!#REF!,"")</f>
        <v>#REF!</v>
      </c>
      <c r="H460" s="73" t="e">
        <f t="shared" si="196"/>
        <v>#REF!</v>
      </c>
      <c r="I460" s="73" t="e">
        <f>IF(VLOOKUP(A460,'Actual Dates'!A4:AF583,25,),'Actual Dates'!#REF!,"")</f>
        <v>#REF!</v>
      </c>
      <c r="J460" s="73" t="e">
        <f t="shared" si="197"/>
        <v>#REF!</v>
      </c>
      <c r="K460" s="73" t="e">
        <f>IF(VLOOKUP(A460,'Actual Dates'!A4:AF611,26,),'Actual Dates'!#REF!,"")</f>
        <v>#REF!</v>
      </c>
      <c r="L460" s="73" t="e">
        <f>IF(VLOOKUP(A460,'Actual Dates'!A4:AF611,21,),'Actual Dates'!#REF!,"")</f>
        <v>#REF!</v>
      </c>
      <c r="M460" s="73" t="e">
        <f>'Date Calcs'!#REF!</f>
        <v>#REF!</v>
      </c>
      <c r="N460" s="73" t="e">
        <f>IF(VLOOKUP(A460,'Actual Dates'!A4:AF611,27,),'Actual Dates'!#REF!,"")</f>
        <v>#REF!</v>
      </c>
      <c r="O460" s="74" t="e">
        <f t="shared" si="198"/>
        <v>#REF!</v>
      </c>
      <c r="P460" s="75" t="e">
        <f t="shared" si="199"/>
        <v>#REF!</v>
      </c>
      <c r="Q460" s="75" t="e">
        <f t="shared" si="200"/>
        <v>#REF!</v>
      </c>
      <c r="R460" s="132"/>
      <c r="S460" s="133"/>
    </row>
    <row r="461" spans="1:19" x14ac:dyDescent="0.25">
      <c r="A461" s="70" t="e">
        <f>'Date Calcs'!#REF!</f>
        <v>#REF!</v>
      </c>
      <c r="B461" s="71" t="e">
        <f>'Date Calcs'!#REF!</f>
        <v>#REF!</v>
      </c>
      <c r="C461" s="72" t="e">
        <f>'Date Calcs'!#REF!</f>
        <v>#REF!</v>
      </c>
      <c r="D461" s="73" t="e">
        <f t="shared" si="195"/>
        <v>#REF!</v>
      </c>
      <c r="E461" s="66">
        <v>44484</v>
      </c>
      <c r="F461" s="73" t="e">
        <f>'Date Calcs'!#REF!</f>
        <v>#REF!</v>
      </c>
      <c r="G461" s="73" t="e">
        <f>IF(VLOOKUP(A461,'Actual Dates'!A4:AF589,8,),'Actual Dates'!#REF!,"")</f>
        <v>#REF!</v>
      </c>
      <c r="H461" s="73" t="e">
        <f t="shared" si="196"/>
        <v>#REF!</v>
      </c>
      <c r="I461" s="73" t="e">
        <f>IF(VLOOKUP(A461,'Actual Dates'!A4:AF584,25,),'Actual Dates'!#REF!,"")</f>
        <v>#REF!</v>
      </c>
      <c r="J461" s="73" t="e">
        <f t="shared" si="197"/>
        <v>#REF!</v>
      </c>
      <c r="K461" s="73" t="e">
        <f>IF(VLOOKUP(A461,'Actual Dates'!A4:AF612,26,),'Actual Dates'!#REF!,"")</f>
        <v>#REF!</v>
      </c>
      <c r="L461" s="73" t="e">
        <f>IF(VLOOKUP(A461,'Actual Dates'!A4:AF612,21,),'Actual Dates'!#REF!,"")</f>
        <v>#REF!</v>
      </c>
      <c r="M461" s="73" t="e">
        <f>'Date Calcs'!#REF!</f>
        <v>#REF!</v>
      </c>
      <c r="N461" s="73" t="e">
        <f>IF(VLOOKUP(A461,'Actual Dates'!A4:AF612,27,),'Actual Dates'!#REF!,"")</f>
        <v>#REF!</v>
      </c>
      <c r="O461" s="74" t="e">
        <f t="shared" si="198"/>
        <v>#REF!</v>
      </c>
      <c r="P461" s="75" t="e">
        <f t="shared" si="199"/>
        <v>#REF!</v>
      </c>
      <c r="Q461" s="75" t="e">
        <f t="shared" si="200"/>
        <v>#REF!</v>
      </c>
      <c r="R461" s="132"/>
      <c r="S461" s="133"/>
    </row>
    <row r="462" spans="1:19" x14ac:dyDescent="0.25">
      <c r="A462" s="70" t="e">
        <f>'Date Calcs'!#REF!</f>
        <v>#REF!</v>
      </c>
      <c r="B462" s="71" t="e">
        <f>'Date Calcs'!#REF!</f>
        <v>#REF!</v>
      </c>
      <c r="C462" s="72" t="e">
        <f>'Date Calcs'!#REF!</f>
        <v>#REF!</v>
      </c>
      <c r="D462" s="73" t="e">
        <f t="shared" si="195"/>
        <v>#REF!</v>
      </c>
      <c r="E462" s="66">
        <v>44485</v>
      </c>
      <c r="F462" s="73" t="e">
        <f>'Date Calcs'!#REF!</f>
        <v>#REF!</v>
      </c>
      <c r="G462" s="73" t="e">
        <f>IF(VLOOKUP(A462,'Actual Dates'!A4:AF590,8,),'Actual Dates'!#REF!,"")</f>
        <v>#REF!</v>
      </c>
      <c r="H462" s="73" t="e">
        <f t="shared" si="196"/>
        <v>#REF!</v>
      </c>
      <c r="I462" s="73" t="e">
        <f>IF(VLOOKUP(A462,'Actual Dates'!A4:AF585,25,),'Actual Dates'!#REF!,"")</f>
        <v>#REF!</v>
      </c>
      <c r="J462" s="73" t="e">
        <f t="shared" si="197"/>
        <v>#REF!</v>
      </c>
      <c r="K462" s="73" t="e">
        <f>IF(VLOOKUP(A462,'Actual Dates'!A4:AF613,26,),'Actual Dates'!#REF!,"")</f>
        <v>#REF!</v>
      </c>
      <c r="L462" s="73" t="e">
        <f>IF(VLOOKUP(A462,'Actual Dates'!A4:AF613,21,),'Actual Dates'!#REF!,"")</f>
        <v>#REF!</v>
      </c>
      <c r="M462" s="73" t="e">
        <f>'Date Calcs'!#REF!</f>
        <v>#REF!</v>
      </c>
      <c r="N462" s="73" t="e">
        <f>IF(VLOOKUP(A462,'Actual Dates'!A4:AF613,27,),'Actual Dates'!#REF!,"")</f>
        <v>#REF!</v>
      </c>
      <c r="O462" s="74" t="e">
        <f t="shared" si="198"/>
        <v>#REF!</v>
      </c>
      <c r="P462" s="75" t="e">
        <f t="shared" si="199"/>
        <v>#REF!</v>
      </c>
      <c r="Q462" s="75" t="e">
        <f t="shared" si="200"/>
        <v>#REF!</v>
      </c>
      <c r="R462" s="132"/>
      <c r="S462" s="133"/>
    </row>
    <row r="463" spans="1:19" x14ac:dyDescent="0.25">
      <c r="A463" s="70" t="e">
        <f>'Date Calcs'!#REF!</f>
        <v>#REF!</v>
      </c>
      <c r="B463" s="71" t="e">
        <f>'Date Calcs'!#REF!</f>
        <v>#REF!</v>
      </c>
      <c r="C463" s="72" t="e">
        <f>'Date Calcs'!#REF!</f>
        <v>#REF!</v>
      </c>
      <c r="D463" s="73" t="e">
        <f t="shared" si="195"/>
        <v>#REF!</v>
      </c>
      <c r="E463" s="66">
        <v>44486</v>
      </c>
      <c r="F463" s="73" t="e">
        <f>'Date Calcs'!#REF!</f>
        <v>#REF!</v>
      </c>
      <c r="G463" s="73" t="e">
        <f>IF(VLOOKUP(A463,'Actual Dates'!A4:AF591,8,),'Actual Dates'!#REF!,"")</f>
        <v>#REF!</v>
      </c>
      <c r="H463" s="73" t="e">
        <f t="shared" si="196"/>
        <v>#REF!</v>
      </c>
      <c r="I463" s="73" t="e">
        <f>IF(VLOOKUP(A463,'Actual Dates'!A4:AF586,25,),'Actual Dates'!#REF!,"")</f>
        <v>#REF!</v>
      </c>
      <c r="J463" s="73" t="e">
        <f t="shared" si="197"/>
        <v>#REF!</v>
      </c>
      <c r="K463" s="73" t="e">
        <f>IF(VLOOKUP(A463,'Actual Dates'!A4:AF614,26,),'Actual Dates'!#REF!,"")</f>
        <v>#REF!</v>
      </c>
      <c r="L463" s="73" t="e">
        <f>IF(VLOOKUP(A463,'Actual Dates'!A4:AF614,21,),'Actual Dates'!#REF!,"")</f>
        <v>#REF!</v>
      </c>
      <c r="M463" s="73" t="e">
        <f>'Date Calcs'!#REF!</f>
        <v>#REF!</v>
      </c>
      <c r="N463" s="73" t="e">
        <f>IF(VLOOKUP(A463,'Actual Dates'!A4:AF614,27,),'Actual Dates'!#REF!,"")</f>
        <v>#REF!</v>
      </c>
      <c r="O463" s="74" t="e">
        <f t="shared" si="198"/>
        <v>#REF!</v>
      </c>
      <c r="P463" s="75" t="e">
        <f t="shared" si="199"/>
        <v>#REF!</v>
      </c>
      <c r="Q463" s="75" t="e">
        <f t="shared" si="200"/>
        <v>#REF!</v>
      </c>
      <c r="R463" s="132"/>
      <c r="S463" s="133"/>
    </row>
    <row r="464" spans="1:19" x14ac:dyDescent="0.25">
      <c r="A464" s="70" t="e">
        <f>'Date Calcs'!#REF!</f>
        <v>#REF!</v>
      </c>
      <c r="B464" s="71" t="e">
        <f>'Date Calcs'!#REF!</f>
        <v>#REF!</v>
      </c>
      <c r="C464" s="72" t="e">
        <f>'Date Calcs'!#REF!</f>
        <v>#REF!</v>
      </c>
      <c r="D464" s="73" t="e">
        <f t="shared" si="195"/>
        <v>#REF!</v>
      </c>
      <c r="E464" s="66">
        <v>44487</v>
      </c>
      <c r="F464" s="73" t="e">
        <f>'Date Calcs'!#REF!</f>
        <v>#REF!</v>
      </c>
      <c r="G464" s="73" t="e">
        <f>IF(VLOOKUP(A464,'Actual Dates'!A4:AF592,8,),'Actual Dates'!#REF!,"")</f>
        <v>#REF!</v>
      </c>
      <c r="H464" s="73" t="e">
        <f t="shared" si="196"/>
        <v>#REF!</v>
      </c>
      <c r="I464" s="73" t="e">
        <f>IF(VLOOKUP(A464,'Actual Dates'!A4:AF587,25,),'Actual Dates'!#REF!,"")</f>
        <v>#REF!</v>
      </c>
      <c r="J464" s="73" t="e">
        <f t="shared" si="197"/>
        <v>#REF!</v>
      </c>
      <c r="K464" s="73" t="e">
        <f>IF(VLOOKUP(A464,'Actual Dates'!A4:AF615,26,),'Actual Dates'!#REF!,"")</f>
        <v>#REF!</v>
      </c>
      <c r="L464" s="73" t="e">
        <f>IF(VLOOKUP(A464,'Actual Dates'!A4:AF615,21,),'Actual Dates'!#REF!,"")</f>
        <v>#REF!</v>
      </c>
      <c r="M464" s="73" t="e">
        <f>'Date Calcs'!#REF!</f>
        <v>#REF!</v>
      </c>
      <c r="N464" s="73" t="e">
        <f>IF(VLOOKUP(A464,'Actual Dates'!A4:AF615,27,),'Actual Dates'!#REF!,"")</f>
        <v>#REF!</v>
      </c>
      <c r="O464" s="74" t="e">
        <f t="shared" si="198"/>
        <v>#REF!</v>
      </c>
      <c r="P464" s="75" t="e">
        <f t="shared" si="199"/>
        <v>#REF!</v>
      </c>
      <c r="Q464" s="75" t="e">
        <f t="shared" si="200"/>
        <v>#REF!</v>
      </c>
      <c r="R464" s="132"/>
      <c r="S464" s="133"/>
    </row>
    <row r="465" spans="1:19" x14ac:dyDescent="0.25">
      <c r="A465" s="70" t="e">
        <f>'Date Calcs'!#REF!</f>
        <v>#REF!</v>
      </c>
      <c r="B465" s="71" t="e">
        <f>'Date Calcs'!#REF!</f>
        <v>#REF!</v>
      </c>
      <c r="C465" s="72" t="e">
        <f>'Date Calcs'!#REF!</f>
        <v>#REF!</v>
      </c>
      <c r="D465" s="73" t="e">
        <f t="shared" si="195"/>
        <v>#REF!</v>
      </c>
      <c r="E465" s="66">
        <v>44488</v>
      </c>
      <c r="F465" s="73" t="e">
        <f>'Date Calcs'!#REF!</f>
        <v>#REF!</v>
      </c>
      <c r="G465" s="73" t="e">
        <f>IF(VLOOKUP(A465,'Actual Dates'!A4:AF593,8,),'Actual Dates'!#REF!,"")</f>
        <v>#REF!</v>
      </c>
      <c r="H465" s="73" t="e">
        <f t="shared" si="196"/>
        <v>#REF!</v>
      </c>
      <c r="I465" s="73" t="e">
        <f>IF(VLOOKUP(A465,'Actual Dates'!A4:AF588,25,),'Actual Dates'!#REF!,"")</f>
        <v>#REF!</v>
      </c>
      <c r="J465" s="73" t="e">
        <f t="shared" si="197"/>
        <v>#REF!</v>
      </c>
      <c r="K465" s="73" t="e">
        <f>IF(VLOOKUP(A465,'Actual Dates'!A4:AF616,26,),'Actual Dates'!#REF!,"")</f>
        <v>#REF!</v>
      </c>
      <c r="L465" s="73" t="e">
        <f>IF(VLOOKUP(A465,'Actual Dates'!A4:AF616,21,),'Actual Dates'!#REF!,"")</f>
        <v>#REF!</v>
      </c>
      <c r="M465" s="73" t="e">
        <f>'Date Calcs'!#REF!</f>
        <v>#REF!</v>
      </c>
      <c r="N465" s="73" t="e">
        <f>IF(VLOOKUP(A465,'Actual Dates'!A4:AF616,27,),'Actual Dates'!#REF!,"")</f>
        <v>#REF!</v>
      </c>
      <c r="O465" s="74" t="e">
        <f t="shared" si="198"/>
        <v>#REF!</v>
      </c>
      <c r="P465" s="75" t="e">
        <f t="shared" si="199"/>
        <v>#REF!</v>
      </c>
      <c r="Q465" s="75" t="e">
        <f t="shared" si="200"/>
        <v>#REF!</v>
      </c>
      <c r="R465" s="132"/>
      <c r="S465" s="133"/>
    </row>
    <row r="466" spans="1:19" x14ac:dyDescent="0.25">
      <c r="A466" s="70" t="e">
        <f>'Date Calcs'!#REF!</f>
        <v>#REF!</v>
      </c>
      <c r="B466" s="71" t="e">
        <f>'Date Calcs'!#REF!</f>
        <v>#REF!</v>
      </c>
      <c r="C466" s="72" t="e">
        <f>'Date Calcs'!#REF!</f>
        <v>#REF!</v>
      </c>
      <c r="D466" s="73" t="e">
        <f t="shared" si="195"/>
        <v>#REF!</v>
      </c>
      <c r="E466" s="66">
        <v>44489</v>
      </c>
      <c r="F466" s="73" t="e">
        <f>'Date Calcs'!#REF!</f>
        <v>#REF!</v>
      </c>
      <c r="G466" s="73" t="e">
        <f>IF(VLOOKUP(A466,'Actual Dates'!A4:AF594,8,),'Actual Dates'!#REF!,"")</f>
        <v>#REF!</v>
      </c>
      <c r="H466" s="73" t="e">
        <f t="shared" si="196"/>
        <v>#REF!</v>
      </c>
      <c r="I466" s="73" t="e">
        <f>IF(VLOOKUP(A466,'Actual Dates'!A4:AF589,25,),'Actual Dates'!#REF!,"")</f>
        <v>#REF!</v>
      </c>
      <c r="J466" s="73" t="e">
        <f t="shared" si="197"/>
        <v>#REF!</v>
      </c>
      <c r="K466" s="73" t="e">
        <f>IF(VLOOKUP(A466,'Actual Dates'!A4:AF617,26,),'Actual Dates'!#REF!,"")</f>
        <v>#REF!</v>
      </c>
      <c r="L466" s="73" t="e">
        <f>IF(VLOOKUP(A466,'Actual Dates'!A4:AF617,21,),'Actual Dates'!#REF!,"")</f>
        <v>#REF!</v>
      </c>
      <c r="M466" s="73" t="e">
        <f>'Date Calcs'!#REF!</f>
        <v>#REF!</v>
      </c>
      <c r="N466" s="73" t="e">
        <f>IF(VLOOKUP(A466,'Actual Dates'!A4:AF617,27,),'Actual Dates'!#REF!,"")</f>
        <v>#REF!</v>
      </c>
      <c r="O466" s="74" t="e">
        <f t="shared" si="198"/>
        <v>#REF!</v>
      </c>
      <c r="P466" s="75" t="e">
        <f t="shared" si="199"/>
        <v>#REF!</v>
      </c>
      <c r="Q466" s="75" t="e">
        <f t="shared" si="200"/>
        <v>#REF!</v>
      </c>
      <c r="R466" s="132"/>
      <c r="S466" s="133"/>
    </row>
    <row r="467" spans="1:19" x14ac:dyDescent="0.25">
      <c r="A467" s="70" t="e">
        <f>'Date Calcs'!#REF!</f>
        <v>#REF!</v>
      </c>
      <c r="B467" s="71" t="e">
        <f>'Date Calcs'!#REF!</f>
        <v>#REF!</v>
      </c>
      <c r="C467" s="72" t="e">
        <f>'Date Calcs'!#REF!</f>
        <v>#REF!</v>
      </c>
      <c r="D467" s="73" t="e">
        <f t="shared" si="195"/>
        <v>#REF!</v>
      </c>
      <c r="E467" s="66">
        <v>44490</v>
      </c>
      <c r="F467" s="73" t="e">
        <f>'Date Calcs'!#REF!</f>
        <v>#REF!</v>
      </c>
      <c r="G467" s="73" t="e">
        <f>IF(VLOOKUP(A467,'Actual Dates'!A4:AF595,8,),'Actual Dates'!#REF!,"")</f>
        <v>#REF!</v>
      </c>
      <c r="H467" s="73" t="e">
        <f t="shared" si="196"/>
        <v>#REF!</v>
      </c>
      <c r="I467" s="73" t="e">
        <f>IF(VLOOKUP(A467,'Actual Dates'!A4:AF590,25,),'Actual Dates'!#REF!,"")</f>
        <v>#REF!</v>
      </c>
      <c r="J467" s="73" t="e">
        <f t="shared" si="197"/>
        <v>#REF!</v>
      </c>
      <c r="K467" s="73" t="e">
        <f>IF(VLOOKUP(A467,'Actual Dates'!A4:AF618,26,),'Actual Dates'!#REF!,"")</f>
        <v>#REF!</v>
      </c>
      <c r="L467" s="73" t="e">
        <f>IF(VLOOKUP(A467,'Actual Dates'!A4:AF618,21,),'Actual Dates'!#REF!,"")</f>
        <v>#REF!</v>
      </c>
      <c r="M467" s="73" t="e">
        <f>'Date Calcs'!#REF!</f>
        <v>#REF!</v>
      </c>
      <c r="N467" s="73" t="e">
        <f>IF(VLOOKUP(A467,'Actual Dates'!A4:AF618,27,),'Actual Dates'!#REF!,"")</f>
        <v>#REF!</v>
      </c>
      <c r="O467" s="74" t="e">
        <f t="shared" si="198"/>
        <v>#REF!</v>
      </c>
      <c r="P467" s="75" t="e">
        <f t="shared" si="199"/>
        <v>#REF!</v>
      </c>
      <c r="Q467" s="75" t="e">
        <f t="shared" si="200"/>
        <v>#REF!</v>
      </c>
      <c r="R467" s="132"/>
      <c r="S467" s="133"/>
    </row>
    <row r="468" spans="1:19" x14ac:dyDescent="0.25">
      <c r="A468" s="70" t="e">
        <f>'Date Calcs'!#REF!</f>
        <v>#REF!</v>
      </c>
      <c r="B468" s="71" t="e">
        <f>'Date Calcs'!#REF!</f>
        <v>#REF!</v>
      </c>
      <c r="C468" s="72" t="e">
        <f>'Date Calcs'!#REF!</f>
        <v>#REF!</v>
      </c>
      <c r="D468" s="73" t="e">
        <f t="shared" si="195"/>
        <v>#REF!</v>
      </c>
      <c r="E468" s="66">
        <v>44491</v>
      </c>
      <c r="F468" s="73" t="e">
        <f>'Date Calcs'!#REF!</f>
        <v>#REF!</v>
      </c>
      <c r="G468" s="73" t="e">
        <f>IF(VLOOKUP(A468,'Actual Dates'!A4:AF596,8,),'Actual Dates'!#REF!,"")</f>
        <v>#REF!</v>
      </c>
      <c r="H468" s="73" t="e">
        <f t="shared" si="196"/>
        <v>#REF!</v>
      </c>
      <c r="I468" s="73" t="e">
        <f>IF(VLOOKUP(A468,'Actual Dates'!A4:AF591,25,),'Actual Dates'!#REF!,"")</f>
        <v>#REF!</v>
      </c>
      <c r="J468" s="73" t="e">
        <f t="shared" si="197"/>
        <v>#REF!</v>
      </c>
      <c r="K468" s="73" t="e">
        <f>IF(VLOOKUP(A468,'Actual Dates'!A4:AF619,26,),'Actual Dates'!#REF!,"")</f>
        <v>#REF!</v>
      </c>
      <c r="L468" s="73" t="e">
        <f>IF(VLOOKUP(A468,'Actual Dates'!A4:AF619,21,),'Actual Dates'!#REF!,"")</f>
        <v>#REF!</v>
      </c>
      <c r="M468" s="73" t="e">
        <f>'Date Calcs'!#REF!</f>
        <v>#REF!</v>
      </c>
      <c r="N468" s="73" t="e">
        <f>IF(VLOOKUP(A468,'Actual Dates'!A4:AF619,27,),'Actual Dates'!#REF!,"")</f>
        <v>#REF!</v>
      </c>
      <c r="O468" s="74" t="e">
        <f t="shared" si="198"/>
        <v>#REF!</v>
      </c>
      <c r="P468" s="75" t="e">
        <f t="shared" si="199"/>
        <v>#REF!</v>
      </c>
      <c r="Q468" s="75" t="e">
        <f t="shared" si="200"/>
        <v>#REF!</v>
      </c>
      <c r="R468" s="132"/>
      <c r="S468" s="133"/>
    </row>
    <row r="469" spans="1:19" x14ac:dyDescent="0.25">
      <c r="A469" s="70" t="e">
        <f>'Date Calcs'!#REF!</f>
        <v>#REF!</v>
      </c>
      <c r="B469" s="71" t="e">
        <f>'Date Calcs'!#REF!</f>
        <v>#REF!</v>
      </c>
      <c r="C469" s="72" t="e">
        <f>'Date Calcs'!#REF!</f>
        <v>#REF!</v>
      </c>
      <c r="D469" s="73" t="e">
        <f t="shared" si="195"/>
        <v>#REF!</v>
      </c>
      <c r="E469" s="66">
        <v>44492</v>
      </c>
      <c r="F469" s="73" t="e">
        <f>'Date Calcs'!#REF!</f>
        <v>#REF!</v>
      </c>
      <c r="G469" s="73" t="e">
        <f>IF(VLOOKUP(A469,'Actual Dates'!A4:AF597,8,),'Actual Dates'!#REF!,"")</f>
        <v>#REF!</v>
      </c>
      <c r="H469" s="73" t="e">
        <f t="shared" si="196"/>
        <v>#REF!</v>
      </c>
      <c r="I469" s="73" t="e">
        <f>IF(VLOOKUP(A469,'Actual Dates'!A4:AF592,25,),'Actual Dates'!#REF!,"")</f>
        <v>#REF!</v>
      </c>
      <c r="J469" s="73" t="e">
        <f t="shared" si="197"/>
        <v>#REF!</v>
      </c>
      <c r="K469" s="73" t="e">
        <f>IF(VLOOKUP(A469,'Actual Dates'!A4:AF620,26,),'Actual Dates'!#REF!,"")</f>
        <v>#REF!</v>
      </c>
      <c r="L469" s="73" t="e">
        <f>IF(VLOOKUP(A469,'Actual Dates'!A4:AF620,21,),'Actual Dates'!#REF!,"")</f>
        <v>#REF!</v>
      </c>
      <c r="M469" s="73" t="e">
        <f>'Date Calcs'!#REF!</f>
        <v>#REF!</v>
      </c>
      <c r="N469" s="73" t="e">
        <f>IF(VLOOKUP(A469,'Actual Dates'!A4:AF620,27,),'Actual Dates'!#REF!,"")</f>
        <v>#REF!</v>
      </c>
      <c r="O469" s="74" t="e">
        <f t="shared" si="198"/>
        <v>#REF!</v>
      </c>
      <c r="P469" s="75" t="e">
        <f t="shared" si="199"/>
        <v>#REF!</v>
      </c>
      <c r="Q469" s="75" t="e">
        <f t="shared" si="200"/>
        <v>#REF!</v>
      </c>
      <c r="R469" s="132"/>
      <c r="S469" s="133"/>
    </row>
    <row r="470" spans="1:19" x14ac:dyDescent="0.25">
      <c r="A470" s="70" t="e">
        <f>'Date Calcs'!#REF!</f>
        <v>#REF!</v>
      </c>
      <c r="B470" s="71" t="e">
        <f>'Date Calcs'!#REF!</f>
        <v>#REF!</v>
      </c>
      <c r="C470" s="72" t="e">
        <f>'Date Calcs'!#REF!</f>
        <v>#REF!</v>
      </c>
      <c r="D470" s="73" t="e">
        <f t="shared" si="195"/>
        <v>#REF!</v>
      </c>
      <c r="E470" s="66">
        <v>44493</v>
      </c>
      <c r="F470" s="73" t="e">
        <f>'Date Calcs'!#REF!</f>
        <v>#REF!</v>
      </c>
      <c r="G470" s="73" t="e">
        <f>IF(VLOOKUP(A470,'Actual Dates'!A4:AF598,8,),'Actual Dates'!#REF!,"")</f>
        <v>#REF!</v>
      </c>
      <c r="H470" s="73" t="e">
        <f t="shared" si="196"/>
        <v>#REF!</v>
      </c>
      <c r="I470" s="73" t="e">
        <f>IF(VLOOKUP(A470,'Actual Dates'!A4:AF593,25,),'Actual Dates'!#REF!,"")</f>
        <v>#REF!</v>
      </c>
      <c r="J470" s="73" t="e">
        <f t="shared" si="197"/>
        <v>#REF!</v>
      </c>
      <c r="K470" s="73" t="e">
        <f>IF(VLOOKUP(A470,'Actual Dates'!A4:AF621,26,),'Actual Dates'!#REF!,"")</f>
        <v>#REF!</v>
      </c>
      <c r="L470" s="73" t="e">
        <f>IF(VLOOKUP(A470,'Actual Dates'!A4:AF621,21,),'Actual Dates'!#REF!,"")</f>
        <v>#REF!</v>
      </c>
      <c r="M470" s="73" t="e">
        <f>'Date Calcs'!#REF!</f>
        <v>#REF!</v>
      </c>
      <c r="N470" s="73" t="e">
        <f>IF(VLOOKUP(A470,'Actual Dates'!A4:AF621,27,),'Actual Dates'!#REF!,"")</f>
        <v>#REF!</v>
      </c>
      <c r="O470" s="74" t="e">
        <f t="shared" si="198"/>
        <v>#REF!</v>
      </c>
      <c r="P470" s="75" t="e">
        <f t="shared" si="199"/>
        <v>#REF!</v>
      </c>
      <c r="Q470" s="75" t="e">
        <f t="shared" si="200"/>
        <v>#REF!</v>
      </c>
      <c r="R470" s="132"/>
      <c r="S470" s="133"/>
    </row>
    <row r="471" spans="1:19" x14ac:dyDescent="0.25">
      <c r="A471" s="70" t="e">
        <f>'Date Calcs'!#REF!</f>
        <v>#REF!</v>
      </c>
      <c r="B471" s="71" t="e">
        <f>'Date Calcs'!#REF!</f>
        <v>#REF!</v>
      </c>
      <c r="C471" s="72" t="e">
        <f>'Date Calcs'!#REF!</f>
        <v>#REF!</v>
      </c>
      <c r="D471" s="73" t="e">
        <f t="shared" si="195"/>
        <v>#REF!</v>
      </c>
      <c r="E471" s="66">
        <v>44494</v>
      </c>
      <c r="F471" s="73" t="e">
        <f>'Date Calcs'!#REF!</f>
        <v>#REF!</v>
      </c>
      <c r="G471" s="73" t="e">
        <f>IF(VLOOKUP(A471,'Actual Dates'!A4:AF599,8,),'Actual Dates'!#REF!,"")</f>
        <v>#REF!</v>
      </c>
      <c r="H471" s="73" t="e">
        <f t="shared" si="196"/>
        <v>#REF!</v>
      </c>
      <c r="I471" s="73" t="e">
        <f>IF(VLOOKUP(A471,'Actual Dates'!A4:AF594,25,),'Actual Dates'!#REF!,"")</f>
        <v>#REF!</v>
      </c>
      <c r="J471" s="73" t="e">
        <f t="shared" si="197"/>
        <v>#REF!</v>
      </c>
      <c r="K471" s="73" t="e">
        <f>IF(VLOOKUP(A471,'Actual Dates'!A4:AF622,26,),'Actual Dates'!#REF!,"")</f>
        <v>#REF!</v>
      </c>
      <c r="L471" s="73" t="e">
        <f>IF(VLOOKUP(A471,'Actual Dates'!A4:AF622,21,),'Actual Dates'!#REF!,"")</f>
        <v>#REF!</v>
      </c>
      <c r="M471" s="73" t="e">
        <f>'Date Calcs'!#REF!</f>
        <v>#REF!</v>
      </c>
      <c r="N471" s="73" t="e">
        <f>IF(VLOOKUP(A471,'Actual Dates'!A4:AF622,27,),'Actual Dates'!#REF!,"")</f>
        <v>#REF!</v>
      </c>
      <c r="O471" s="74" t="e">
        <f t="shared" si="198"/>
        <v>#REF!</v>
      </c>
      <c r="P471" s="75" t="e">
        <f t="shared" si="199"/>
        <v>#REF!</v>
      </c>
      <c r="Q471" s="75" t="e">
        <f t="shared" si="200"/>
        <v>#REF!</v>
      </c>
      <c r="R471" s="132"/>
      <c r="S471" s="133"/>
    </row>
    <row r="472" spans="1:19" x14ac:dyDescent="0.25">
      <c r="A472" s="70" t="e">
        <f>'Date Calcs'!#REF!</f>
        <v>#REF!</v>
      </c>
      <c r="B472" s="71" t="e">
        <f>'Date Calcs'!#REF!</f>
        <v>#REF!</v>
      </c>
      <c r="C472" s="72" t="e">
        <f>'Date Calcs'!#REF!</f>
        <v>#REF!</v>
      </c>
      <c r="D472" s="73" t="e">
        <f t="shared" si="195"/>
        <v>#REF!</v>
      </c>
      <c r="E472" s="66">
        <v>44495</v>
      </c>
      <c r="F472" s="73" t="e">
        <f>'Date Calcs'!#REF!</f>
        <v>#REF!</v>
      </c>
      <c r="G472" s="73" t="e">
        <f>IF(VLOOKUP(A472,'Actual Dates'!A4:AF600,8,),'Actual Dates'!#REF!,"")</f>
        <v>#REF!</v>
      </c>
      <c r="H472" s="73" t="e">
        <f t="shared" si="196"/>
        <v>#REF!</v>
      </c>
      <c r="I472" s="73" t="e">
        <f>IF(VLOOKUP(A472,'Actual Dates'!A4:AF595,25,),'Actual Dates'!#REF!,"")</f>
        <v>#REF!</v>
      </c>
      <c r="J472" s="73" t="e">
        <f t="shared" si="197"/>
        <v>#REF!</v>
      </c>
      <c r="K472" s="73" t="e">
        <f>IF(VLOOKUP(A472,'Actual Dates'!A4:AF623,26,),'Actual Dates'!#REF!,"")</f>
        <v>#REF!</v>
      </c>
      <c r="L472" s="73" t="e">
        <f>IF(VLOOKUP(A472,'Actual Dates'!A4:AF623,21,),'Actual Dates'!#REF!,"")</f>
        <v>#REF!</v>
      </c>
      <c r="M472" s="73" t="e">
        <f>'Date Calcs'!#REF!</f>
        <v>#REF!</v>
      </c>
      <c r="N472" s="73" t="e">
        <f>IF(VLOOKUP(A472,'Actual Dates'!A4:AF623,27,),'Actual Dates'!#REF!,"")</f>
        <v>#REF!</v>
      </c>
      <c r="O472" s="74" t="e">
        <f t="shared" si="198"/>
        <v>#REF!</v>
      </c>
      <c r="P472" s="75" t="e">
        <f t="shared" si="199"/>
        <v>#REF!</v>
      </c>
      <c r="Q472" s="75" t="e">
        <f t="shared" si="200"/>
        <v>#REF!</v>
      </c>
      <c r="R472" s="132"/>
      <c r="S472" s="133"/>
    </row>
    <row r="473" spans="1:19" x14ac:dyDescent="0.25">
      <c r="A473" s="70" t="e">
        <f>'Date Calcs'!#REF!</f>
        <v>#REF!</v>
      </c>
      <c r="B473" s="71" t="e">
        <f>'Date Calcs'!#REF!</f>
        <v>#REF!</v>
      </c>
      <c r="C473" s="72" t="e">
        <f>'Date Calcs'!#REF!</f>
        <v>#REF!</v>
      </c>
      <c r="D473" s="73" t="e">
        <f t="shared" si="195"/>
        <v>#REF!</v>
      </c>
      <c r="E473" s="66">
        <v>44496</v>
      </c>
      <c r="F473" s="73" t="e">
        <f>'Date Calcs'!#REF!</f>
        <v>#REF!</v>
      </c>
      <c r="G473" s="73" t="e">
        <f>IF(VLOOKUP(A473,'Actual Dates'!A4:AF601,8,),'Actual Dates'!#REF!,"")</f>
        <v>#REF!</v>
      </c>
      <c r="H473" s="73" t="e">
        <f t="shared" si="196"/>
        <v>#REF!</v>
      </c>
      <c r="I473" s="73" t="e">
        <f>IF(VLOOKUP(A473,'Actual Dates'!A4:AF596,25,),'Actual Dates'!#REF!,"")</f>
        <v>#REF!</v>
      </c>
      <c r="J473" s="73" t="e">
        <f t="shared" si="197"/>
        <v>#REF!</v>
      </c>
      <c r="K473" s="73" t="e">
        <f>IF(VLOOKUP(A473,'Actual Dates'!A4:AF624,26,),'Actual Dates'!#REF!,"")</f>
        <v>#REF!</v>
      </c>
      <c r="L473" s="73" t="e">
        <f>IF(VLOOKUP(A473,'Actual Dates'!A4:AF624,21,),'Actual Dates'!#REF!,"")</f>
        <v>#REF!</v>
      </c>
      <c r="M473" s="73" t="e">
        <f>'Date Calcs'!#REF!</f>
        <v>#REF!</v>
      </c>
      <c r="N473" s="73" t="e">
        <f>IF(VLOOKUP(A473,'Actual Dates'!A4:AF624,27,),'Actual Dates'!#REF!,"")</f>
        <v>#REF!</v>
      </c>
      <c r="O473" s="74" t="e">
        <f t="shared" si="198"/>
        <v>#REF!</v>
      </c>
      <c r="P473" s="75" t="e">
        <f t="shared" si="199"/>
        <v>#REF!</v>
      </c>
      <c r="Q473" s="75" t="e">
        <f t="shared" si="200"/>
        <v>#REF!</v>
      </c>
      <c r="R473" s="132"/>
      <c r="S473" s="133"/>
    </row>
    <row r="474" spans="1:19" x14ac:dyDescent="0.25">
      <c r="A474" s="70" t="e">
        <f>'Date Calcs'!#REF!</f>
        <v>#REF!</v>
      </c>
      <c r="B474" s="71" t="e">
        <f>'Date Calcs'!#REF!</f>
        <v>#REF!</v>
      </c>
      <c r="C474" s="72" t="e">
        <f>'Date Calcs'!#REF!</f>
        <v>#REF!</v>
      </c>
      <c r="D474" s="73" t="e">
        <f t="shared" si="195"/>
        <v>#REF!</v>
      </c>
      <c r="E474" s="66">
        <v>44497</v>
      </c>
      <c r="F474" s="73" t="e">
        <f>'Date Calcs'!#REF!</f>
        <v>#REF!</v>
      </c>
      <c r="G474" s="73" t="e">
        <f>IF(VLOOKUP(A474,'Actual Dates'!A4:AF602,8,),'Actual Dates'!#REF!,"")</f>
        <v>#REF!</v>
      </c>
      <c r="H474" s="73" t="e">
        <f t="shared" si="196"/>
        <v>#REF!</v>
      </c>
      <c r="I474" s="73" t="e">
        <f>IF(VLOOKUP(A474,'Actual Dates'!A4:AF597,25,),'Actual Dates'!#REF!,"")</f>
        <v>#REF!</v>
      </c>
      <c r="J474" s="73" t="e">
        <f t="shared" si="197"/>
        <v>#REF!</v>
      </c>
      <c r="K474" s="73" t="e">
        <f>IF(VLOOKUP(A474,'Actual Dates'!A4:AF625,26,),'Actual Dates'!#REF!,"")</f>
        <v>#REF!</v>
      </c>
      <c r="L474" s="73" t="e">
        <f>IF(VLOOKUP(A474,'Actual Dates'!A4:AF625,21,),'Actual Dates'!#REF!,"")</f>
        <v>#REF!</v>
      </c>
      <c r="M474" s="73" t="e">
        <f>'Date Calcs'!#REF!</f>
        <v>#REF!</v>
      </c>
      <c r="N474" s="73" t="e">
        <f>IF(VLOOKUP(A474,'Actual Dates'!A4:AF625,27,),'Actual Dates'!#REF!,"")</f>
        <v>#REF!</v>
      </c>
      <c r="O474" s="74" t="e">
        <f t="shared" si="198"/>
        <v>#REF!</v>
      </c>
      <c r="P474" s="75" t="e">
        <f t="shared" si="199"/>
        <v>#REF!</v>
      </c>
      <c r="Q474" s="75" t="e">
        <f t="shared" si="200"/>
        <v>#REF!</v>
      </c>
      <c r="R474" s="132"/>
      <c r="S474" s="133"/>
    </row>
    <row r="475" spans="1:19" x14ac:dyDescent="0.25">
      <c r="A475" s="70" t="e">
        <f>'Date Calcs'!#REF!</f>
        <v>#REF!</v>
      </c>
      <c r="B475" s="71" t="e">
        <f>'Date Calcs'!#REF!</f>
        <v>#REF!</v>
      </c>
      <c r="C475" s="72" t="e">
        <f>'Date Calcs'!#REF!</f>
        <v>#REF!</v>
      </c>
      <c r="D475" s="73" t="e">
        <f t="shared" si="195"/>
        <v>#REF!</v>
      </c>
      <c r="E475" s="66">
        <v>44498</v>
      </c>
      <c r="F475" s="73" t="e">
        <f>'Date Calcs'!#REF!</f>
        <v>#REF!</v>
      </c>
      <c r="G475" s="73" t="e">
        <f>IF(VLOOKUP(A475,'Actual Dates'!A4:AF603,8,),'Actual Dates'!#REF!,"")</f>
        <v>#REF!</v>
      </c>
      <c r="H475" s="73" t="e">
        <f t="shared" si="196"/>
        <v>#REF!</v>
      </c>
      <c r="I475" s="73" t="e">
        <f>IF(VLOOKUP(A475,'Actual Dates'!A4:AF598,25,),'Actual Dates'!#REF!,"")</f>
        <v>#REF!</v>
      </c>
      <c r="J475" s="73" t="e">
        <f t="shared" si="197"/>
        <v>#REF!</v>
      </c>
      <c r="K475" s="73" t="e">
        <f>IF(VLOOKUP(A475,'Actual Dates'!A4:AF626,26,),'Actual Dates'!#REF!,"")</f>
        <v>#REF!</v>
      </c>
      <c r="L475" s="73" t="e">
        <f>IF(VLOOKUP(A475,'Actual Dates'!A4:AF626,21,),'Actual Dates'!#REF!,"")</f>
        <v>#REF!</v>
      </c>
      <c r="M475" s="73" t="e">
        <f>'Date Calcs'!#REF!</f>
        <v>#REF!</v>
      </c>
      <c r="N475" s="73" t="e">
        <f>IF(VLOOKUP(A475,'Actual Dates'!A4:AF626,27,),'Actual Dates'!#REF!,"")</f>
        <v>#REF!</v>
      </c>
      <c r="O475" s="74" t="e">
        <f t="shared" si="198"/>
        <v>#REF!</v>
      </c>
      <c r="P475" s="75" t="e">
        <f t="shared" si="199"/>
        <v>#REF!</v>
      </c>
      <c r="Q475" s="75" t="e">
        <f t="shared" si="200"/>
        <v>#REF!</v>
      </c>
      <c r="R475" s="132"/>
      <c r="S475" s="133"/>
    </row>
    <row r="476" spans="1:19" x14ac:dyDescent="0.25">
      <c r="A476" s="70" t="e">
        <f>'Date Calcs'!#REF!</f>
        <v>#REF!</v>
      </c>
      <c r="B476" s="71" t="e">
        <f>'Date Calcs'!#REF!</f>
        <v>#REF!</v>
      </c>
      <c r="C476" s="72" t="e">
        <f>'Date Calcs'!#REF!</f>
        <v>#REF!</v>
      </c>
      <c r="D476" s="73" t="e">
        <f t="shared" si="195"/>
        <v>#REF!</v>
      </c>
      <c r="E476" s="66">
        <v>44499</v>
      </c>
      <c r="F476" s="73" t="e">
        <f>'Date Calcs'!#REF!</f>
        <v>#REF!</v>
      </c>
      <c r="G476" s="73" t="e">
        <f>IF(VLOOKUP(A476,'Actual Dates'!A4:AF604,8,),'Actual Dates'!#REF!,"")</f>
        <v>#REF!</v>
      </c>
      <c r="H476" s="73" t="e">
        <f t="shared" si="196"/>
        <v>#REF!</v>
      </c>
      <c r="I476" s="73" t="e">
        <f>IF(VLOOKUP(A476,'Actual Dates'!A4:AF599,25,),'Actual Dates'!#REF!,"")</f>
        <v>#REF!</v>
      </c>
      <c r="J476" s="73" t="e">
        <f t="shared" si="197"/>
        <v>#REF!</v>
      </c>
      <c r="K476" s="73" t="e">
        <f>IF(VLOOKUP(A476,'Actual Dates'!A4:AF627,26,),'Actual Dates'!#REF!,"")</f>
        <v>#REF!</v>
      </c>
      <c r="L476" s="73" t="e">
        <f>IF(VLOOKUP(A476,'Actual Dates'!A4:AF627,21,),'Actual Dates'!#REF!,"")</f>
        <v>#REF!</v>
      </c>
      <c r="M476" s="73" t="e">
        <f>'Date Calcs'!#REF!</f>
        <v>#REF!</v>
      </c>
      <c r="N476" s="73" t="e">
        <f>IF(VLOOKUP(A476,'Actual Dates'!A4:AF627,27,),'Actual Dates'!#REF!,"")</f>
        <v>#REF!</v>
      </c>
      <c r="O476" s="74" t="e">
        <f t="shared" si="198"/>
        <v>#REF!</v>
      </c>
      <c r="P476" s="75" t="e">
        <f t="shared" si="199"/>
        <v>#REF!</v>
      </c>
      <c r="Q476" s="75" t="e">
        <f t="shared" si="200"/>
        <v>#REF!</v>
      </c>
      <c r="R476" s="132"/>
      <c r="S476" s="133"/>
    </row>
    <row r="477" spans="1:19" x14ac:dyDescent="0.25">
      <c r="A477" s="70" t="e">
        <f>'Date Calcs'!#REF!</f>
        <v>#REF!</v>
      </c>
      <c r="B477" s="71" t="e">
        <f>'Date Calcs'!#REF!</f>
        <v>#REF!</v>
      </c>
      <c r="C477" s="72" t="e">
        <f>'Date Calcs'!#REF!</f>
        <v>#REF!</v>
      </c>
      <c r="D477" s="73" t="e">
        <f t="shared" si="195"/>
        <v>#REF!</v>
      </c>
      <c r="E477" s="66">
        <v>44500</v>
      </c>
      <c r="F477" s="73" t="e">
        <f>'Date Calcs'!#REF!</f>
        <v>#REF!</v>
      </c>
      <c r="G477" s="73" t="e">
        <f>IF(VLOOKUP(A477,'Actual Dates'!A4:AF605,8,),'Actual Dates'!#REF!,"")</f>
        <v>#REF!</v>
      </c>
      <c r="H477" s="73" t="e">
        <f t="shared" si="196"/>
        <v>#REF!</v>
      </c>
      <c r="I477" s="73" t="e">
        <f>IF(VLOOKUP(A477,'Actual Dates'!A4:AF600,25,),'Actual Dates'!#REF!,"")</f>
        <v>#REF!</v>
      </c>
      <c r="J477" s="73" t="e">
        <f t="shared" si="197"/>
        <v>#REF!</v>
      </c>
      <c r="K477" s="73" t="e">
        <f>IF(VLOOKUP(A477,'Actual Dates'!A4:AF628,26,),'Actual Dates'!#REF!,"")</f>
        <v>#REF!</v>
      </c>
      <c r="L477" s="73" t="e">
        <f>IF(VLOOKUP(A477,'Actual Dates'!A4:AF628,21,),'Actual Dates'!#REF!,"")</f>
        <v>#REF!</v>
      </c>
      <c r="M477" s="73" t="e">
        <f>'Date Calcs'!#REF!</f>
        <v>#REF!</v>
      </c>
      <c r="N477" s="73" t="e">
        <f>IF(VLOOKUP(A477,'Actual Dates'!A4:AF628,27,),'Actual Dates'!#REF!,"")</f>
        <v>#REF!</v>
      </c>
      <c r="O477" s="74" t="e">
        <f t="shared" si="198"/>
        <v>#REF!</v>
      </c>
      <c r="P477" s="75" t="e">
        <f t="shared" si="199"/>
        <v>#REF!</v>
      </c>
      <c r="Q477" s="75" t="e">
        <f t="shared" si="200"/>
        <v>#REF!</v>
      </c>
      <c r="R477" s="132"/>
      <c r="S477" s="133"/>
    </row>
    <row r="478" spans="1:19" x14ac:dyDescent="0.25">
      <c r="A478" s="70" t="e">
        <f>'Date Calcs'!#REF!</f>
        <v>#REF!</v>
      </c>
      <c r="B478" s="71" t="e">
        <f>'Date Calcs'!#REF!</f>
        <v>#REF!</v>
      </c>
      <c r="C478" s="72" t="e">
        <f>'Date Calcs'!#REF!</f>
        <v>#REF!</v>
      </c>
      <c r="D478" s="73" t="e">
        <f t="shared" si="195"/>
        <v>#REF!</v>
      </c>
      <c r="E478" s="66">
        <v>44501</v>
      </c>
      <c r="F478" s="73" t="e">
        <f>'Date Calcs'!#REF!</f>
        <v>#REF!</v>
      </c>
      <c r="G478" s="73" t="e">
        <f>IF(VLOOKUP(A478,'Actual Dates'!A4:AF606,8,),'Actual Dates'!#REF!,"")</f>
        <v>#REF!</v>
      </c>
      <c r="H478" s="73" t="e">
        <f t="shared" si="196"/>
        <v>#REF!</v>
      </c>
      <c r="I478" s="73" t="e">
        <f>IF(VLOOKUP(A478,'Actual Dates'!A4:AF601,25,),'Actual Dates'!#REF!,"")</f>
        <v>#REF!</v>
      </c>
      <c r="J478" s="73" t="e">
        <f t="shared" si="197"/>
        <v>#REF!</v>
      </c>
      <c r="K478" s="73" t="e">
        <f>IF(VLOOKUP(A478,'Actual Dates'!A4:AF629,26,),'Actual Dates'!#REF!,"")</f>
        <v>#REF!</v>
      </c>
      <c r="L478" s="73" t="e">
        <f>IF(VLOOKUP(A478,'Actual Dates'!A4:AF629,21,),'Actual Dates'!#REF!,"")</f>
        <v>#REF!</v>
      </c>
      <c r="M478" s="73" t="e">
        <f>'Date Calcs'!#REF!</f>
        <v>#REF!</v>
      </c>
      <c r="N478" s="73" t="e">
        <f>IF(VLOOKUP(A478,'Actual Dates'!A4:AF629,27,),'Actual Dates'!#REF!,"")</f>
        <v>#REF!</v>
      </c>
      <c r="O478" s="74" t="e">
        <f t="shared" si="198"/>
        <v>#REF!</v>
      </c>
      <c r="P478" s="75" t="e">
        <f t="shared" si="199"/>
        <v>#REF!</v>
      </c>
      <c r="Q478" s="75" t="e">
        <f t="shared" si="200"/>
        <v>#REF!</v>
      </c>
      <c r="R478" s="132"/>
      <c r="S478" s="133"/>
    </row>
    <row r="479" spans="1:19" x14ac:dyDescent="0.25">
      <c r="A479" s="70" t="e">
        <f>'Date Calcs'!#REF!</f>
        <v>#REF!</v>
      </c>
      <c r="B479" s="71" t="e">
        <f>'Date Calcs'!#REF!</f>
        <v>#REF!</v>
      </c>
      <c r="C479" s="72" t="e">
        <f>'Date Calcs'!#REF!</f>
        <v>#REF!</v>
      </c>
      <c r="D479" s="73" t="e">
        <f t="shared" si="195"/>
        <v>#REF!</v>
      </c>
      <c r="E479" s="66">
        <v>44502</v>
      </c>
      <c r="F479" s="73" t="e">
        <f>'Date Calcs'!#REF!</f>
        <v>#REF!</v>
      </c>
      <c r="G479" s="73" t="e">
        <f>IF(VLOOKUP(A479,'Actual Dates'!A4:AF607,8,),'Actual Dates'!#REF!,"")</f>
        <v>#REF!</v>
      </c>
      <c r="H479" s="73" t="e">
        <f t="shared" si="196"/>
        <v>#REF!</v>
      </c>
      <c r="I479" s="73" t="e">
        <f>IF(VLOOKUP(A479,'Actual Dates'!A4:AF602,25,),'Actual Dates'!#REF!,"")</f>
        <v>#REF!</v>
      </c>
      <c r="J479" s="73" t="e">
        <f t="shared" si="197"/>
        <v>#REF!</v>
      </c>
      <c r="K479" s="73" t="e">
        <f>IF(VLOOKUP(A479,'Actual Dates'!A4:AF630,26,),'Actual Dates'!#REF!,"")</f>
        <v>#REF!</v>
      </c>
      <c r="L479" s="73" t="e">
        <f>IF(VLOOKUP(A479,'Actual Dates'!A4:AF630,21,),'Actual Dates'!#REF!,"")</f>
        <v>#REF!</v>
      </c>
      <c r="M479" s="73" t="e">
        <f>'Date Calcs'!#REF!</f>
        <v>#REF!</v>
      </c>
      <c r="N479" s="73" t="e">
        <f>IF(VLOOKUP(A479,'Actual Dates'!A4:AF630,27,),'Actual Dates'!#REF!,"")</f>
        <v>#REF!</v>
      </c>
      <c r="O479" s="74" t="e">
        <f t="shared" si="198"/>
        <v>#REF!</v>
      </c>
      <c r="P479" s="75" t="e">
        <f t="shared" si="199"/>
        <v>#REF!</v>
      </c>
      <c r="Q479" s="75" t="e">
        <f t="shared" si="200"/>
        <v>#REF!</v>
      </c>
      <c r="R479" s="132"/>
      <c r="S479" s="133"/>
    </row>
    <row r="480" spans="1:19" x14ac:dyDescent="0.25">
      <c r="A480" s="70" t="e">
        <f>'Date Calcs'!#REF!</f>
        <v>#REF!</v>
      </c>
      <c r="B480" s="71" t="e">
        <f>'Date Calcs'!#REF!</f>
        <v>#REF!</v>
      </c>
      <c r="C480" s="72" t="e">
        <f>'Date Calcs'!#REF!</f>
        <v>#REF!</v>
      </c>
      <c r="D480" s="73" t="e">
        <f t="shared" si="195"/>
        <v>#REF!</v>
      </c>
      <c r="E480" s="66">
        <v>44503</v>
      </c>
      <c r="F480" s="73" t="e">
        <f>'Date Calcs'!#REF!</f>
        <v>#REF!</v>
      </c>
      <c r="G480" s="73" t="e">
        <f>IF(VLOOKUP(A480,'Actual Dates'!A4:AF608,8,),'Actual Dates'!#REF!,"")</f>
        <v>#REF!</v>
      </c>
      <c r="H480" s="73" t="e">
        <f t="shared" si="196"/>
        <v>#REF!</v>
      </c>
      <c r="I480" s="73" t="e">
        <f>IF(VLOOKUP(A480,'Actual Dates'!A4:AF603,25,),'Actual Dates'!#REF!,"")</f>
        <v>#REF!</v>
      </c>
      <c r="J480" s="73" t="e">
        <f t="shared" si="197"/>
        <v>#REF!</v>
      </c>
      <c r="K480" s="73" t="e">
        <f>IF(VLOOKUP(A480,'Actual Dates'!A4:AF631,26,),'Actual Dates'!#REF!,"")</f>
        <v>#REF!</v>
      </c>
      <c r="L480" s="73" t="e">
        <f>IF(VLOOKUP(A480,'Actual Dates'!A4:AF631,21,),'Actual Dates'!#REF!,"")</f>
        <v>#REF!</v>
      </c>
      <c r="M480" s="73" t="e">
        <f>'Date Calcs'!#REF!</f>
        <v>#REF!</v>
      </c>
      <c r="N480" s="73" t="e">
        <f>IF(VLOOKUP(A480,'Actual Dates'!A4:AF631,27,),'Actual Dates'!#REF!,"")</f>
        <v>#REF!</v>
      </c>
      <c r="O480" s="74" t="e">
        <f t="shared" si="198"/>
        <v>#REF!</v>
      </c>
      <c r="P480" s="75" t="e">
        <f t="shared" si="199"/>
        <v>#REF!</v>
      </c>
      <c r="Q480" s="75" t="e">
        <f t="shared" si="200"/>
        <v>#REF!</v>
      </c>
      <c r="R480" s="132"/>
      <c r="S480" s="133"/>
    </row>
    <row r="481" spans="1:19" x14ac:dyDescent="0.25">
      <c r="A481" s="70" t="e">
        <f>'Date Calcs'!#REF!</f>
        <v>#REF!</v>
      </c>
      <c r="B481" s="71" t="e">
        <f>'Date Calcs'!#REF!</f>
        <v>#REF!</v>
      </c>
      <c r="C481" s="72" t="e">
        <f>'Date Calcs'!#REF!</f>
        <v>#REF!</v>
      </c>
      <c r="D481" s="73" t="e">
        <f t="shared" si="195"/>
        <v>#REF!</v>
      </c>
      <c r="E481" s="66">
        <v>44504</v>
      </c>
      <c r="F481" s="73" t="e">
        <f>'Date Calcs'!#REF!</f>
        <v>#REF!</v>
      </c>
      <c r="G481" s="73" t="e">
        <f>IF(VLOOKUP(A481,'Actual Dates'!A4:AF609,8,),'Actual Dates'!#REF!,"")</f>
        <v>#REF!</v>
      </c>
      <c r="H481" s="73" t="e">
        <f t="shared" si="196"/>
        <v>#REF!</v>
      </c>
      <c r="I481" s="73" t="e">
        <f>IF(VLOOKUP(A481,'Actual Dates'!A4:AF604,25,),'Actual Dates'!#REF!,"")</f>
        <v>#REF!</v>
      </c>
      <c r="J481" s="73" t="e">
        <f t="shared" si="197"/>
        <v>#REF!</v>
      </c>
      <c r="K481" s="73" t="e">
        <f>IF(VLOOKUP(A481,'Actual Dates'!A4:AF632,26,),'Actual Dates'!#REF!,"")</f>
        <v>#REF!</v>
      </c>
      <c r="L481" s="73" t="e">
        <f>IF(VLOOKUP(A481,'Actual Dates'!A4:AF632,21,),'Actual Dates'!#REF!,"")</f>
        <v>#REF!</v>
      </c>
      <c r="M481" s="73" t="e">
        <f>'Date Calcs'!#REF!</f>
        <v>#REF!</v>
      </c>
      <c r="N481" s="73" t="e">
        <f>IF(VLOOKUP(A481,'Actual Dates'!A4:AF632,27,),'Actual Dates'!#REF!,"")</f>
        <v>#REF!</v>
      </c>
      <c r="O481" s="74" t="e">
        <f t="shared" si="198"/>
        <v>#REF!</v>
      </c>
      <c r="P481" s="75" t="e">
        <f t="shared" si="199"/>
        <v>#REF!</v>
      </c>
      <c r="Q481" s="75" t="e">
        <f t="shared" si="200"/>
        <v>#REF!</v>
      </c>
      <c r="R481" s="132"/>
      <c r="S481" s="133"/>
    </row>
    <row r="482" spans="1:19" x14ac:dyDescent="0.25">
      <c r="A482" s="70" t="e">
        <f>'Date Calcs'!#REF!</f>
        <v>#REF!</v>
      </c>
      <c r="B482" s="71" t="e">
        <f>'Date Calcs'!#REF!</f>
        <v>#REF!</v>
      </c>
      <c r="C482" s="72" t="e">
        <f>'Date Calcs'!#REF!</f>
        <v>#REF!</v>
      </c>
      <c r="D482" s="73" t="e">
        <f t="shared" si="195"/>
        <v>#REF!</v>
      </c>
      <c r="E482" s="66">
        <v>44505</v>
      </c>
      <c r="F482" s="73" t="e">
        <f>'Date Calcs'!#REF!</f>
        <v>#REF!</v>
      </c>
      <c r="G482" s="73" t="e">
        <f>IF(VLOOKUP(A482,'Actual Dates'!A4:AF610,8,),'Actual Dates'!#REF!,"")</f>
        <v>#REF!</v>
      </c>
      <c r="H482" s="73" t="e">
        <f t="shared" si="196"/>
        <v>#REF!</v>
      </c>
      <c r="I482" s="73" t="e">
        <f>IF(VLOOKUP(A482,'Actual Dates'!A4:AF605,25,),'Actual Dates'!#REF!,"")</f>
        <v>#REF!</v>
      </c>
      <c r="J482" s="73" t="e">
        <f t="shared" si="197"/>
        <v>#REF!</v>
      </c>
      <c r="K482" s="73" t="e">
        <f>IF(VLOOKUP(A482,'Actual Dates'!A4:AF633,26,),'Actual Dates'!#REF!,"")</f>
        <v>#REF!</v>
      </c>
      <c r="L482" s="73" t="e">
        <f>IF(VLOOKUP(A482,'Actual Dates'!A4:AF633,21,),'Actual Dates'!#REF!,"")</f>
        <v>#REF!</v>
      </c>
      <c r="M482" s="73" t="e">
        <f>'Date Calcs'!#REF!</f>
        <v>#REF!</v>
      </c>
      <c r="N482" s="73" t="e">
        <f>IF(VLOOKUP(A482,'Actual Dates'!A4:AF633,27,),'Actual Dates'!#REF!,"")</f>
        <v>#REF!</v>
      </c>
      <c r="O482" s="74" t="e">
        <f t="shared" si="198"/>
        <v>#REF!</v>
      </c>
      <c r="P482" s="75" t="e">
        <f t="shared" si="199"/>
        <v>#REF!</v>
      </c>
      <c r="Q482" s="75" t="e">
        <f t="shared" si="200"/>
        <v>#REF!</v>
      </c>
      <c r="R482" s="132"/>
      <c r="S482" s="133"/>
    </row>
    <row r="483" spans="1:19" x14ac:dyDescent="0.25">
      <c r="A483" s="70" t="e">
        <f>'Date Calcs'!#REF!</f>
        <v>#REF!</v>
      </c>
      <c r="B483" s="71" t="e">
        <f>'Date Calcs'!#REF!</f>
        <v>#REF!</v>
      </c>
      <c r="C483" s="72" t="e">
        <f>'Date Calcs'!#REF!</f>
        <v>#REF!</v>
      </c>
      <c r="D483" s="73" t="e">
        <f t="shared" si="195"/>
        <v>#REF!</v>
      </c>
      <c r="E483" s="66">
        <v>44506</v>
      </c>
      <c r="F483" s="73" t="e">
        <f>'Date Calcs'!#REF!</f>
        <v>#REF!</v>
      </c>
      <c r="G483" s="73" t="e">
        <f>IF(VLOOKUP(A483,'Actual Dates'!A4:AF611,8,),'Actual Dates'!#REF!,"")</f>
        <v>#REF!</v>
      </c>
      <c r="H483" s="73" t="e">
        <f t="shared" si="196"/>
        <v>#REF!</v>
      </c>
      <c r="I483" s="73" t="e">
        <f>IF(VLOOKUP(A483,'Actual Dates'!A4:AF606,25,),'Actual Dates'!#REF!,"")</f>
        <v>#REF!</v>
      </c>
      <c r="J483" s="73" t="e">
        <f t="shared" si="197"/>
        <v>#REF!</v>
      </c>
      <c r="K483" s="73" t="e">
        <f>IF(VLOOKUP(A483,'Actual Dates'!A4:AF634,26,),'Actual Dates'!#REF!,"")</f>
        <v>#REF!</v>
      </c>
      <c r="L483" s="73" t="e">
        <f>IF(VLOOKUP(A483,'Actual Dates'!A4:AF634,21,),'Actual Dates'!#REF!,"")</f>
        <v>#REF!</v>
      </c>
      <c r="M483" s="73" t="e">
        <f>'Date Calcs'!#REF!</f>
        <v>#REF!</v>
      </c>
      <c r="N483" s="73" t="e">
        <f>IF(VLOOKUP(A483,'Actual Dates'!A4:AF634,27,),'Actual Dates'!#REF!,"")</f>
        <v>#REF!</v>
      </c>
      <c r="O483" s="74" t="e">
        <f t="shared" si="198"/>
        <v>#REF!</v>
      </c>
      <c r="P483" s="75" t="e">
        <f t="shared" si="199"/>
        <v>#REF!</v>
      </c>
      <c r="Q483" s="75" t="e">
        <f t="shared" si="200"/>
        <v>#REF!</v>
      </c>
      <c r="R483" s="132"/>
      <c r="S483" s="133"/>
    </row>
    <row r="484" spans="1:19" x14ac:dyDescent="0.25">
      <c r="A484" s="70" t="e">
        <f>'Date Calcs'!#REF!</f>
        <v>#REF!</v>
      </c>
      <c r="B484" s="71" t="e">
        <f>'Date Calcs'!#REF!</f>
        <v>#REF!</v>
      </c>
      <c r="C484" s="72" t="e">
        <f>'Date Calcs'!#REF!</f>
        <v>#REF!</v>
      </c>
      <c r="D484" s="73" t="e">
        <f t="shared" si="195"/>
        <v>#REF!</v>
      </c>
      <c r="E484" s="66">
        <v>44507</v>
      </c>
      <c r="F484" s="73" t="e">
        <f>'Date Calcs'!#REF!</f>
        <v>#REF!</v>
      </c>
      <c r="G484" s="73" t="e">
        <f>IF(VLOOKUP(A484,'Actual Dates'!A4:AF612,8,),'Actual Dates'!#REF!,"")</f>
        <v>#REF!</v>
      </c>
      <c r="H484" s="73" t="e">
        <f t="shared" si="196"/>
        <v>#REF!</v>
      </c>
      <c r="I484" s="73" t="e">
        <f>IF(VLOOKUP(A484,'Actual Dates'!A4:AF607,25,),'Actual Dates'!#REF!,"")</f>
        <v>#REF!</v>
      </c>
      <c r="J484" s="73" t="e">
        <f t="shared" si="197"/>
        <v>#REF!</v>
      </c>
      <c r="K484" s="73" t="e">
        <f>IF(VLOOKUP(A484,'Actual Dates'!A4:AF635,26,),'Actual Dates'!#REF!,"")</f>
        <v>#REF!</v>
      </c>
      <c r="L484" s="73" t="e">
        <f>IF(VLOOKUP(A484,'Actual Dates'!A4:AF635,21,),'Actual Dates'!#REF!,"")</f>
        <v>#REF!</v>
      </c>
      <c r="M484" s="73" t="e">
        <f>'Date Calcs'!#REF!</f>
        <v>#REF!</v>
      </c>
      <c r="N484" s="73" t="e">
        <f>IF(VLOOKUP(A484,'Actual Dates'!A4:AF635,27,),'Actual Dates'!#REF!,"")</f>
        <v>#REF!</v>
      </c>
      <c r="O484" s="74" t="e">
        <f t="shared" si="198"/>
        <v>#REF!</v>
      </c>
      <c r="P484" s="75" t="e">
        <f t="shared" si="199"/>
        <v>#REF!</v>
      </c>
      <c r="Q484" s="75" t="e">
        <f t="shared" si="200"/>
        <v>#REF!</v>
      </c>
      <c r="R484" s="132"/>
      <c r="S484" s="133"/>
    </row>
    <row r="485" spans="1:19" x14ac:dyDescent="0.25">
      <c r="A485" s="70" t="e">
        <f>'Date Calcs'!#REF!</f>
        <v>#REF!</v>
      </c>
      <c r="B485" s="71" t="e">
        <f>'Date Calcs'!#REF!</f>
        <v>#REF!</v>
      </c>
      <c r="C485" s="72" t="e">
        <f>'Date Calcs'!#REF!</f>
        <v>#REF!</v>
      </c>
      <c r="D485" s="73" t="e">
        <f t="shared" si="195"/>
        <v>#REF!</v>
      </c>
      <c r="E485" s="66">
        <v>44508</v>
      </c>
      <c r="F485" s="73" t="e">
        <f>'Date Calcs'!#REF!</f>
        <v>#REF!</v>
      </c>
      <c r="G485" s="73" t="e">
        <f>IF(VLOOKUP(A485,'Actual Dates'!A4:AF613,8,),'Actual Dates'!#REF!,"")</f>
        <v>#REF!</v>
      </c>
      <c r="H485" s="73" t="e">
        <f t="shared" si="196"/>
        <v>#REF!</v>
      </c>
      <c r="I485" s="73" t="e">
        <f>IF(VLOOKUP(A485,'Actual Dates'!A4:AF608,25,),'Actual Dates'!#REF!,"")</f>
        <v>#REF!</v>
      </c>
      <c r="J485" s="73" t="e">
        <f t="shared" si="197"/>
        <v>#REF!</v>
      </c>
      <c r="K485" s="73" t="e">
        <f>IF(VLOOKUP(A485,'Actual Dates'!A4:AF636,26,),'Actual Dates'!#REF!,"")</f>
        <v>#REF!</v>
      </c>
      <c r="L485" s="73" t="e">
        <f>IF(VLOOKUP(A485,'Actual Dates'!A4:AF636,21,),'Actual Dates'!#REF!,"")</f>
        <v>#REF!</v>
      </c>
      <c r="M485" s="73" t="e">
        <f>'Date Calcs'!#REF!</f>
        <v>#REF!</v>
      </c>
      <c r="N485" s="73" t="e">
        <f>IF(VLOOKUP(A485,'Actual Dates'!A4:AF636,27,),'Actual Dates'!#REF!,"")</f>
        <v>#REF!</v>
      </c>
      <c r="O485" s="74" t="e">
        <f t="shared" si="198"/>
        <v>#REF!</v>
      </c>
      <c r="P485" s="75" t="e">
        <f t="shared" si="199"/>
        <v>#REF!</v>
      </c>
      <c r="Q485" s="75" t="e">
        <f t="shared" si="200"/>
        <v>#REF!</v>
      </c>
      <c r="R485" s="132"/>
      <c r="S485" s="133"/>
    </row>
    <row r="486" spans="1:19" x14ac:dyDescent="0.25">
      <c r="A486" s="70" t="e">
        <f>'Date Calcs'!#REF!</f>
        <v>#REF!</v>
      </c>
      <c r="B486" s="71" t="e">
        <f>'Date Calcs'!#REF!</f>
        <v>#REF!</v>
      </c>
      <c r="C486" s="72" t="e">
        <f>'Date Calcs'!#REF!</f>
        <v>#REF!</v>
      </c>
      <c r="D486" s="73" t="e">
        <f t="shared" si="195"/>
        <v>#REF!</v>
      </c>
      <c r="E486" s="66">
        <v>44509</v>
      </c>
      <c r="F486" s="73" t="e">
        <f>'Date Calcs'!#REF!</f>
        <v>#REF!</v>
      </c>
      <c r="G486" s="73" t="e">
        <f>IF(VLOOKUP(A486,'Actual Dates'!A4:AF614,8,),'Actual Dates'!#REF!,"")</f>
        <v>#REF!</v>
      </c>
      <c r="H486" s="73" t="e">
        <f t="shared" si="196"/>
        <v>#REF!</v>
      </c>
      <c r="I486" s="73" t="e">
        <f>IF(VLOOKUP(A486,'Actual Dates'!A4:AF609,25,),'Actual Dates'!#REF!,"")</f>
        <v>#REF!</v>
      </c>
      <c r="J486" s="73" t="e">
        <f t="shared" si="197"/>
        <v>#REF!</v>
      </c>
      <c r="K486" s="73" t="e">
        <f>IF(VLOOKUP(A486,'Actual Dates'!A4:AF637,26,),'Actual Dates'!#REF!,"")</f>
        <v>#REF!</v>
      </c>
      <c r="L486" s="73" t="e">
        <f>IF(VLOOKUP(A486,'Actual Dates'!A4:AF637,21,),'Actual Dates'!#REF!,"")</f>
        <v>#REF!</v>
      </c>
      <c r="M486" s="73" t="e">
        <f>'Date Calcs'!#REF!</f>
        <v>#REF!</v>
      </c>
      <c r="N486" s="73" t="e">
        <f>IF(VLOOKUP(A486,'Actual Dates'!A4:AF637,27,),'Actual Dates'!#REF!,"")</f>
        <v>#REF!</v>
      </c>
      <c r="O486" s="74" t="e">
        <f t="shared" si="198"/>
        <v>#REF!</v>
      </c>
      <c r="P486" s="75" t="e">
        <f t="shared" si="199"/>
        <v>#REF!</v>
      </c>
      <c r="Q486" s="75" t="e">
        <f t="shared" si="200"/>
        <v>#REF!</v>
      </c>
      <c r="R486" s="132"/>
      <c r="S486" s="133"/>
    </row>
    <row r="487" spans="1:19" x14ac:dyDescent="0.25">
      <c r="A487" s="70" t="e">
        <f>'Date Calcs'!#REF!</f>
        <v>#REF!</v>
      </c>
      <c r="B487" s="71" t="e">
        <f>'Date Calcs'!#REF!</f>
        <v>#REF!</v>
      </c>
      <c r="C487" s="72" t="e">
        <f>'Date Calcs'!#REF!</f>
        <v>#REF!</v>
      </c>
      <c r="D487" s="73" t="e">
        <f t="shared" si="195"/>
        <v>#REF!</v>
      </c>
      <c r="E487" s="66">
        <v>44510</v>
      </c>
      <c r="F487" s="73" t="e">
        <f>'Date Calcs'!#REF!</f>
        <v>#REF!</v>
      </c>
      <c r="G487" s="73" t="e">
        <f>IF(VLOOKUP(A487,'Actual Dates'!A4:AF615,8,),'Actual Dates'!#REF!,"")</f>
        <v>#REF!</v>
      </c>
      <c r="H487" s="73" t="e">
        <f t="shared" si="196"/>
        <v>#REF!</v>
      </c>
      <c r="I487" s="73" t="e">
        <f>IF(VLOOKUP(A487,'Actual Dates'!A4:AF610,25,),'Actual Dates'!#REF!,"")</f>
        <v>#REF!</v>
      </c>
      <c r="J487" s="73" t="e">
        <f t="shared" si="197"/>
        <v>#REF!</v>
      </c>
      <c r="K487" s="73" t="e">
        <f>IF(VLOOKUP(A487,'Actual Dates'!A4:AF638,26,),'Actual Dates'!#REF!,"")</f>
        <v>#REF!</v>
      </c>
      <c r="L487" s="73" t="e">
        <f>IF(VLOOKUP(A487,'Actual Dates'!A4:AF638,21,),'Actual Dates'!#REF!,"")</f>
        <v>#REF!</v>
      </c>
      <c r="M487" s="73" t="e">
        <f>'Date Calcs'!#REF!</f>
        <v>#REF!</v>
      </c>
      <c r="N487" s="73" t="e">
        <f>IF(VLOOKUP(A487,'Actual Dates'!A4:AF638,27,),'Actual Dates'!#REF!,"")</f>
        <v>#REF!</v>
      </c>
      <c r="O487" s="74" t="e">
        <f t="shared" si="198"/>
        <v>#REF!</v>
      </c>
      <c r="P487" s="75" t="e">
        <f t="shared" si="199"/>
        <v>#REF!</v>
      </c>
      <c r="Q487" s="75" t="e">
        <f t="shared" si="200"/>
        <v>#REF!</v>
      </c>
      <c r="R487" s="132"/>
      <c r="S487" s="133"/>
    </row>
    <row r="488" spans="1:19" x14ac:dyDescent="0.25">
      <c r="A488" s="70" t="e">
        <f>'Date Calcs'!#REF!</f>
        <v>#REF!</v>
      </c>
      <c r="B488" s="71" t="e">
        <f>'Date Calcs'!#REF!</f>
        <v>#REF!</v>
      </c>
      <c r="C488" s="72" t="e">
        <f>'Date Calcs'!#REF!</f>
        <v>#REF!</v>
      </c>
      <c r="D488" s="73" t="e">
        <f t="shared" si="195"/>
        <v>#REF!</v>
      </c>
      <c r="E488" s="66">
        <v>44511</v>
      </c>
      <c r="F488" s="73" t="e">
        <f>'Date Calcs'!#REF!</f>
        <v>#REF!</v>
      </c>
      <c r="G488" s="73" t="e">
        <f>IF(VLOOKUP(A488,'Actual Dates'!A4:AF616,8,),'Actual Dates'!#REF!,"")</f>
        <v>#REF!</v>
      </c>
      <c r="H488" s="73" t="e">
        <f t="shared" si="196"/>
        <v>#REF!</v>
      </c>
      <c r="I488" s="73" t="e">
        <f>IF(VLOOKUP(A488,'Actual Dates'!A4:AF611,25,),'Actual Dates'!#REF!,"")</f>
        <v>#REF!</v>
      </c>
      <c r="J488" s="73" t="e">
        <f t="shared" si="197"/>
        <v>#REF!</v>
      </c>
      <c r="K488" s="73" t="e">
        <f>IF(VLOOKUP(A488,'Actual Dates'!A4:AF639,26,),'Actual Dates'!#REF!,"")</f>
        <v>#REF!</v>
      </c>
      <c r="L488" s="73" t="e">
        <f>IF(VLOOKUP(A488,'Actual Dates'!A4:AF639,21,),'Actual Dates'!#REF!,"")</f>
        <v>#REF!</v>
      </c>
      <c r="M488" s="73" t="e">
        <f>'Date Calcs'!#REF!</f>
        <v>#REF!</v>
      </c>
      <c r="N488" s="73" t="e">
        <f>IF(VLOOKUP(A488,'Actual Dates'!A4:AF639,27,),'Actual Dates'!#REF!,"")</f>
        <v>#REF!</v>
      </c>
      <c r="O488" s="74" t="e">
        <f t="shared" si="198"/>
        <v>#REF!</v>
      </c>
      <c r="P488" s="75" t="e">
        <f t="shared" si="199"/>
        <v>#REF!</v>
      </c>
      <c r="Q488" s="75" t="e">
        <f t="shared" si="200"/>
        <v>#REF!</v>
      </c>
      <c r="R488" s="132"/>
      <c r="S488" s="133"/>
    </row>
    <row r="489" spans="1:19" x14ac:dyDescent="0.25">
      <c r="A489" s="70" t="e">
        <f>'Date Calcs'!#REF!</f>
        <v>#REF!</v>
      </c>
      <c r="B489" s="71" t="e">
        <f>'Date Calcs'!#REF!</f>
        <v>#REF!</v>
      </c>
      <c r="C489" s="72" t="e">
        <f>'Date Calcs'!#REF!</f>
        <v>#REF!</v>
      </c>
      <c r="D489" s="73" t="e">
        <f t="shared" si="195"/>
        <v>#REF!</v>
      </c>
      <c r="E489" s="66">
        <v>44512</v>
      </c>
      <c r="F489" s="73" t="e">
        <f>'Date Calcs'!#REF!</f>
        <v>#REF!</v>
      </c>
      <c r="G489" s="73" t="e">
        <f>IF(VLOOKUP(A489,'Actual Dates'!A4:AF617,8,),'Actual Dates'!#REF!,"")</f>
        <v>#REF!</v>
      </c>
      <c r="H489" s="73" t="e">
        <f t="shared" si="196"/>
        <v>#REF!</v>
      </c>
      <c r="I489" s="73" t="e">
        <f>IF(VLOOKUP(A489,'Actual Dates'!A4:AF612,25,),'Actual Dates'!#REF!,"")</f>
        <v>#REF!</v>
      </c>
      <c r="J489" s="73" t="e">
        <f t="shared" si="197"/>
        <v>#REF!</v>
      </c>
      <c r="K489" s="73" t="e">
        <f>IF(VLOOKUP(A489,'Actual Dates'!A4:AF640,26,),'Actual Dates'!#REF!,"")</f>
        <v>#REF!</v>
      </c>
      <c r="L489" s="73" t="e">
        <f>IF(VLOOKUP(A489,'Actual Dates'!A4:AF640,21,),'Actual Dates'!#REF!,"")</f>
        <v>#REF!</v>
      </c>
      <c r="M489" s="73" t="e">
        <f>'Date Calcs'!#REF!</f>
        <v>#REF!</v>
      </c>
      <c r="N489" s="73" t="e">
        <f>IF(VLOOKUP(A489,'Actual Dates'!A4:AF640,27,),'Actual Dates'!#REF!,"")</f>
        <v>#REF!</v>
      </c>
      <c r="O489" s="74" t="e">
        <f t="shared" si="198"/>
        <v>#REF!</v>
      </c>
      <c r="P489" s="75" t="e">
        <f t="shared" si="199"/>
        <v>#REF!</v>
      </c>
      <c r="Q489" s="75" t="e">
        <f t="shared" si="200"/>
        <v>#REF!</v>
      </c>
      <c r="R489" s="132"/>
      <c r="S489" s="133"/>
    </row>
    <row r="490" spans="1:19" x14ac:dyDescent="0.25">
      <c r="A490" s="70" t="e">
        <f>'Date Calcs'!#REF!</f>
        <v>#REF!</v>
      </c>
      <c r="B490" s="71" t="e">
        <f>'Date Calcs'!#REF!</f>
        <v>#REF!</v>
      </c>
      <c r="C490" s="72" t="e">
        <f>'Date Calcs'!#REF!</f>
        <v>#REF!</v>
      </c>
      <c r="D490" s="73" t="e">
        <f t="shared" si="195"/>
        <v>#REF!</v>
      </c>
      <c r="E490" s="66">
        <v>44513</v>
      </c>
      <c r="F490" s="73" t="e">
        <f>'Date Calcs'!#REF!</f>
        <v>#REF!</v>
      </c>
      <c r="G490" s="73" t="e">
        <f>IF(VLOOKUP(A490,'Actual Dates'!A4:AF618,8,),'Actual Dates'!#REF!,"")</f>
        <v>#REF!</v>
      </c>
      <c r="H490" s="73" t="e">
        <f t="shared" si="196"/>
        <v>#REF!</v>
      </c>
      <c r="I490" s="73" t="e">
        <f>IF(VLOOKUP(A490,'Actual Dates'!A4:AF613,25,),'Actual Dates'!#REF!,"")</f>
        <v>#REF!</v>
      </c>
      <c r="J490" s="73" t="e">
        <f t="shared" si="197"/>
        <v>#REF!</v>
      </c>
      <c r="K490" s="73" t="e">
        <f>IF(VLOOKUP(A490,'Actual Dates'!A4:AF641,26,),'Actual Dates'!#REF!,"")</f>
        <v>#REF!</v>
      </c>
      <c r="L490" s="73" t="e">
        <f>IF(VLOOKUP(A490,'Actual Dates'!A4:AF641,21,),'Actual Dates'!#REF!,"")</f>
        <v>#REF!</v>
      </c>
      <c r="M490" s="73" t="e">
        <f>'Date Calcs'!#REF!</f>
        <v>#REF!</v>
      </c>
      <c r="N490" s="73" t="e">
        <f>IF(VLOOKUP(A490,'Actual Dates'!A4:AF641,27,),'Actual Dates'!#REF!,"")</f>
        <v>#REF!</v>
      </c>
      <c r="O490" s="74" t="e">
        <f t="shared" si="198"/>
        <v>#REF!</v>
      </c>
      <c r="P490" s="75" t="e">
        <f t="shared" si="199"/>
        <v>#REF!</v>
      </c>
      <c r="Q490" s="75" t="e">
        <f t="shared" si="200"/>
        <v>#REF!</v>
      </c>
      <c r="R490" s="132"/>
      <c r="S490" s="133"/>
    </row>
    <row r="491" spans="1:19" x14ac:dyDescent="0.25">
      <c r="A491" s="70" t="e">
        <f>'Date Calcs'!#REF!</f>
        <v>#REF!</v>
      </c>
      <c r="B491" s="71" t="e">
        <f>'Date Calcs'!#REF!</f>
        <v>#REF!</v>
      </c>
      <c r="C491" s="72" t="e">
        <f>'Date Calcs'!#REF!</f>
        <v>#REF!</v>
      </c>
      <c r="D491" s="73" t="e">
        <f t="shared" si="195"/>
        <v>#REF!</v>
      </c>
      <c r="E491" s="66">
        <v>44514</v>
      </c>
      <c r="F491" s="73" t="e">
        <f>'Date Calcs'!#REF!</f>
        <v>#REF!</v>
      </c>
      <c r="G491" s="73" t="e">
        <f>IF(VLOOKUP(A491,'Actual Dates'!A4:AF619,8,),'Actual Dates'!#REF!,"")</f>
        <v>#REF!</v>
      </c>
      <c r="H491" s="73" t="e">
        <f t="shared" si="196"/>
        <v>#REF!</v>
      </c>
      <c r="I491" s="73" t="e">
        <f>IF(VLOOKUP(A491,'Actual Dates'!A4:AF614,25,),'Actual Dates'!#REF!,"")</f>
        <v>#REF!</v>
      </c>
      <c r="J491" s="73" t="e">
        <f t="shared" si="197"/>
        <v>#REF!</v>
      </c>
      <c r="K491" s="73" t="e">
        <f>IF(VLOOKUP(A491,'Actual Dates'!A4:AF642,26,),'Actual Dates'!#REF!,"")</f>
        <v>#REF!</v>
      </c>
      <c r="L491" s="73" t="e">
        <f>IF(VLOOKUP(A491,'Actual Dates'!A4:AF642,21,),'Actual Dates'!#REF!,"")</f>
        <v>#REF!</v>
      </c>
      <c r="M491" s="73" t="e">
        <f>'Date Calcs'!#REF!</f>
        <v>#REF!</v>
      </c>
      <c r="N491" s="73" t="e">
        <f>IF(VLOOKUP(A491,'Actual Dates'!A4:AF642,27,),'Actual Dates'!#REF!,"")</f>
        <v>#REF!</v>
      </c>
      <c r="O491" s="74" t="e">
        <f t="shared" si="198"/>
        <v>#REF!</v>
      </c>
      <c r="P491" s="75" t="e">
        <f t="shared" si="199"/>
        <v>#REF!</v>
      </c>
      <c r="Q491" s="75" t="e">
        <f t="shared" si="200"/>
        <v>#REF!</v>
      </c>
      <c r="R491" s="132"/>
      <c r="S491" s="133"/>
    </row>
    <row r="492" spans="1:19" x14ac:dyDescent="0.25">
      <c r="A492" s="70" t="e">
        <f>'Date Calcs'!#REF!</f>
        <v>#REF!</v>
      </c>
      <c r="B492" s="71" t="e">
        <f>'Date Calcs'!#REF!</f>
        <v>#REF!</v>
      </c>
      <c r="C492" s="72" t="e">
        <f>'Date Calcs'!#REF!</f>
        <v>#REF!</v>
      </c>
      <c r="D492" s="73" t="e">
        <f t="shared" si="195"/>
        <v>#REF!</v>
      </c>
      <c r="E492" s="66">
        <v>44515</v>
      </c>
      <c r="F492" s="73" t="e">
        <f>'Date Calcs'!#REF!</f>
        <v>#REF!</v>
      </c>
      <c r="G492" s="73" t="e">
        <f>IF(VLOOKUP(A492,'Actual Dates'!A4:AF620,8,),'Actual Dates'!#REF!,"")</f>
        <v>#REF!</v>
      </c>
      <c r="H492" s="73" t="e">
        <f t="shared" si="196"/>
        <v>#REF!</v>
      </c>
      <c r="I492" s="73" t="e">
        <f>IF(VLOOKUP(A492,'Actual Dates'!A4:AF615,25,),'Actual Dates'!#REF!,"")</f>
        <v>#REF!</v>
      </c>
      <c r="J492" s="73" t="e">
        <f t="shared" si="197"/>
        <v>#REF!</v>
      </c>
      <c r="K492" s="73" t="e">
        <f>IF(VLOOKUP(A492,'Actual Dates'!A4:AF643,26,),'Actual Dates'!#REF!,"")</f>
        <v>#REF!</v>
      </c>
      <c r="L492" s="73" t="e">
        <f>IF(VLOOKUP(A492,'Actual Dates'!A4:AF643,21,),'Actual Dates'!#REF!,"")</f>
        <v>#REF!</v>
      </c>
      <c r="M492" s="73" t="e">
        <f>'Date Calcs'!#REF!</f>
        <v>#REF!</v>
      </c>
      <c r="N492" s="73" t="e">
        <f>IF(VLOOKUP(A492,'Actual Dates'!A4:AF643,27,),'Actual Dates'!#REF!,"")</f>
        <v>#REF!</v>
      </c>
      <c r="O492" s="74" t="e">
        <f t="shared" si="198"/>
        <v>#REF!</v>
      </c>
      <c r="P492" s="75" t="e">
        <f t="shared" si="199"/>
        <v>#REF!</v>
      </c>
      <c r="Q492" s="75" t="e">
        <f t="shared" si="200"/>
        <v>#REF!</v>
      </c>
      <c r="R492" s="132"/>
      <c r="S492" s="133"/>
    </row>
    <row r="493" spans="1:19" x14ac:dyDescent="0.25">
      <c r="A493" s="70" t="e">
        <f>'Date Calcs'!#REF!</f>
        <v>#REF!</v>
      </c>
      <c r="B493" s="71" t="e">
        <f>'Date Calcs'!#REF!</f>
        <v>#REF!</v>
      </c>
      <c r="C493" s="72" t="e">
        <f>'Date Calcs'!#REF!</f>
        <v>#REF!</v>
      </c>
      <c r="D493" s="73" t="e">
        <f t="shared" si="195"/>
        <v>#REF!</v>
      </c>
      <c r="E493" s="66">
        <v>44516</v>
      </c>
      <c r="F493" s="73" t="e">
        <f>'Date Calcs'!#REF!</f>
        <v>#REF!</v>
      </c>
      <c r="G493" s="73" t="e">
        <f>IF(VLOOKUP(A493,'Actual Dates'!A4:AF621,8,),'Actual Dates'!#REF!,"")</f>
        <v>#REF!</v>
      </c>
      <c r="H493" s="73" t="e">
        <f t="shared" si="196"/>
        <v>#REF!</v>
      </c>
      <c r="I493" s="73" t="e">
        <f>IF(VLOOKUP(A493,'Actual Dates'!A4:AF616,25,),'Actual Dates'!#REF!,"")</f>
        <v>#REF!</v>
      </c>
      <c r="J493" s="73" t="e">
        <f t="shared" si="197"/>
        <v>#REF!</v>
      </c>
      <c r="K493" s="73" t="e">
        <f>IF(VLOOKUP(A493,'Actual Dates'!A4:AF644,26,),'Actual Dates'!#REF!,"")</f>
        <v>#REF!</v>
      </c>
      <c r="L493" s="73" t="e">
        <f>IF(VLOOKUP(A493,'Actual Dates'!A4:AF644,21,),'Actual Dates'!#REF!,"")</f>
        <v>#REF!</v>
      </c>
      <c r="M493" s="73" t="e">
        <f>'Date Calcs'!#REF!</f>
        <v>#REF!</v>
      </c>
      <c r="N493" s="73" t="e">
        <f>IF(VLOOKUP(A493,'Actual Dates'!A4:AF644,27,),'Actual Dates'!#REF!,"")</f>
        <v>#REF!</v>
      </c>
      <c r="O493" s="74" t="e">
        <f t="shared" si="198"/>
        <v>#REF!</v>
      </c>
      <c r="P493" s="75" t="e">
        <f t="shared" si="199"/>
        <v>#REF!</v>
      </c>
      <c r="Q493" s="75" t="e">
        <f t="shared" si="200"/>
        <v>#REF!</v>
      </c>
      <c r="R493" s="132"/>
      <c r="S493" s="133"/>
    </row>
    <row r="494" spans="1:19" x14ac:dyDescent="0.25">
      <c r="A494" s="70" t="e">
        <f>'Date Calcs'!#REF!</f>
        <v>#REF!</v>
      </c>
      <c r="B494" s="71" t="e">
        <f>'Date Calcs'!#REF!</f>
        <v>#REF!</v>
      </c>
      <c r="C494" s="72" t="e">
        <f>'Date Calcs'!#REF!</f>
        <v>#REF!</v>
      </c>
      <c r="D494" s="73" t="e">
        <f t="shared" si="195"/>
        <v>#REF!</v>
      </c>
      <c r="E494" s="66">
        <v>44517</v>
      </c>
      <c r="F494" s="73" t="e">
        <f>'Date Calcs'!#REF!</f>
        <v>#REF!</v>
      </c>
      <c r="G494" s="73" t="e">
        <f>IF(VLOOKUP(A494,'Actual Dates'!A4:AF622,8,),'Actual Dates'!#REF!,"")</f>
        <v>#REF!</v>
      </c>
      <c r="H494" s="73" t="e">
        <f t="shared" si="196"/>
        <v>#REF!</v>
      </c>
      <c r="I494" s="73" t="e">
        <f>IF(VLOOKUP(A494,'Actual Dates'!A4:AF617,25,),'Actual Dates'!#REF!,"")</f>
        <v>#REF!</v>
      </c>
      <c r="J494" s="73" t="e">
        <f t="shared" si="197"/>
        <v>#REF!</v>
      </c>
      <c r="K494" s="73" t="e">
        <f>IF(VLOOKUP(A494,'Actual Dates'!A4:AF645,26,),'Actual Dates'!#REF!,"")</f>
        <v>#REF!</v>
      </c>
      <c r="L494" s="73" t="e">
        <f>IF(VLOOKUP(A494,'Actual Dates'!A4:AF645,21,),'Actual Dates'!#REF!,"")</f>
        <v>#REF!</v>
      </c>
      <c r="M494" s="73" t="e">
        <f>'Date Calcs'!#REF!</f>
        <v>#REF!</v>
      </c>
      <c r="N494" s="73" t="e">
        <f>IF(VLOOKUP(A494,'Actual Dates'!A4:AF645,27,),'Actual Dates'!#REF!,"")</f>
        <v>#REF!</v>
      </c>
      <c r="O494" s="74" t="e">
        <f t="shared" si="198"/>
        <v>#REF!</v>
      </c>
      <c r="P494" s="75" t="e">
        <f t="shared" si="199"/>
        <v>#REF!</v>
      </c>
      <c r="Q494" s="75" t="e">
        <f t="shared" si="200"/>
        <v>#REF!</v>
      </c>
      <c r="R494" s="132"/>
      <c r="S494" s="133"/>
    </row>
    <row r="495" spans="1:19" x14ac:dyDescent="0.25">
      <c r="A495" s="70" t="e">
        <f>'Date Calcs'!#REF!</f>
        <v>#REF!</v>
      </c>
      <c r="B495" s="71" t="e">
        <f>'Date Calcs'!#REF!</f>
        <v>#REF!</v>
      </c>
      <c r="C495" s="72" t="e">
        <f>'Date Calcs'!#REF!</f>
        <v>#REF!</v>
      </c>
      <c r="D495" s="73" t="e">
        <f t="shared" si="195"/>
        <v>#REF!</v>
      </c>
      <c r="E495" s="66">
        <v>44518</v>
      </c>
      <c r="F495" s="73" t="e">
        <f>'Date Calcs'!#REF!</f>
        <v>#REF!</v>
      </c>
      <c r="G495" s="73" t="e">
        <f>IF(VLOOKUP(A495,'Actual Dates'!A4:AF623,8,),'Actual Dates'!#REF!,"")</f>
        <v>#REF!</v>
      </c>
      <c r="H495" s="73" t="e">
        <f t="shared" si="196"/>
        <v>#REF!</v>
      </c>
      <c r="I495" s="73" t="e">
        <f>IF(VLOOKUP(A495,'Actual Dates'!A4:AF618,25,),'Actual Dates'!#REF!,"")</f>
        <v>#REF!</v>
      </c>
      <c r="J495" s="73" t="e">
        <f t="shared" si="197"/>
        <v>#REF!</v>
      </c>
      <c r="K495" s="73" t="e">
        <f>IF(VLOOKUP(A495,'Actual Dates'!A4:AF646,26,),'Actual Dates'!#REF!,"")</f>
        <v>#REF!</v>
      </c>
      <c r="L495" s="73" t="e">
        <f>IF(VLOOKUP(A495,'Actual Dates'!A4:AF646,21,),'Actual Dates'!#REF!,"")</f>
        <v>#REF!</v>
      </c>
      <c r="M495" s="73" t="e">
        <f>'Date Calcs'!#REF!</f>
        <v>#REF!</v>
      </c>
      <c r="N495" s="73" t="e">
        <f>IF(VLOOKUP(A495,'Actual Dates'!A4:AF646,27,),'Actual Dates'!#REF!,"")</f>
        <v>#REF!</v>
      </c>
      <c r="O495" s="74" t="e">
        <f t="shared" si="198"/>
        <v>#REF!</v>
      </c>
      <c r="P495" s="75" t="e">
        <f t="shared" si="199"/>
        <v>#REF!</v>
      </c>
      <c r="Q495" s="75" t="e">
        <f t="shared" si="200"/>
        <v>#REF!</v>
      </c>
      <c r="R495" s="132"/>
      <c r="S495" s="133"/>
    </row>
    <row r="496" spans="1:19" x14ac:dyDescent="0.25">
      <c r="A496" s="70" t="e">
        <f>'Date Calcs'!#REF!</f>
        <v>#REF!</v>
      </c>
      <c r="B496" s="71" t="e">
        <f>'Date Calcs'!#REF!</f>
        <v>#REF!</v>
      </c>
      <c r="C496" s="72" t="e">
        <f>'Date Calcs'!#REF!</f>
        <v>#REF!</v>
      </c>
      <c r="D496" s="73" t="e">
        <f t="shared" si="195"/>
        <v>#REF!</v>
      </c>
      <c r="E496" s="66">
        <v>44519</v>
      </c>
      <c r="F496" s="73" t="e">
        <f>'Date Calcs'!#REF!</f>
        <v>#REF!</v>
      </c>
      <c r="G496" s="73" t="e">
        <f>IF(VLOOKUP(A496,'Actual Dates'!A4:AF624,8,),'Actual Dates'!#REF!,"")</f>
        <v>#REF!</v>
      </c>
      <c r="H496" s="73" t="e">
        <f t="shared" si="196"/>
        <v>#REF!</v>
      </c>
      <c r="I496" s="73" t="e">
        <f>IF(VLOOKUP(A496,'Actual Dates'!A4:AF619,25,),'Actual Dates'!#REF!,"")</f>
        <v>#REF!</v>
      </c>
      <c r="J496" s="73" t="e">
        <f t="shared" si="197"/>
        <v>#REF!</v>
      </c>
      <c r="K496" s="73" t="e">
        <f>IF(VLOOKUP(A496,'Actual Dates'!A4:AF647,26,),'Actual Dates'!#REF!,"")</f>
        <v>#REF!</v>
      </c>
      <c r="L496" s="73" t="e">
        <f>IF(VLOOKUP(A496,'Actual Dates'!A4:AF647,21,),'Actual Dates'!#REF!,"")</f>
        <v>#REF!</v>
      </c>
      <c r="M496" s="73" t="e">
        <f>'Date Calcs'!#REF!</f>
        <v>#REF!</v>
      </c>
      <c r="N496" s="73" t="e">
        <f>IF(VLOOKUP(A496,'Actual Dates'!A4:AF647,27,),'Actual Dates'!#REF!,"")</f>
        <v>#REF!</v>
      </c>
      <c r="O496" s="74" t="e">
        <f t="shared" si="198"/>
        <v>#REF!</v>
      </c>
      <c r="P496" s="75" t="e">
        <f t="shared" si="199"/>
        <v>#REF!</v>
      </c>
      <c r="Q496" s="75" t="e">
        <f t="shared" si="200"/>
        <v>#REF!</v>
      </c>
      <c r="R496" s="132"/>
      <c r="S496" s="133"/>
    </row>
    <row r="497" spans="1:19" x14ac:dyDescent="0.25">
      <c r="A497" s="70" t="e">
        <f>'Date Calcs'!#REF!</f>
        <v>#REF!</v>
      </c>
      <c r="B497" s="71" t="e">
        <f>'Date Calcs'!#REF!</f>
        <v>#REF!</v>
      </c>
      <c r="C497" s="72" t="e">
        <f>'Date Calcs'!#REF!</f>
        <v>#REF!</v>
      </c>
      <c r="D497" s="73" t="e">
        <f t="shared" si="195"/>
        <v>#REF!</v>
      </c>
      <c r="E497" s="66">
        <v>44520</v>
      </c>
      <c r="F497" s="73" t="e">
        <f>'Date Calcs'!#REF!</f>
        <v>#REF!</v>
      </c>
      <c r="G497" s="73" t="e">
        <f>IF(VLOOKUP(A497,'Actual Dates'!A4:AF625,8,),'Actual Dates'!#REF!,"")</f>
        <v>#REF!</v>
      </c>
      <c r="H497" s="73" t="e">
        <f t="shared" si="196"/>
        <v>#REF!</v>
      </c>
      <c r="I497" s="73" t="e">
        <f>IF(VLOOKUP(A497,'Actual Dates'!A4:AF620,25,),'Actual Dates'!#REF!,"")</f>
        <v>#REF!</v>
      </c>
      <c r="J497" s="73" t="e">
        <f t="shared" si="197"/>
        <v>#REF!</v>
      </c>
      <c r="K497" s="73" t="e">
        <f>IF(VLOOKUP(A497,'Actual Dates'!A4:AF648,26,),'Actual Dates'!#REF!,"")</f>
        <v>#REF!</v>
      </c>
      <c r="L497" s="73" t="e">
        <f>IF(VLOOKUP(A497,'Actual Dates'!A4:AF648,21,),'Actual Dates'!#REF!,"")</f>
        <v>#REF!</v>
      </c>
      <c r="M497" s="73" t="e">
        <f>'Date Calcs'!#REF!</f>
        <v>#REF!</v>
      </c>
      <c r="N497" s="73" t="e">
        <f>IF(VLOOKUP(A497,'Actual Dates'!A4:AF648,27,),'Actual Dates'!#REF!,"")</f>
        <v>#REF!</v>
      </c>
      <c r="O497" s="74" t="e">
        <f t="shared" si="198"/>
        <v>#REF!</v>
      </c>
      <c r="P497" s="75" t="e">
        <f t="shared" si="199"/>
        <v>#REF!</v>
      </c>
      <c r="Q497" s="75" t="e">
        <f t="shared" si="200"/>
        <v>#REF!</v>
      </c>
      <c r="R497" s="132"/>
      <c r="S497" s="133"/>
    </row>
    <row r="498" spans="1:19" x14ac:dyDescent="0.25">
      <c r="A498" s="70" t="e">
        <f>'Date Calcs'!#REF!</f>
        <v>#REF!</v>
      </c>
      <c r="B498" s="71" t="e">
        <f>'Date Calcs'!#REF!</f>
        <v>#REF!</v>
      </c>
      <c r="C498" s="72" t="e">
        <f>'Date Calcs'!#REF!</f>
        <v>#REF!</v>
      </c>
      <c r="D498" s="73" t="e">
        <f t="shared" si="195"/>
        <v>#REF!</v>
      </c>
      <c r="E498" s="66">
        <v>44521</v>
      </c>
      <c r="F498" s="73" t="e">
        <f>'Date Calcs'!#REF!</f>
        <v>#REF!</v>
      </c>
      <c r="G498" s="73" t="e">
        <f>IF(VLOOKUP(A498,'Actual Dates'!A4:AF626,8,),'Actual Dates'!#REF!,"")</f>
        <v>#REF!</v>
      </c>
      <c r="H498" s="73" t="e">
        <f t="shared" si="196"/>
        <v>#REF!</v>
      </c>
      <c r="I498" s="73" t="e">
        <f>IF(VLOOKUP(A498,'Actual Dates'!A4:AF621,25,),'Actual Dates'!#REF!,"")</f>
        <v>#REF!</v>
      </c>
      <c r="J498" s="73" t="e">
        <f t="shared" si="197"/>
        <v>#REF!</v>
      </c>
      <c r="K498" s="73" t="e">
        <f>IF(VLOOKUP(A498,'Actual Dates'!A4:AF649,26,),'Actual Dates'!#REF!,"")</f>
        <v>#REF!</v>
      </c>
      <c r="L498" s="73" t="e">
        <f>IF(VLOOKUP(A498,'Actual Dates'!A4:AF649,21,),'Actual Dates'!#REF!,"")</f>
        <v>#REF!</v>
      </c>
      <c r="M498" s="73" t="e">
        <f>'Date Calcs'!#REF!</f>
        <v>#REF!</v>
      </c>
      <c r="N498" s="73" t="e">
        <f>IF(VLOOKUP(A498,'Actual Dates'!A4:AF649,27,),'Actual Dates'!#REF!,"")</f>
        <v>#REF!</v>
      </c>
      <c r="O498" s="74" t="e">
        <f t="shared" si="198"/>
        <v>#REF!</v>
      </c>
      <c r="P498" s="75" t="e">
        <f t="shared" si="199"/>
        <v>#REF!</v>
      </c>
      <c r="Q498" s="75" t="e">
        <f t="shared" si="200"/>
        <v>#REF!</v>
      </c>
      <c r="R498" s="132"/>
      <c r="S498" s="133"/>
    </row>
    <row r="499" spans="1:19" x14ac:dyDescent="0.25">
      <c r="A499" s="70" t="e">
        <f>'Date Calcs'!#REF!</f>
        <v>#REF!</v>
      </c>
      <c r="B499" s="71" t="e">
        <f>'Date Calcs'!#REF!</f>
        <v>#REF!</v>
      </c>
      <c r="C499" s="72" t="e">
        <f>'Date Calcs'!#REF!</f>
        <v>#REF!</v>
      </c>
      <c r="D499" s="73" t="e">
        <f t="shared" si="195"/>
        <v>#REF!</v>
      </c>
      <c r="E499" s="66">
        <v>44522</v>
      </c>
      <c r="F499" s="73" t="e">
        <f>'Date Calcs'!#REF!</f>
        <v>#REF!</v>
      </c>
      <c r="G499" s="73" t="e">
        <f>IF(VLOOKUP(A499,'Actual Dates'!A4:AF627,8,),'Actual Dates'!#REF!,"")</f>
        <v>#REF!</v>
      </c>
      <c r="H499" s="73" t="e">
        <f t="shared" si="196"/>
        <v>#REF!</v>
      </c>
      <c r="I499" s="73" t="e">
        <f>IF(VLOOKUP(A499,'Actual Dates'!A4:AF622,25,),'Actual Dates'!#REF!,"")</f>
        <v>#REF!</v>
      </c>
      <c r="J499" s="73" t="e">
        <f t="shared" si="197"/>
        <v>#REF!</v>
      </c>
      <c r="K499" s="73" t="e">
        <f>IF(VLOOKUP(A499,'Actual Dates'!A4:AF650,26,),'Actual Dates'!#REF!,"")</f>
        <v>#REF!</v>
      </c>
      <c r="L499" s="73" t="e">
        <f>IF(VLOOKUP(A499,'Actual Dates'!A4:AF650,21,),'Actual Dates'!#REF!,"")</f>
        <v>#REF!</v>
      </c>
      <c r="M499" s="73" t="e">
        <f>'Date Calcs'!#REF!</f>
        <v>#REF!</v>
      </c>
      <c r="N499" s="73" t="e">
        <f>IF(VLOOKUP(A499,'Actual Dates'!A4:AF650,27,),'Actual Dates'!#REF!,"")</f>
        <v>#REF!</v>
      </c>
      <c r="O499" s="74" t="e">
        <f t="shared" si="198"/>
        <v>#REF!</v>
      </c>
      <c r="P499" s="75" t="e">
        <f t="shared" si="199"/>
        <v>#REF!</v>
      </c>
      <c r="Q499" s="75" t="e">
        <f t="shared" si="200"/>
        <v>#REF!</v>
      </c>
      <c r="R499" s="132"/>
      <c r="S499" s="133"/>
    </row>
    <row r="500" spans="1:19" x14ac:dyDescent="0.25">
      <c r="A500" s="70" t="e">
        <f>'Date Calcs'!#REF!</f>
        <v>#REF!</v>
      </c>
      <c r="B500" s="71" t="e">
        <f>'Date Calcs'!#REF!</f>
        <v>#REF!</v>
      </c>
      <c r="C500" s="72" t="e">
        <f>'Date Calcs'!#REF!</f>
        <v>#REF!</v>
      </c>
      <c r="D500" s="73" t="e">
        <f t="shared" si="195"/>
        <v>#REF!</v>
      </c>
      <c r="E500" s="66">
        <v>44523</v>
      </c>
      <c r="F500" s="73" t="e">
        <f>'Date Calcs'!#REF!</f>
        <v>#REF!</v>
      </c>
      <c r="G500" s="73" t="e">
        <f>IF(VLOOKUP(A500,'Actual Dates'!A4:AF628,8,),'Actual Dates'!#REF!,"")</f>
        <v>#REF!</v>
      </c>
      <c r="H500" s="73" t="e">
        <f t="shared" si="196"/>
        <v>#REF!</v>
      </c>
      <c r="I500" s="73" t="e">
        <f>IF(VLOOKUP(A500,'Actual Dates'!A4:AF623,25,),'Actual Dates'!#REF!,"")</f>
        <v>#REF!</v>
      </c>
      <c r="J500" s="73" t="e">
        <f t="shared" si="197"/>
        <v>#REF!</v>
      </c>
      <c r="K500" s="73" t="e">
        <f>IF(VLOOKUP(A500,'Actual Dates'!A4:AF651,26,),'Actual Dates'!#REF!,"")</f>
        <v>#REF!</v>
      </c>
      <c r="L500" s="73" t="e">
        <f>IF(VLOOKUP(A500,'Actual Dates'!A4:AF651,21,),'Actual Dates'!#REF!,"")</f>
        <v>#REF!</v>
      </c>
      <c r="M500" s="73" t="e">
        <f>'Date Calcs'!#REF!</f>
        <v>#REF!</v>
      </c>
      <c r="N500" s="73" t="e">
        <f>IF(VLOOKUP(A500,'Actual Dates'!A4:AF651,27,),'Actual Dates'!#REF!,"")</f>
        <v>#REF!</v>
      </c>
      <c r="O500" s="74" t="e">
        <f t="shared" si="198"/>
        <v>#REF!</v>
      </c>
      <c r="P500" s="75" t="e">
        <f t="shared" si="199"/>
        <v>#REF!</v>
      </c>
      <c r="Q500" s="75" t="e">
        <f t="shared" si="200"/>
        <v>#REF!</v>
      </c>
      <c r="R500" s="132"/>
      <c r="S500" s="133"/>
    </row>
    <row r="501" spans="1:19" x14ac:dyDescent="0.25">
      <c r="A501" s="70" t="e">
        <f>'Date Calcs'!#REF!</f>
        <v>#REF!</v>
      </c>
      <c r="B501" s="71" t="e">
        <f>'Date Calcs'!#REF!</f>
        <v>#REF!</v>
      </c>
      <c r="C501" s="72" t="e">
        <f>'Date Calcs'!#REF!</f>
        <v>#REF!</v>
      </c>
      <c r="D501" s="73" t="e">
        <f t="shared" si="195"/>
        <v>#REF!</v>
      </c>
      <c r="E501" s="66">
        <v>44524</v>
      </c>
      <c r="F501" s="73" t="e">
        <f>'Date Calcs'!#REF!</f>
        <v>#REF!</v>
      </c>
      <c r="G501" s="73" t="e">
        <f>IF(VLOOKUP(A501,'Actual Dates'!A4:AF629,8,),'Actual Dates'!#REF!,"")</f>
        <v>#REF!</v>
      </c>
      <c r="H501" s="73" t="e">
        <f t="shared" si="196"/>
        <v>#REF!</v>
      </c>
      <c r="I501" s="73" t="e">
        <f>IF(VLOOKUP(A501,'Actual Dates'!A4:AF624,25,),'Actual Dates'!#REF!,"")</f>
        <v>#REF!</v>
      </c>
      <c r="J501" s="73" t="e">
        <f t="shared" si="197"/>
        <v>#REF!</v>
      </c>
      <c r="K501" s="73" t="e">
        <f>IF(VLOOKUP(A501,'Actual Dates'!A4:AF652,26,),'Actual Dates'!#REF!,"")</f>
        <v>#REF!</v>
      </c>
      <c r="L501" s="73" t="e">
        <f>IF(VLOOKUP(A501,'Actual Dates'!A4:AF652,21,),'Actual Dates'!#REF!,"")</f>
        <v>#REF!</v>
      </c>
      <c r="M501" s="73" t="e">
        <f>'Date Calcs'!#REF!</f>
        <v>#REF!</v>
      </c>
      <c r="N501" s="73" t="e">
        <f>IF(VLOOKUP(A501,'Actual Dates'!A4:AF652,27,),'Actual Dates'!#REF!,"")</f>
        <v>#REF!</v>
      </c>
      <c r="O501" s="74" t="e">
        <f t="shared" si="198"/>
        <v>#REF!</v>
      </c>
      <c r="P501" s="75" t="e">
        <f t="shared" si="199"/>
        <v>#REF!</v>
      </c>
      <c r="Q501" s="75" t="e">
        <f t="shared" si="200"/>
        <v>#REF!</v>
      </c>
      <c r="R501" s="132"/>
      <c r="S501" s="133"/>
    </row>
    <row r="502" spans="1:19" x14ac:dyDescent="0.25">
      <c r="A502" s="70" t="e">
        <f>'Date Calcs'!#REF!</f>
        <v>#REF!</v>
      </c>
      <c r="B502" s="71" t="e">
        <f>'Date Calcs'!#REF!</f>
        <v>#REF!</v>
      </c>
      <c r="C502" s="72" t="e">
        <f>'Date Calcs'!#REF!</f>
        <v>#REF!</v>
      </c>
      <c r="D502" s="73" t="e">
        <f t="shared" si="195"/>
        <v>#REF!</v>
      </c>
      <c r="E502" s="66">
        <v>44525</v>
      </c>
      <c r="F502" s="73" t="e">
        <f>'Date Calcs'!#REF!</f>
        <v>#REF!</v>
      </c>
      <c r="G502" s="73" t="e">
        <f>IF(VLOOKUP(A502,'Actual Dates'!A4:AF630,8,),'Actual Dates'!#REF!,"")</f>
        <v>#REF!</v>
      </c>
      <c r="H502" s="73" t="e">
        <f t="shared" si="196"/>
        <v>#REF!</v>
      </c>
      <c r="I502" s="73" t="e">
        <f>IF(VLOOKUP(A502,'Actual Dates'!A4:AF625,25,),'Actual Dates'!#REF!,"")</f>
        <v>#REF!</v>
      </c>
      <c r="J502" s="73" t="e">
        <f t="shared" si="197"/>
        <v>#REF!</v>
      </c>
      <c r="K502" s="73" t="e">
        <f>IF(VLOOKUP(A502,'Actual Dates'!A4:AF653,26,),'Actual Dates'!#REF!,"")</f>
        <v>#REF!</v>
      </c>
      <c r="L502" s="73" t="e">
        <f>IF(VLOOKUP(A502,'Actual Dates'!A4:AF653,21,),'Actual Dates'!#REF!,"")</f>
        <v>#REF!</v>
      </c>
      <c r="M502" s="73" t="e">
        <f>'Date Calcs'!#REF!</f>
        <v>#REF!</v>
      </c>
      <c r="N502" s="73" t="e">
        <f>IF(VLOOKUP(A502,'Actual Dates'!A4:AF653,27,),'Actual Dates'!#REF!,"")</f>
        <v>#REF!</v>
      </c>
      <c r="O502" s="74" t="e">
        <f t="shared" si="198"/>
        <v>#REF!</v>
      </c>
      <c r="P502" s="75" t="e">
        <f t="shared" si="199"/>
        <v>#REF!</v>
      </c>
      <c r="Q502" s="75" t="e">
        <f t="shared" si="200"/>
        <v>#REF!</v>
      </c>
      <c r="R502" s="132"/>
      <c r="S502" s="133"/>
    </row>
    <row r="503" spans="1:19" x14ac:dyDescent="0.25">
      <c r="A503" s="70" t="e">
        <f>'Date Calcs'!#REF!</f>
        <v>#REF!</v>
      </c>
      <c r="B503" s="71" t="e">
        <f>'Date Calcs'!#REF!</f>
        <v>#REF!</v>
      </c>
      <c r="C503" s="72" t="e">
        <f>'Date Calcs'!#REF!</f>
        <v>#REF!</v>
      </c>
      <c r="D503" s="73" t="e">
        <f t="shared" si="195"/>
        <v>#REF!</v>
      </c>
      <c r="E503" s="66">
        <v>44526</v>
      </c>
      <c r="F503" s="73" t="e">
        <f>'Date Calcs'!#REF!</f>
        <v>#REF!</v>
      </c>
      <c r="G503" s="73" t="e">
        <f>IF(VLOOKUP(A503,'Actual Dates'!A4:AF631,8,),'Actual Dates'!#REF!,"")</f>
        <v>#REF!</v>
      </c>
      <c r="H503" s="73" t="e">
        <f t="shared" si="196"/>
        <v>#REF!</v>
      </c>
      <c r="I503" s="73" t="e">
        <f>IF(VLOOKUP(A503,'Actual Dates'!A4:AF626,25,),'Actual Dates'!#REF!,"")</f>
        <v>#REF!</v>
      </c>
      <c r="J503" s="73" t="e">
        <f t="shared" si="197"/>
        <v>#REF!</v>
      </c>
      <c r="K503" s="73" t="e">
        <f>IF(VLOOKUP(A503,'Actual Dates'!A4:AF654,26,),'Actual Dates'!#REF!,"")</f>
        <v>#REF!</v>
      </c>
      <c r="L503" s="73" t="e">
        <f>IF(VLOOKUP(A503,'Actual Dates'!A4:AF654,21,),'Actual Dates'!#REF!,"")</f>
        <v>#REF!</v>
      </c>
      <c r="M503" s="73" t="e">
        <f>'Date Calcs'!#REF!</f>
        <v>#REF!</v>
      </c>
      <c r="N503" s="73" t="e">
        <f>IF(VLOOKUP(A503,'Actual Dates'!A4:AF654,27,),'Actual Dates'!#REF!,"")</f>
        <v>#REF!</v>
      </c>
      <c r="O503" s="74" t="e">
        <f t="shared" si="198"/>
        <v>#REF!</v>
      </c>
      <c r="P503" s="75" t="e">
        <f t="shared" si="199"/>
        <v>#REF!</v>
      </c>
      <c r="Q503" s="75" t="e">
        <f t="shared" si="200"/>
        <v>#REF!</v>
      </c>
      <c r="R503" s="132"/>
      <c r="S503" s="133"/>
    </row>
    <row r="504" spans="1:19" x14ac:dyDescent="0.25">
      <c r="A504" s="70" t="e">
        <f>'Date Calcs'!#REF!</f>
        <v>#REF!</v>
      </c>
      <c r="B504" s="71" t="e">
        <f>'Date Calcs'!#REF!</f>
        <v>#REF!</v>
      </c>
      <c r="C504" s="72" t="e">
        <f>'Date Calcs'!#REF!</f>
        <v>#REF!</v>
      </c>
      <c r="D504" s="73" t="e">
        <f t="shared" si="195"/>
        <v>#REF!</v>
      </c>
      <c r="E504" s="66">
        <v>44527</v>
      </c>
      <c r="F504" s="73" t="e">
        <f>'Date Calcs'!#REF!</f>
        <v>#REF!</v>
      </c>
      <c r="G504" s="73" t="e">
        <f>IF(VLOOKUP(A504,'Actual Dates'!A4:AF632,8,),'Actual Dates'!#REF!,"")</f>
        <v>#REF!</v>
      </c>
      <c r="H504" s="73" t="e">
        <f t="shared" si="196"/>
        <v>#REF!</v>
      </c>
      <c r="I504" s="73" t="e">
        <f>IF(VLOOKUP(A504,'Actual Dates'!A4:AF627,25,),'Actual Dates'!#REF!,"")</f>
        <v>#REF!</v>
      </c>
      <c r="J504" s="73" t="e">
        <f t="shared" si="197"/>
        <v>#REF!</v>
      </c>
      <c r="K504" s="73" t="e">
        <f>IF(VLOOKUP(A504,'Actual Dates'!A4:AF655,26,),'Actual Dates'!#REF!,"")</f>
        <v>#REF!</v>
      </c>
      <c r="L504" s="73" t="e">
        <f>IF(VLOOKUP(A504,'Actual Dates'!A4:AF655,21,),'Actual Dates'!#REF!,"")</f>
        <v>#REF!</v>
      </c>
      <c r="M504" s="73" t="e">
        <f>'Date Calcs'!#REF!</f>
        <v>#REF!</v>
      </c>
      <c r="N504" s="73" t="e">
        <f>IF(VLOOKUP(A504,'Actual Dates'!A4:AF655,27,),'Actual Dates'!#REF!,"")</f>
        <v>#REF!</v>
      </c>
      <c r="O504" s="74" t="e">
        <f t="shared" si="198"/>
        <v>#REF!</v>
      </c>
      <c r="P504" s="75" t="e">
        <f t="shared" si="199"/>
        <v>#REF!</v>
      </c>
      <c r="Q504" s="75" t="e">
        <f t="shared" si="200"/>
        <v>#REF!</v>
      </c>
      <c r="R504" s="132"/>
      <c r="S504" s="133"/>
    </row>
    <row r="505" spans="1:19" x14ac:dyDescent="0.25">
      <c r="A505" s="70" t="e">
        <f>'Date Calcs'!#REF!</f>
        <v>#REF!</v>
      </c>
      <c r="B505" s="71" t="e">
        <f>'Date Calcs'!#REF!</f>
        <v>#REF!</v>
      </c>
      <c r="C505" s="72" t="e">
        <f>'Date Calcs'!#REF!</f>
        <v>#REF!</v>
      </c>
      <c r="D505" s="73" t="e">
        <f t="shared" si="195"/>
        <v>#REF!</v>
      </c>
      <c r="E505" s="66">
        <v>44528</v>
      </c>
      <c r="F505" s="73" t="e">
        <f>'Date Calcs'!#REF!</f>
        <v>#REF!</v>
      </c>
      <c r="G505" s="73" t="e">
        <f>IF(VLOOKUP(A505,'Actual Dates'!A4:AF633,8,),'Actual Dates'!#REF!,"")</f>
        <v>#REF!</v>
      </c>
      <c r="H505" s="73" t="e">
        <f t="shared" si="196"/>
        <v>#REF!</v>
      </c>
      <c r="I505" s="73" t="e">
        <f>IF(VLOOKUP(A505,'Actual Dates'!A4:AF628,25,),'Actual Dates'!#REF!,"")</f>
        <v>#REF!</v>
      </c>
      <c r="J505" s="73" t="e">
        <f t="shared" si="197"/>
        <v>#REF!</v>
      </c>
      <c r="K505" s="73" t="e">
        <f>IF(VLOOKUP(A505,'Actual Dates'!A4:AF656,26,),'Actual Dates'!#REF!,"")</f>
        <v>#REF!</v>
      </c>
      <c r="L505" s="73" t="e">
        <f>IF(VLOOKUP(A505,'Actual Dates'!A4:AF656,21,),'Actual Dates'!#REF!,"")</f>
        <v>#REF!</v>
      </c>
      <c r="M505" s="73" t="e">
        <f>'Date Calcs'!#REF!</f>
        <v>#REF!</v>
      </c>
      <c r="N505" s="73" t="e">
        <f>IF(VLOOKUP(A505,'Actual Dates'!A4:AF656,27,),'Actual Dates'!#REF!,"")</f>
        <v>#REF!</v>
      </c>
      <c r="O505" s="74" t="e">
        <f t="shared" si="198"/>
        <v>#REF!</v>
      </c>
      <c r="P505" s="75" t="e">
        <f t="shared" si="199"/>
        <v>#REF!</v>
      </c>
      <c r="Q505" s="75" t="e">
        <f t="shared" si="200"/>
        <v>#REF!</v>
      </c>
      <c r="R505" s="132"/>
      <c r="S505" s="133"/>
    </row>
    <row r="506" spans="1:19" x14ac:dyDescent="0.25">
      <c r="A506" s="70" t="e">
        <f>'Date Calcs'!#REF!</f>
        <v>#REF!</v>
      </c>
      <c r="B506" s="71" t="e">
        <f>'Date Calcs'!#REF!</f>
        <v>#REF!</v>
      </c>
      <c r="C506" s="72" t="e">
        <f>'Date Calcs'!#REF!</f>
        <v>#REF!</v>
      </c>
      <c r="D506" s="73" t="e">
        <f t="shared" si="195"/>
        <v>#REF!</v>
      </c>
      <c r="E506" s="66">
        <v>44529</v>
      </c>
      <c r="F506" s="73" t="e">
        <f>'Date Calcs'!#REF!</f>
        <v>#REF!</v>
      </c>
      <c r="G506" s="73" t="e">
        <f>IF(VLOOKUP(A506,'Actual Dates'!A4:AF634,8,),'Actual Dates'!#REF!,"")</f>
        <v>#REF!</v>
      </c>
      <c r="H506" s="73" t="e">
        <f t="shared" si="196"/>
        <v>#REF!</v>
      </c>
      <c r="I506" s="73" t="e">
        <f>IF(VLOOKUP(A506,'Actual Dates'!A4:AF629,25,),'Actual Dates'!#REF!,"")</f>
        <v>#REF!</v>
      </c>
      <c r="J506" s="73" t="e">
        <f t="shared" si="197"/>
        <v>#REF!</v>
      </c>
      <c r="K506" s="73" t="e">
        <f>IF(VLOOKUP(A506,'Actual Dates'!A4:AF657,26,),'Actual Dates'!#REF!,"")</f>
        <v>#REF!</v>
      </c>
      <c r="L506" s="73" t="e">
        <f>IF(VLOOKUP(A506,'Actual Dates'!A4:AF657,21,),'Actual Dates'!#REF!,"")</f>
        <v>#REF!</v>
      </c>
      <c r="M506" s="73" t="e">
        <f>'Date Calcs'!#REF!</f>
        <v>#REF!</v>
      </c>
      <c r="N506" s="73" t="e">
        <f>IF(VLOOKUP(A506,'Actual Dates'!A4:AF657,27,),'Actual Dates'!#REF!,"")</f>
        <v>#REF!</v>
      </c>
      <c r="O506" s="74" t="e">
        <f t="shared" si="198"/>
        <v>#REF!</v>
      </c>
      <c r="P506" s="75" t="e">
        <f t="shared" si="199"/>
        <v>#REF!</v>
      </c>
      <c r="Q506" s="75" t="e">
        <f t="shared" si="200"/>
        <v>#REF!</v>
      </c>
      <c r="R506" s="132"/>
      <c r="S506" s="133"/>
    </row>
    <row r="507" spans="1:19" x14ac:dyDescent="0.25">
      <c r="A507" s="70" t="e">
        <f>'Date Calcs'!#REF!</f>
        <v>#REF!</v>
      </c>
      <c r="B507" s="71" t="e">
        <f>'Date Calcs'!#REF!</f>
        <v>#REF!</v>
      </c>
      <c r="C507" s="72" t="e">
        <f>'Date Calcs'!#REF!</f>
        <v>#REF!</v>
      </c>
      <c r="D507" s="73" t="e">
        <f t="shared" si="195"/>
        <v>#REF!</v>
      </c>
      <c r="E507" s="66">
        <v>44530</v>
      </c>
      <c r="F507" s="73" t="e">
        <f>'Date Calcs'!#REF!</f>
        <v>#REF!</v>
      </c>
      <c r="G507" s="73" t="e">
        <f>IF(VLOOKUP(A507,'Actual Dates'!A4:AF635,8,),'Actual Dates'!#REF!,"")</f>
        <v>#REF!</v>
      </c>
      <c r="H507" s="73" t="e">
        <f t="shared" si="196"/>
        <v>#REF!</v>
      </c>
      <c r="I507" s="73" t="e">
        <f>IF(VLOOKUP(A507,'Actual Dates'!A4:AF630,25,),'Actual Dates'!#REF!,"")</f>
        <v>#REF!</v>
      </c>
      <c r="J507" s="73" t="e">
        <f t="shared" si="197"/>
        <v>#REF!</v>
      </c>
      <c r="K507" s="73" t="e">
        <f>IF(VLOOKUP(A507,'Actual Dates'!A4:AF658,26,),'Actual Dates'!#REF!,"")</f>
        <v>#REF!</v>
      </c>
      <c r="L507" s="73" t="e">
        <f>IF(VLOOKUP(A507,'Actual Dates'!A4:AF658,21,),'Actual Dates'!#REF!,"")</f>
        <v>#REF!</v>
      </c>
      <c r="M507" s="73" t="e">
        <f>'Date Calcs'!#REF!</f>
        <v>#REF!</v>
      </c>
      <c r="N507" s="73" t="e">
        <f>IF(VLOOKUP(A507,'Actual Dates'!A4:AF658,27,),'Actual Dates'!#REF!,"")</f>
        <v>#REF!</v>
      </c>
      <c r="O507" s="74" t="e">
        <f t="shared" si="198"/>
        <v>#REF!</v>
      </c>
      <c r="P507" s="75" t="e">
        <f t="shared" si="199"/>
        <v>#REF!</v>
      </c>
      <c r="Q507" s="75" t="e">
        <f t="shared" si="200"/>
        <v>#REF!</v>
      </c>
      <c r="R507" s="132"/>
      <c r="S507" s="133"/>
    </row>
    <row r="508" spans="1:19" x14ac:dyDescent="0.25">
      <c r="A508" s="70" t="e">
        <f>'Date Calcs'!#REF!</f>
        <v>#REF!</v>
      </c>
      <c r="B508" s="71" t="e">
        <f>'Date Calcs'!#REF!</f>
        <v>#REF!</v>
      </c>
      <c r="C508" s="72" t="e">
        <f>'Date Calcs'!#REF!</f>
        <v>#REF!</v>
      </c>
      <c r="D508" s="73" t="e">
        <f t="shared" si="195"/>
        <v>#REF!</v>
      </c>
      <c r="E508" s="66">
        <v>44531</v>
      </c>
      <c r="F508" s="73" t="e">
        <f>'Date Calcs'!#REF!</f>
        <v>#REF!</v>
      </c>
      <c r="G508" s="73" t="e">
        <f>IF(VLOOKUP(A508,'Actual Dates'!A4:AF636,8,),'Actual Dates'!#REF!,"")</f>
        <v>#REF!</v>
      </c>
      <c r="H508" s="73" t="e">
        <f t="shared" si="196"/>
        <v>#REF!</v>
      </c>
      <c r="I508" s="73" t="e">
        <f>IF(VLOOKUP(A508,'Actual Dates'!A4:AF631,25,),'Actual Dates'!#REF!,"")</f>
        <v>#REF!</v>
      </c>
      <c r="J508" s="73" t="e">
        <f t="shared" si="197"/>
        <v>#REF!</v>
      </c>
      <c r="K508" s="73" t="e">
        <f>IF(VLOOKUP(A508,'Actual Dates'!A4:AF659,26,),'Actual Dates'!#REF!,"")</f>
        <v>#REF!</v>
      </c>
      <c r="L508" s="73" t="e">
        <f>IF(VLOOKUP(A508,'Actual Dates'!A4:AF659,21,),'Actual Dates'!#REF!,"")</f>
        <v>#REF!</v>
      </c>
      <c r="M508" s="73" t="e">
        <f>'Date Calcs'!#REF!</f>
        <v>#REF!</v>
      </c>
      <c r="N508" s="73" t="e">
        <f>IF(VLOOKUP(A508,'Actual Dates'!A4:AF659,27,),'Actual Dates'!#REF!,"")</f>
        <v>#REF!</v>
      </c>
      <c r="O508" s="74" t="e">
        <f t="shared" si="198"/>
        <v>#REF!</v>
      </c>
      <c r="P508" s="75" t="e">
        <f t="shared" si="199"/>
        <v>#REF!</v>
      </c>
      <c r="Q508" s="75" t="e">
        <f t="shared" si="200"/>
        <v>#REF!</v>
      </c>
      <c r="R508" s="132"/>
      <c r="S508" s="133"/>
    </row>
    <row r="509" spans="1:19" x14ac:dyDescent="0.25">
      <c r="A509" s="70" t="e">
        <f>'Date Calcs'!#REF!</f>
        <v>#REF!</v>
      </c>
      <c r="B509" s="71" t="e">
        <f>'Date Calcs'!#REF!</f>
        <v>#REF!</v>
      </c>
      <c r="C509" s="72" t="e">
        <f>'Date Calcs'!#REF!</f>
        <v>#REF!</v>
      </c>
      <c r="D509" s="73" t="e">
        <f t="shared" si="195"/>
        <v>#REF!</v>
      </c>
      <c r="E509" s="66">
        <v>44532</v>
      </c>
      <c r="F509" s="73" t="e">
        <f>'Date Calcs'!#REF!</f>
        <v>#REF!</v>
      </c>
      <c r="G509" s="73" t="e">
        <f>IF(VLOOKUP(A509,'Actual Dates'!A4:AF637,8,),'Actual Dates'!#REF!,"")</f>
        <v>#REF!</v>
      </c>
      <c r="H509" s="73" t="e">
        <f t="shared" si="196"/>
        <v>#REF!</v>
      </c>
      <c r="I509" s="73" t="e">
        <f>IF(VLOOKUP(A509,'Actual Dates'!A4:AF632,25,),'Actual Dates'!#REF!,"")</f>
        <v>#REF!</v>
      </c>
      <c r="J509" s="73" t="e">
        <f t="shared" si="197"/>
        <v>#REF!</v>
      </c>
      <c r="K509" s="73" t="e">
        <f>IF(VLOOKUP(A509,'Actual Dates'!A4:AF660,26,),'Actual Dates'!#REF!,"")</f>
        <v>#REF!</v>
      </c>
      <c r="L509" s="73" t="e">
        <f>IF(VLOOKUP(A509,'Actual Dates'!A4:AF660,21,),'Actual Dates'!#REF!,"")</f>
        <v>#REF!</v>
      </c>
      <c r="M509" s="73" t="e">
        <f>'Date Calcs'!#REF!</f>
        <v>#REF!</v>
      </c>
      <c r="N509" s="73" t="e">
        <f>IF(VLOOKUP(A509,'Actual Dates'!A4:AF660,27,),'Actual Dates'!#REF!,"")</f>
        <v>#REF!</v>
      </c>
      <c r="O509" s="74" t="e">
        <f t="shared" si="198"/>
        <v>#REF!</v>
      </c>
      <c r="P509" s="75" t="e">
        <f t="shared" si="199"/>
        <v>#REF!</v>
      </c>
      <c r="Q509" s="75" t="e">
        <f t="shared" si="200"/>
        <v>#REF!</v>
      </c>
      <c r="R509" s="132"/>
      <c r="S509" s="133"/>
    </row>
    <row r="510" spans="1:19" x14ac:dyDescent="0.25">
      <c r="A510" s="70" t="e">
        <f>'Date Calcs'!#REF!</f>
        <v>#REF!</v>
      </c>
      <c r="B510" s="71" t="e">
        <f>'Date Calcs'!#REF!</f>
        <v>#REF!</v>
      </c>
      <c r="C510" s="72" t="e">
        <f>'Date Calcs'!#REF!</f>
        <v>#REF!</v>
      </c>
      <c r="D510" s="73" t="e">
        <f t="shared" si="195"/>
        <v>#REF!</v>
      </c>
      <c r="E510" s="66">
        <v>44533</v>
      </c>
      <c r="F510" s="73" t="e">
        <f>'Date Calcs'!#REF!</f>
        <v>#REF!</v>
      </c>
      <c r="G510" s="73" t="e">
        <f>IF(VLOOKUP(A510,'Actual Dates'!A4:AF638,8,),'Actual Dates'!#REF!,"")</f>
        <v>#REF!</v>
      </c>
      <c r="H510" s="73" t="e">
        <f t="shared" si="196"/>
        <v>#REF!</v>
      </c>
      <c r="I510" s="73" t="e">
        <f>IF(VLOOKUP(A510,'Actual Dates'!A4:AF633,25,),'Actual Dates'!#REF!,"")</f>
        <v>#REF!</v>
      </c>
      <c r="J510" s="73" t="e">
        <f t="shared" si="197"/>
        <v>#REF!</v>
      </c>
      <c r="K510" s="73" t="e">
        <f>IF(VLOOKUP(A510,'Actual Dates'!A4:AF661,26,),'Actual Dates'!#REF!,"")</f>
        <v>#REF!</v>
      </c>
      <c r="L510" s="73" t="e">
        <f>IF(VLOOKUP(A510,'Actual Dates'!A4:AF661,21,),'Actual Dates'!#REF!,"")</f>
        <v>#REF!</v>
      </c>
      <c r="M510" s="73" t="e">
        <f>'Date Calcs'!#REF!</f>
        <v>#REF!</v>
      </c>
      <c r="N510" s="73" t="e">
        <f>IF(VLOOKUP(A510,'Actual Dates'!A4:AF661,27,),'Actual Dates'!#REF!,"")</f>
        <v>#REF!</v>
      </c>
      <c r="O510" s="74" t="e">
        <f t="shared" si="198"/>
        <v>#REF!</v>
      </c>
      <c r="P510" s="75" t="e">
        <f t="shared" si="199"/>
        <v>#REF!</v>
      </c>
      <c r="Q510" s="75" t="e">
        <f t="shared" si="200"/>
        <v>#REF!</v>
      </c>
      <c r="R510" s="132"/>
      <c r="S510" s="133"/>
    </row>
    <row r="511" spans="1:19" x14ac:dyDescent="0.25">
      <c r="A511" s="70" t="e">
        <f>'Date Calcs'!#REF!</f>
        <v>#REF!</v>
      </c>
      <c r="B511" s="71" t="e">
        <f>'Date Calcs'!#REF!</f>
        <v>#REF!</v>
      </c>
      <c r="C511" s="72" t="e">
        <f>'Date Calcs'!#REF!</f>
        <v>#REF!</v>
      </c>
      <c r="D511" s="73" t="e">
        <f t="shared" si="195"/>
        <v>#REF!</v>
      </c>
      <c r="E511" s="66">
        <v>44534</v>
      </c>
      <c r="F511" s="73" t="e">
        <f>'Date Calcs'!#REF!</f>
        <v>#REF!</v>
      </c>
      <c r="G511" s="73" t="e">
        <f>IF(VLOOKUP(A511,'Actual Dates'!A4:AF639,8,),'Actual Dates'!#REF!,"")</f>
        <v>#REF!</v>
      </c>
      <c r="H511" s="73" t="e">
        <f t="shared" si="196"/>
        <v>#REF!</v>
      </c>
      <c r="I511" s="73" t="e">
        <f>IF(VLOOKUP(A511,'Actual Dates'!A4:AF634,25,),'Actual Dates'!#REF!,"")</f>
        <v>#REF!</v>
      </c>
      <c r="J511" s="73" t="e">
        <f t="shared" si="197"/>
        <v>#REF!</v>
      </c>
      <c r="K511" s="73" t="e">
        <f>IF(VLOOKUP(A511,'Actual Dates'!A4:AF662,26,),'Actual Dates'!#REF!,"")</f>
        <v>#REF!</v>
      </c>
      <c r="L511" s="73" t="e">
        <f>IF(VLOOKUP(A511,'Actual Dates'!A4:AF662,21,),'Actual Dates'!#REF!,"")</f>
        <v>#REF!</v>
      </c>
      <c r="M511" s="73" t="e">
        <f>'Date Calcs'!#REF!</f>
        <v>#REF!</v>
      </c>
      <c r="N511" s="73" t="e">
        <f>IF(VLOOKUP(A511,'Actual Dates'!A4:AF662,27,),'Actual Dates'!#REF!,"")</f>
        <v>#REF!</v>
      </c>
      <c r="O511" s="74" t="e">
        <f t="shared" si="198"/>
        <v>#REF!</v>
      </c>
      <c r="P511" s="75" t="e">
        <f t="shared" si="199"/>
        <v>#REF!</v>
      </c>
      <c r="Q511" s="75" t="e">
        <f t="shared" si="200"/>
        <v>#REF!</v>
      </c>
      <c r="R511" s="132"/>
      <c r="S511" s="133"/>
    </row>
    <row r="512" spans="1:19" x14ac:dyDescent="0.25">
      <c r="A512" s="70" t="e">
        <f>'Date Calcs'!#REF!</f>
        <v>#REF!</v>
      </c>
      <c r="B512" s="71" t="e">
        <f>'Date Calcs'!#REF!</f>
        <v>#REF!</v>
      </c>
      <c r="C512" s="72" t="e">
        <f>'Date Calcs'!#REF!</f>
        <v>#REF!</v>
      </c>
      <c r="D512" s="73" t="e">
        <f t="shared" si="195"/>
        <v>#REF!</v>
      </c>
      <c r="E512" s="66">
        <v>44535</v>
      </c>
      <c r="F512" s="73" t="e">
        <f>'Date Calcs'!#REF!</f>
        <v>#REF!</v>
      </c>
      <c r="G512" s="73" t="e">
        <f>IF(VLOOKUP(A512,'Actual Dates'!A4:AF640,8,),'Actual Dates'!#REF!,"")</f>
        <v>#REF!</v>
      </c>
      <c r="H512" s="73" t="e">
        <f t="shared" si="196"/>
        <v>#REF!</v>
      </c>
      <c r="I512" s="73" t="e">
        <f>IF(VLOOKUP(A512,'Actual Dates'!A4:AF635,25,),'Actual Dates'!#REF!,"")</f>
        <v>#REF!</v>
      </c>
      <c r="J512" s="73" t="e">
        <f t="shared" si="197"/>
        <v>#REF!</v>
      </c>
      <c r="K512" s="73" t="e">
        <f>IF(VLOOKUP(A512,'Actual Dates'!A4:AF663,26,),'Actual Dates'!#REF!,"")</f>
        <v>#REF!</v>
      </c>
      <c r="L512" s="73" t="e">
        <f>IF(VLOOKUP(A512,'Actual Dates'!A4:AF663,21,),'Actual Dates'!#REF!,"")</f>
        <v>#REF!</v>
      </c>
      <c r="M512" s="73" t="e">
        <f>'Date Calcs'!#REF!</f>
        <v>#REF!</v>
      </c>
      <c r="N512" s="73" t="e">
        <f>IF(VLOOKUP(A512,'Actual Dates'!A4:AF663,27,),'Actual Dates'!#REF!,"")</f>
        <v>#REF!</v>
      </c>
      <c r="O512" s="74" t="e">
        <f t="shared" si="198"/>
        <v>#REF!</v>
      </c>
      <c r="P512" s="75" t="e">
        <f t="shared" si="199"/>
        <v>#REF!</v>
      </c>
      <c r="Q512" s="75" t="e">
        <f t="shared" si="200"/>
        <v>#REF!</v>
      </c>
      <c r="R512" s="132"/>
      <c r="S512" s="133"/>
    </row>
    <row r="513" spans="1:19" x14ac:dyDescent="0.25">
      <c r="A513" s="70" t="e">
        <f>'Date Calcs'!#REF!</f>
        <v>#REF!</v>
      </c>
      <c r="B513" s="71" t="e">
        <f>'Date Calcs'!#REF!</f>
        <v>#REF!</v>
      </c>
      <c r="C513" s="72" t="e">
        <f>'Date Calcs'!#REF!</f>
        <v>#REF!</v>
      </c>
      <c r="D513" s="73" t="e">
        <f t="shared" si="195"/>
        <v>#REF!</v>
      </c>
      <c r="E513" s="66">
        <v>44536</v>
      </c>
      <c r="F513" s="73" t="e">
        <f>'Date Calcs'!#REF!</f>
        <v>#REF!</v>
      </c>
      <c r="G513" s="73" t="e">
        <f>IF(VLOOKUP(A513,'Actual Dates'!A4:AF641,8,),'Actual Dates'!#REF!,"")</f>
        <v>#REF!</v>
      </c>
      <c r="H513" s="73" t="e">
        <f t="shared" si="196"/>
        <v>#REF!</v>
      </c>
      <c r="I513" s="73" t="e">
        <f>IF(VLOOKUP(A513,'Actual Dates'!A4:AF636,25,),'Actual Dates'!#REF!,"")</f>
        <v>#REF!</v>
      </c>
      <c r="J513" s="73" t="e">
        <f t="shared" si="197"/>
        <v>#REF!</v>
      </c>
      <c r="K513" s="73" t="e">
        <f>IF(VLOOKUP(A513,'Actual Dates'!A4:AF664,26,),'Actual Dates'!#REF!,"")</f>
        <v>#REF!</v>
      </c>
      <c r="L513" s="73" t="e">
        <f>IF(VLOOKUP(A513,'Actual Dates'!A4:AF664,21,),'Actual Dates'!#REF!,"")</f>
        <v>#REF!</v>
      </c>
      <c r="M513" s="73" t="e">
        <f>'Date Calcs'!#REF!</f>
        <v>#REF!</v>
      </c>
      <c r="N513" s="73" t="e">
        <f>IF(VLOOKUP(A513,'Actual Dates'!A4:AF664,27,),'Actual Dates'!#REF!,"")</f>
        <v>#REF!</v>
      </c>
      <c r="O513" s="74" t="e">
        <f t="shared" si="198"/>
        <v>#REF!</v>
      </c>
      <c r="P513" s="75" t="e">
        <f t="shared" si="199"/>
        <v>#REF!</v>
      </c>
      <c r="Q513" s="75" t="e">
        <f t="shared" si="200"/>
        <v>#REF!</v>
      </c>
      <c r="R513" s="132"/>
      <c r="S513" s="133"/>
    </row>
    <row r="514" spans="1:19" x14ac:dyDescent="0.25">
      <c r="A514" s="70" t="e">
        <f>'Date Calcs'!#REF!</f>
        <v>#REF!</v>
      </c>
      <c r="B514" s="71" t="e">
        <f>'Date Calcs'!#REF!</f>
        <v>#REF!</v>
      </c>
      <c r="C514" s="72" t="e">
        <f>'Date Calcs'!#REF!</f>
        <v>#REF!</v>
      </c>
      <c r="D514" s="73" t="e">
        <f t="shared" si="195"/>
        <v>#REF!</v>
      </c>
      <c r="E514" s="66">
        <v>44537</v>
      </c>
      <c r="F514" s="73" t="e">
        <f>'Date Calcs'!#REF!</f>
        <v>#REF!</v>
      </c>
      <c r="G514" s="73" t="e">
        <f>IF(VLOOKUP(A514,'Actual Dates'!A4:AF642,8,),'Actual Dates'!#REF!,"")</f>
        <v>#REF!</v>
      </c>
      <c r="H514" s="73" t="e">
        <f t="shared" si="196"/>
        <v>#REF!</v>
      </c>
      <c r="I514" s="73" t="e">
        <f>IF(VLOOKUP(A514,'Actual Dates'!A4:AF637,25,),'Actual Dates'!#REF!,"")</f>
        <v>#REF!</v>
      </c>
      <c r="J514" s="73" t="e">
        <f t="shared" si="197"/>
        <v>#REF!</v>
      </c>
      <c r="K514" s="73" t="e">
        <f>IF(VLOOKUP(A514,'Actual Dates'!A4:AF665,26,),'Actual Dates'!#REF!,"")</f>
        <v>#REF!</v>
      </c>
      <c r="L514" s="73" t="e">
        <f>IF(VLOOKUP(A514,'Actual Dates'!A4:AF665,21,),'Actual Dates'!#REF!,"")</f>
        <v>#REF!</v>
      </c>
      <c r="M514" s="73" t="e">
        <f>'Date Calcs'!#REF!</f>
        <v>#REF!</v>
      </c>
      <c r="N514" s="73" t="e">
        <f>IF(VLOOKUP(A514,'Actual Dates'!A4:AF665,27,),'Actual Dates'!#REF!,"")</f>
        <v>#REF!</v>
      </c>
      <c r="O514" s="74" t="e">
        <f t="shared" si="198"/>
        <v>#REF!</v>
      </c>
      <c r="P514" s="75" t="e">
        <f t="shared" si="199"/>
        <v>#REF!</v>
      </c>
      <c r="Q514" s="75" t="e">
        <f t="shared" si="200"/>
        <v>#REF!</v>
      </c>
      <c r="R514" s="132"/>
      <c r="S514" s="133"/>
    </row>
    <row r="515" spans="1:19" x14ac:dyDescent="0.25">
      <c r="A515" s="70" t="e">
        <f>'Date Calcs'!#REF!</f>
        <v>#REF!</v>
      </c>
      <c r="B515" s="71" t="e">
        <f>'Date Calcs'!#REF!</f>
        <v>#REF!</v>
      </c>
      <c r="C515" s="72" t="e">
        <f>'Date Calcs'!#REF!</f>
        <v>#REF!</v>
      </c>
      <c r="D515" s="73" t="e">
        <f t="shared" si="195"/>
        <v>#REF!</v>
      </c>
      <c r="E515" s="66">
        <v>44538</v>
      </c>
      <c r="F515" s="73" t="e">
        <f>'Date Calcs'!#REF!</f>
        <v>#REF!</v>
      </c>
      <c r="G515" s="73" t="e">
        <f>IF(VLOOKUP(A515,'Actual Dates'!A4:AF643,8,),'Actual Dates'!#REF!,"")</f>
        <v>#REF!</v>
      </c>
      <c r="H515" s="73" t="e">
        <f t="shared" si="196"/>
        <v>#REF!</v>
      </c>
      <c r="I515" s="73" t="e">
        <f>IF(VLOOKUP(A515,'Actual Dates'!A4:AF638,25,),'Actual Dates'!#REF!,"")</f>
        <v>#REF!</v>
      </c>
      <c r="J515" s="73" t="e">
        <f t="shared" si="197"/>
        <v>#REF!</v>
      </c>
      <c r="K515" s="73" t="e">
        <f>IF(VLOOKUP(A515,'Actual Dates'!A4:AF666,26,),'Actual Dates'!#REF!,"")</f>
        <v>#REF!</v>
      </c>
      <c r="L515" s="73" t="e">
        <f>IF(VLOOKUP(A515,'Actual Dates'!A4:AF666,21,),'Actual Dates'!#REF!,"")</f>
        <v>#REF!</v>
      </c>
      <c r="M515" s="73" t="e">
        <f>'Date Calcs'!#REF!</f>
        <v>#REF!</v>
      </c>
      <c r="N515" s="73" t="e">
        <f>IF(VLOOKUP(A515,'Actual Dates'!A4:AF666,27,),'Actual Dates'!#REF!,"")</f>
        <v>#REF!</v>
      </c>
      <c r="O515" s="74" t="e">
        <f t="shared" si="198"/>
        <v>#REF!</v>
      </c>
      <c r="P515" s="75" t="e">
        <f t="shared" si="199"/>
        <v>#REF!</v>
      </c>
      <c r="Q515" s="75" t="e">
        <f t="shared" si="200"/>
        <v>#REF!</v>
      </c>
      <c r="R515" s="132"/>
      <c r="S515" s="133"/>
    </row>
    <row r="516" spans="1:19" x14ac:dyDescent="0.25">
      <c r="A516" s="70" t="e">
        <f>'Date Calcs'!#REF!</f>
        <v>#REF!</v>
      </c>
      <c r="B516" s="71" t="e">
        <f>'Date Calcs'!#REF!</f>
        <v>#REF!</v>
      </c>
      <c r="C516" s="72" t="e">
        <f>'Date Calcs'!#REF!</f>
        <v>#REF!</v>
      </c>
      <c r="D516" s="73" t="e">
        <f t="shared" si="195"/>
        <v>#REF!</v>
      </c>
      <c r="E516" s="66">
        <v>44539</v>
      </c>
      <c r="F516" s="73" t="e">
        <f>'Date Calcs'!#REF!</f>
        <v>#REF!</v>
      </c>
      <c r="G516" s="73" t="e">
        <f>IF(VLOOKUP(A516,'Actual Dates'!A4:AF644,8,),'Actual Dates'!#REF!,"")</f>
        <v>#REF!</v>
      </c>
      <c r="H516" s="73" t="e">
        <f t="shared" si="196"/>
        <v>#REF!</v>
      </c>
      <c r="I516" s="73" t="e">
        <f>IF(VLOOKUP(A516,'Actual Dates'!A4:AF639,25,),'Actual Dates'!#REF!,"")</f>
        <v>#REF!</v>
      </c>
      <c r="J516" s="73" t="e">
        <f t="shared" si="197"/>
        <v>#REF!</v>
      </c>
      <c r="K516" s="73" t="e">
        <f>IF(VLOOKUP(A516,'Actual Dates'!A4:AF667,26,),'Actual Dates'!#REF!,"")</f>
        <v>#REF!</v>
      </c>
      <c r="L516" s="73" t="e">
        <f>IF(VLOOKUP(A516,'Actual Dates'!A4:AF667,21,),'Actual Dates'!#REF!,"")</f>
        <v>#REF!</v>
      </c>
      <c r="M516" s="73" t="e">
        <f>'Date Calcs'!#REF!</f>
        <v>#REF!</v>
      </c>
      <c r="N516" s="73" t="e">
        <f>IF(VLOOKUP(A516,'Actual Dates'!A4:AF667,27,),'Actual Dates'!#REF!,"")</f>
        <v>#REF!</v>
      </c>
      <c r="O516" s="74" t="e">
        <f t="shared" si="198"/>
        <v>#REF!</v>
      </c>
      <c r="P516" s="75" t="e">
        <f t="shared" si="199"/>
        <v>#REF!</v>
      </c>
      <c r="Q516" s="75" t="e">
        <f t="shared" si="200"/>
        <v>#REF!</v>
      </c>
      <c r="R516" s="132"/>
      <c r="S516" s="133"/>
    </row>
    <row r="517" spans="1:19" x14ac:dyDescent="0.25">
      <c r="A517" s="70" t="e">
        <f>'Date Calcs'!#REF!</f>
        <v>#REF!</v>
      </c>
      <c r="B517" s="71" t="e">
        <f>'Date Calcs'!#REF!</f>
        <v>#REF!</v>
      </c>
      <c r="C517" s="72" t="e">
        <f>'Date Calcs'!#REF!</f>
        <v>#REF!</v>
      </c>
      <c r="D517" s="73" t="e">
        <f t="shared" si="195"/>
        <v>#REF!</v>
      </c>
      <c r="E517" s="66">
        <v>44540</v>
      </c>
      <c r="F517" s="73" t="e">
        <f>'Date Calcs'!#REF!</f>
        <v>#REF!</v>
      </c>
      <c r="G517" s="73" t="e">
        <f>IF(VLOOKUP(A517,'Actual Dates'!A4:AF645,8,),'Actual Dates'!#REF!,"")</f>
        <v>#REF!</v>
      </c>
      <c r="H517" s="73" t="e">
        <f t="shared" si="196"/>
        <v>#REF!</v>
      </c>
      <c r="I517" s="73" t="e">
        <f>IF(VLOOKUP(A517,'Actual Dates'!A4:AF640,25,),'Actual Dates'!#REF!,"")</f>
        <v>#REF!</v>
      </c>
      <c r="J517" s="73" t="e">
        <f t="shared" si="197"/>
        <v>#REF!</v>
      </c>
      <c r="K517" s="73" t="e">
        <f>IF(VLOOKUP(A517,'Actual Dates'!A4:AF668,26,),'Actual Dates'!#REF!,"")</f>
        <v>#REF!</v>
      </c>
      <c r="L517" s="73" t="e">
        <f>IF(VLOOKUP(A517,'Actual Dates'!A4:AF668,21,),'Actual Dates'!#REF!,"")</f>
        <v>#REF!</v>
      </c>
      <c r="M517" s="73" t="e">
        <f>'Date Calcs'!#REF!</f>
        <v>#REF!</v>
      </c>
      <c r="N517" s="73" t="e">
        <f>IF(VLOOKUP(A517,'Actual Dates'!A4:AF668,27,),'Actual Dates'!#REF!,"")</f>
        <v>#REF!</v>
      </c>
      <c r="O517" s="74" t="e">
        <f t="shared" si="198"/>
        <v>#REF!</v>
      </c>
      <c r="P517" s="75" t="e">
        <f t="shared" si="199"/>
        <v>#REF!</v>
      </c>
      <c r="Q517" s="75" t="e">
        <f t="shared" si="200"/>
        <v>#REF!</v>
      </c>
      <c r="R517" s="132"/>
      <c r="S517" s="133"/>
    </row>
    <row r="518" spans="1:19" x14ac:dyDescent="0.25">
      <c r="A518" s="70" t="e">
        <f>'Date Calcs'!#REF!</f>
        <v>#REF!</v>
      </c>
      <c r="B518" s="71" t="e">
        <f>'Date Calcs'!#REF!</f>
        <v>#REF!</v>
      </c>
      <c r="C518" s="72" t="e">
        <f>'Date Calcs'!#REF!</f>
        <v>#REF!</v>
      </c>
      <c r="D518" s="73" t="e">
        <f t="shared" si="195"/>
        <v>#REF!</v>
      </c>
      <c r="E518" s="66">
        <v>44541</v>
      </c>
      <c r="F518" s="73" t="e">
        <f>'Date Calcs'!#REF!</f>
        <v>#REF!</v>
      </c>
      <c r="G518" s="73" t="e">
        <f>IF(VLOOKUP(A518,'Actual Dates'!A4:AF646,8,),'Actual Dates'!#REF!,"")</f>
        <v>#REF!</v>
      </c>
      <c r="H518" s="73" t="e">
        <f t="shared" si="196"/>
        <v>#REF!</v>
      </c>
      <c r="I518" s="73" t="e">
        <f>IF(VLOOKUP(A518,'Actual Dates'!A4:AF641,25,),'Actual Dates'!#REF!,"")</f>
        <v>#REF!</v>
      </c>
      <c r="J518" s="73" t="e">
        <f t="shared" si="197"/>
        <v>#REF!</v>
      </c>
      <c r="K518" s="73" t="e">
        <f>IF(VLOOKUP(A518,'Actual Dates'!A4:AF669,26,),'Actual Dates'!#REF!,"")</f>
        <v>#REF!</v>
      </c>
      <c r="L518" s="73" t="e">
        <f>IF(VLOOKUP(A518,'Actual Dates'!A4:AF669,21,),'Actual Dates'!#REF!,"")</f>
        <v>#REF!</v>
      </c>
      <c r="M518" s="73" t="e">
        <f>'Date Calcs'!#REF!</f>
        <v>#REF!</v>
      </c>
      <c r="N518" s="73" t="e">
        <f>IF(VLOOKUP(A518,'Actual Dates'!A4:AF669,27,),'Actual Dates'!#REF!,"")</f>
        <v>#REF!</v>
      </c>
      <c r="O518" s="74" t="e">
        <f t="shared" si="198"/>
        <v>#REF!</v>
      </c>
      <c r="P518" s="75" t="e">
        <f t="shared" si="199"/>
        <v>#REF!</v>
      </c>
      <c r="Q518" s="75" t="e">
        <f t="shared" si="200"/>
        <v>#REF!</v>
      </c>
      <c r="R518" s="132"/>
      <c r="S518" s="133"/>
    </row>
    <row r="519" spans="1:19" x14ac:dyDescent="0.25">
      <c r="A519" s="70" t="e">
        <f>'Date Calcs'!#REF!</f>
        <v>#REF!</v>
      </c>
      <c r="B519" s="71" t="e">
        <f>'Date Calcs'!#REF!</f>
        <v>#REF!</v>
      </c>
      <c r="C519" s="72" t="e">
        <f>'Date Calcs'!#REF!</f>
        <v>#REF!</v>
      </c>
      <c r="D519" s="73" t="e">
        <f t="shared" si="195"/>
        <v>#REF!</v>
      </c>
      <c r="E519" s="66">
        <v>44542</v>
      </c>
      <c r="F519" s="73" t="e">
        <f>'Date Calcs'!#REF!</f>
        <v>#REF!</v>
      </c>
      <c r="G519" s="73" t="e">
        <f>IF(VLOOKUP(A519,'Actual Dates'!A4:AF647,8,),'Actual Dates'!#REF!,"")</f>
        <v>#REF!</v>
      </c>
      <c r="H519" s="73" t="e">
        <f t="shared" si="196"/>
        <v>#REF!</v>
      </c>
      <c r="I519" s="73" t="e">
        <f>IF(VLOOKUP(A519,'Actual Dates'!A4:AF642,25,),'Actual Dates'!#REF!,"")</f>
        <v>#REF!</v>
      </c>
      <c r="J519" s="73" t="e">
        <f t="shared" si="197"/>
        <v>#REF!</v>
      </c>
      <c r="K519" s="73" t="e">
        <f>IF(VLOOKUP(A519,'Actual Dates'!A4:AF670,26,),'Actual Dates'!#REF!,"")</f>
        <v>#REF!</v>
      </c>
      <c r="L519" s="73" t="e">
        <f>IF(VLOOKUP(A519,'Actual Dates'!A4:AF670,21,),'Actual Dates'!#REF!,"")</f>
        <v>#REF!</v>
      </c>
      <c r="M519" s="73" t="e">
        <f>'Date Calcs'!#REF!</f>
        <v>#REF!</v>
      </c>
      <c r="N519" s="73" t="e">
        <f>IF(VLOOKUP(A519,'Actual Dates'!A4:AF670,27,),'Actual Dates'!#REF!,"")</f>
        <v>#REF!</v>
      </c>
      <c r="O519" s="74" t="e">
        <f t="shared" si="198"/>
        <v>#REF!</v>
      </c>
      <c r="P519" s="75" t="e">
        <f t="shared" si="199"/>
        <v>#REF!</v>
      </c>
      <c r="Q519" s="75" t="e">
        <f t="shared" si="200"/>
        <v>#REF!</v>
      </c>
      <c r="R519" s="132"/>
      <c r="S519" s="133"/>
    </row>
    <row r="520" spans="1:19" x14ac:dyDescent="0.25">
      <c r="A520" s="70" t="e">
        <f>'Date Calcs'!#REF!</f>
        <v>#REF!</v>
      </c>
      <c r="B520" s="71" t="e">
        <f>'Date Calcs'!#REF!</f>
        <v>#REF!</v>
      </c>
      <c r="C520" s="72" t="e">
        <f>'Date Calcs'!#REF!</f>
        <v>#REF!</v>
      </c>
      <c r="D520" s="73" t="e">
        <f t="shared" si="195"/>
        <v>#REF!</v>
      </c>
      <c r="E520" s="66">
        <v>44543</v>
      </c>
      <c r="F520" s="73" t="e">
        <f>'Date Calcs'!#REF!</f>
        <v>#REF!</v>
      </c>
      <c r="G520" s="73" t="e">
        <f>IF(VLOOKUP(A520,'Actual Dates'!A4:AF648,8,),'Actual Dates'!#REF!,"")</f>
        <v>#REF!</v>
      </c>
      <c r="H520" s="73" t="e">
        <f t="shared" si="196"/>
        <v>#REF!</v>
      </c>
      <c r="I520" s="73" t="e">
        <f>IF(VLOOKUP(A520,'Actual Dates'!A4:AF643,25,),'Actual Dates'!#REF!,"")</f>
        <v>#REF!</v>
      </c>
      <c r="J520" s="73" t="e">
        <f t="shared" si="197"/>
        <v>#REF!</v>
      </c>
      <c r="K520" s="73" t="e">
        <f>IF(VLOOKUP(A520,'Actual Dates'!A4:AF671,26,),'Actual Dates'!#REF!,"")</f>
        <v>#REF!</v>
      </c>
      <c r="L520" s="73" t="e">
        <f>IF(VLOOKUP(A520,'Actual Dates'!A4:AF671,21,),'Actual Dates'!#REF!,"")</f>
        <v>#REF!</v>
      </c>
      <c r="M520" s="73" t="e">
        <f>'Date Calcs'!#REF!</f>
        <v>#REF!</v>
      </c>
      <c r="N520" s="73" t="e">
        <f>IF(VLOOKUP(A520,'Actual Dates'!A4:AF671,27,),'Actual Dates'!#REF!,"")</f>
        <v>#REF!</v>
      </c>
      <c r="O520" s="74" t="e">
        <f t="shared" si="198"/>
        <v>#REF!</v>
      </c>
      <c r="P520" s="75" t="e">
        <f t="shared" si="199"/>
        <v>#REF!</v>
      </c>
      <c r="Q520" s="75" t="e">
        <f t="shared" si="200"/>
        <v>#REF!</v>
      </c>
      <c r="R520" s="132"/>
      <c r="S520" s="133"/>
    </row>
    <row r="521" spans="1:19" x14ac:dyDescent="0.25">
      <c r="A521" s="70" t="e">
        <f>'Date Calcs'!#REF!</f>
        <v>#REF!</v>
      </c>
      <c r="B521" s="71" t="e">
        <f>'Date Calcs'!#REF!</f>
        <v>#REF!</v>
      </c>
      <c r="C521" s="72" t="e">
        <f>'Date Calcs'!#REF!</f>
        <v>#REF!</v>
      </c>
      <c r="D521" s="73" t="e">
        <f t="shared" ref="D521:D584" si="201">WORKDAY(F521,-1,)</f>
        <v>#REF!</v>
      </c>
      <c r="E521" s="66">
        <v>44544</v>
      </c>
      <c r="F521" s="73" t="e">
        <f>'Date Calcs'!#REF!</f>
        <v>#REF!</v>
      </c>
      <c r="G521" s="73" t="e">
        <f>IF(VLOOKUP(A521,'Actual Dates'!A4:AF649,8,),'Actual Dates'!#REF!,"")</f>
        <v>#REF!</v>
      </c>
      <c r="H521" s="73" t="e">
        <f t="shared" ref="H521:H584" si="202">WORKDAY(L521,3,)</f>
        <v>#REF!</v>
      </c>
      <c r="I521" s="73" t="e">
        <f>IF(VLOOKUP(A521,'Actual Dates'!A4:AF644,25,),'Actual Dates'!#REF!,"")</f>
        <v>#REF!</v>
      </c>
      <c r="J521" s="73" t="e">
        <f t="shared" ref="J521:J584" si="203">WORKDAY(L521,4,)</f>
        <v>#REF!</v>
      </c>
      <c r="K521" s="73" t="e">
        <f>IF(VLOOKUP(A521,'Actual Dates'!A4:AF672,26,),'Actual Dates'!#REF!,"")</f>
        <v>#REF!</v>
      </c>
      <c r="L521" s="73" t="e">
        <f>IF(VLOOKUP(A521,'Actual Dates'!A4:AF672,21,),'Actual Dates'!#REF!,"")</f>
        <v>#REF!</v>
      </c>
      <c r="M521" s="73" t="e">
        <f>'Date Calcs'!#REF!</f>
        <v>#REF!</v>
      </c>
      <c r="N521" s="73" t="e">
        <f>IF(VLOOKUP(A521,'Actual Dates'!A4:AF672,27,),'Actual Dates'!#REF!,"")</f>
        <v>#REF!</v>
      </c>
      <c r="O521" s="74" t="e">
        <f t="shared" ref="O521:O584" si="204">N521-C521</f>
        <v>#REF!</v>
      </c>
      <c r="P521" s="75" t="e">
        <f t="shared" ref="P521:P584" si="205">F521-G521</f>
        <v>#REF!</v>
      </c>
      <c r="Q521" s="75" t="e">
        <f t="shared" ref="Q521:Q584" si="206">M521-N521</f>
        <v>#REF!</v>
      </c>
      <c r="R521" s="132"/>
      <c r="S521" s="133"/>
    </row>
    <row r="522" spans="1:19" x14ac:dyDescent="0.25">
      <c r="A522" s="70" t="e">
        <f>'Date Calcs'!#REF!</f>
        <v>#REF!</v>
      </c>
      <c r="B522" s="71" t="e">
        <f>'Date Calcs'!#REF!</f>
        <v>#REF!</v>
      </c>
      <c r="C522" s="72" t="e">
        <f>'Date Calcs'!#REF!</f>
        <v>#REF!</v>
      </c>
      <c r="D522" s="73" t="e">
        <f t="shared" si="201"/>
        <v>#REF!</v>
      </c>
      <c r="E522" s="66">
        <v>44545</v>
      </c>
      <c r="F522" s="73" t="e">
        <f>'Date Calcs'!#REF!</f>
        <v>#REF!</v>
      </c>
      <c r="G522" s="73" t="e">
        <f>IF(VLOOKUP(A522,'Actual Dates'!A4:AF650,8,),'Actual Dates'!#REF!,"")</f>
        <v>#REF!</v>
      </c>
      <c r="H522" s="73" t="e">
        <f t="shared" si="202"/>
        <v>#REF!</v>
      </c>
      <c r="I522" s="73" t="e">
        <f>IF(VLOOKUP(A522,'Actual Dates'!A4:AF645,25,),'Actual Dates'!#REF!,"")</f>
        <v>#REF!</v>
      </c>
      <c r="J522" s="73" t="e">
        <f t="shared" si="203"/>
        <v>#REF!</v>
      </c>
      <c r="K522" s="73" t="e">
        <f>IF(VLOOKUP(A522,'Actual Dates'!A4:AF673,26,),'Actual Dates'!#REF!,"")</f>
        <v>#REF!</v>
      </c>
      <c r="L522" s="73" t="e">
        <f>IF(VLOOKUP(A522,'Actual Dates'!A4:AF673,21,),'Actual Dates'!#REF!,"")</f>
        <v>#REF!</v>
      </c>
      <c r="M522" s="73" t="e">
        <f>'Date Calcs'!#REF!</f>
        <v>#REF!</v>
      </c>
      <c r="N522" s="73" t="e">
        <f>IF(VLOOKUP(A522,'Actual Dates'!A4:AF673,27,),'Actual Dates'!#REF!,"")</f>
        <v>#REF!</v>
      </c>
      <c r="O522" s="74" t="e">
        <f t="shared" si="204"/>
        <v>#REF!</v>
      </c>
      <c r="P522" s="75" t="e">
        <f t="shared" si="205"/>
        <v>#REF!</v>
      </c>
      <c r="Q522" s="75" t="e">
        <f t="shared" si="206"/>
        <v>#REF!</v>
      </c>
      <c r="R522" s="132"/>
      <c r="S522" s="133"/>
    </row>
    <row r="523" spans="1:19" x14ac:dyDescent="0.25">
      <c r="A523" s="70" t="e">
        <f>'Date Calcs'!#REF!</f>
        <v>#REF!</v>
      </c>
      <c r="B523" s="71" t="e">
        <f>'Date Calcs'!#REF!</f>
        <v>#REF!</v>
      </c>
      <c r="C523" s="72" t="e">
        <f>'Date Calcs'!#REF!</f>
        <v>#REF!</v>
      </c>
      <c r="D523" s="73" t="e">
        <f t="shared" si="201"/>
        <v>#REF!</v>
      </c>
      <c r="E523" s="66">
        <v>44546</v>
      </c>
      <c r="F523" s="73" t="e">
        <f>'Date Calcs'!#REF!</f>
        <v>#REF!</v>
      </c>
      <c r="G523" s="73" t="e">
        <f>IF(VLOOKUP(A523,'Actual Dates'!A4:AF651,8,),'Actual Dates'!#REF!,"")</f>
        <v>#REF!</v>
      </c>
      <c r="H523" s="73" t="e">
        <f t="shared" si="202"/>
        <v>#REF!</v>
      </c>
      <c r="I523" s="73" t="e">
        <f>IF(VLOOKUP(A523,'Actual Dates'!A4:AF646,25,),'Actual Dates'!#REF!,"")</f>
        <v>#REF!</v>
      </c>
      <c r="J523" s="73" t="e">
        <f t="shared" si="203"/>
        <v>#REF!</v>
      </c>
      <c r="K523" s="73" t="e">
        <f>IF(VLOOKUP(A523,'Actual Dates'!A4:AF674,26,),'Actual Dates'!#REF!,"")</f>
        <v>#REF!</v>
      </c>
      <c r="L523" s="73" t="e">
        <f>IF(VLOOKUP(A523,'Actual Dates'!A4:AF674,21,),'Actual Dates'!#REF!,"")</f>
        <v>#REF!</v>
      </c>
      <c r="M523" s="73" t="e">
        <f>'Date Calcs'!#REF!</f>
        <v>#REF!</v>
      </c>
      <c r="N523" s="73" t="e">
        <f>IF(VLOOKUP(A523,'Actual Dates'!A4:AF674,27,),'Actual Dates'!#REF!,"")</f>
        <v>#REF!</v>
      </c>
      <c r="O523" s="74" t="e">
        <f t="shared" si="204"/>
        <v>#REF!</v>
      </c>
      <c r="P523" s="75" t="e">
        <f t="shared" si="205"/>
        <v>#REF!</v>
      </c>
      <c r="Q523" s="75" t="e">
        <f t="shared" si="206"/>
        <v>#REF!</v>
      </c>
      <c r="R523" s="132"/>
      <c r="S523" s="133"/>
    </row>
    <row r="524" spans="1:19" x14ac:dyDescent="0.25">
      <c r="A524" s="70" t="e">
        <f>'Date Calcs'!#REF!</f>
        <v>#REF!</v>
      </c>
      <c r="B524" s="71" t="e">
        <f>'Date Calcs'!#REF!</f>
        <v>#REF!</v>
      </c>
      <c r="C524" s="72" t="e">
        <f>'Date Calcs'!#REF!</f>
        <v>#REF!</v>
      </c>
      <c r="D524" s="73" t="e">
        <f t="shared" si="201"/>
        <v>#REF!</v>
      </c>
      <c r="E524" s="66">
        <v>44547</v>
      </c>
      <c r="F524" s="73" t="e">
        <f>'Date Calcs'!#REF!</f>
        <v>#REF!</v>
      </c>
      <c r="G524" s="73" t="e">
        <f>IF(VLOOKUP(A524,'Actual Dates'!A4:AF652,8,),'Actual Dates'!#REF!,"")</f>
        <v>#REF!</v>
      </c>
      <c r="H524" s="73" t="e">
        <f t="shared" si="202"/>
        <v>#REF!</v>
      </c>
      <c r="I524" s="73" t="e">
        <f>IF(VLOOKUP(A524,'Actual Dates'!A4:AF647,25,),'Actual Dates'!#REF!,"")</f>
        <v>#REF!</v>
      </c>
      <c r="J524" s="73" t="e">
        <f t="shared" si="203"/>
        <v>#REF!</v>
      </c>
      <c r="K524" s="73" t="e">
        <f>IF(VLOOKUP(A524,'Actual Dates'!A4:AF675,26,),'Actual Dates'!#REF!,"")</f>
        <v>#REF!</v>
      </c>
      <c r="L524" s="73" t="e">
        <f>IF(VLOOKUP(A524,'Actual Dates'!A4:AF675,21,),'Actual Dates'!#REF!,"")</f>
        <v>#REF!</v>
      </c>
      <c r="M524" s="73" t="e">
        <f>'Date Calcs'!#REF!</f>
        <v>#REF!</v>
      </c>
      <c r="N524" s="73" t="e">
        <f>IF(VLOOKUP(A524,'Actual Dates'!A4:AF675,27,),'Actual Dates'!#REF!,"")</f>
        <v>#REF!</v>
      </c>
      <c r="O524" s="74" t="e">
        <f t="shared" si="204"/>
        <v>#REF!</v>
      </c>
      <c r="P524" s="75" t="e">
        <f t="shared" si="205"/>
        <v>#REF!</v>
      </c>
      <c r="Q524" s="75" t="e">
        <f t="shared" si="206"/>
        <v>#REF!</v>
      </c>
      <c r="R524" s="132"/>
      <c r="S524" s="133"/>
    </row>
    <row r="525" spans="1:19" x14ac:dyDescent="0.25">
      <c r="A525" s="70" t="e">
        <f>'Date Calcs'!#REF!</f>
        <v>#REF!</v>
      </c>
      <c r="B525" s="71" t="e">
        <f>'Date Calcs'!#REF!</f>
        <v>#REF!</v>
      </c>
      <c r="C525" s="72" t="e">
        <f>'Date Calcs'!#REF!</f>
        <v>#REF!</v>
      </c>
      <c r="D525" s="73" t="e">
        <f t="shared" si="201"/>
        <v>#REF!</v>
      </c>
      <c r="E525" s="66">
        <v>44548</v>
      </c>
      <c r="F525" s="73" t="e">
        <f>'Date Calcs'!#REF!</f>
        <v>#REF!</v>
      </c>
      <c r="G525" s="73" t="e">
        <f>IF(VLOOKUP(A525,'Actual Dates'!A4:AF653,8,),'Actual Dates'!#REF!,"")</f>
        <v>#REF!</v>
      </c>
      <c r="H525" s="73" t="e">
        <f t="shared" si="202"/>
        <v>#REF!</v>
      </c>
      <c r="I525" s="73" t="e">
        <f>IF(VLOOKUP(A525,'Actual Dates'!A4:AF648,25,),'Actual Dates'!#REF!,"")</f>
        <v>#REF!</v>
      </c>
      <c r="J525" s="73" t="e">
        <f t="shared" si="203"/>
        <v>#REF!</v>
      </c>
      <c r="K525" s="73" t="e">
        <f>IF(VLOOKUP(A525,'Actual Dates'!A4:AF676,26,),'Actual Dates'!#REF!,"")</f>
        <v>#REF!</v>
      </c>
      <c r="L525" s="73" t="e">
        <f>IF(VLOOKUP(A525,'Actual Dates'!A4:AF676,21,),'Actual Dates'!#REF!,"")</f>
        <v>#REF!</v>
      </c>
      <c r="M525" s="73" t="e">
        <f>'Date Calcs'!#REF!</f>
        <v>#REF!</v>
      </c>
      <c r="N525" s="73" t="e">
        <f>IF(VLOOKUP(A525,'Actual Dates'!A4:AF676,27,),'Actual Dates'!#REF!,"")</f>
        <v>#REF!</v>
      </c>
      <c r="O525" s="74" t="e">
        <f t="shared" si="204"/>
        <v>#REF!</v>
      </c>
      <c r="P525" s="75" t="e">
        <f t="shared" si="205"/>
        <v>#REF!</v>
      </c>
      <c r="Q525" s="75" t="e">
        <f t="shared" si="206"/>
        <v>#REF!</v>
      </c>
      <c r="R525" s="132"/>
      <c r="S525" s="133"/>
    </row>
    <row r="526" spans="1:19" x14ac:dyDescent="0.25">
      <c r="A526" s="70" t="e">
        <f>'Date Calcs'!#REF!</f>
        <v>#REF!</v>
      </c>
      <c r="B526" s="71" t="e">
        <f>'Date Calcs'!#REF!</f>
        <v>#REF!</v>
      </c>
      <c r="C526" s="72" t="e">
        <f>'Date Calcs'!#REF!</f>
        <v>#REF!</v>
      </c>
      <c r="D526" s="73" t="e">
        <f t="shared" si="201"/>
        <v>#REF!</v>
      </c>
      <c r="E526" s="66">
        <v>44549</v>
      </c>
      <c r="F526" s="73" t="e">
        <f>'Date Calcs'!#REF!</f>
        <v>#REF!</v>
      </c>
      <c r="G526" s="73" t="e">
        <f>IF(VLOOKUP(A526,'Actual Dates'!A4:AF654,8,),'Actual Dates'!#REF!,"")</f>
        <v>#REF!</v>
      </c>
      <c r="H526" s="73" t="e">
        <f t="shared" si="202"/>
        <v>#REF!</v>
      </c>
      <c r="I526" s="73" t="e">
        <f>IF(VLOOKUP(A526,'Actual Dates'!A4:AF649,25,),'Actual Dates'!#REF!,"")</f>
        <v>#REF!</v>
      </c>
      <c r="J526" s="73" t="e">
        <f t="shared" si="203"/>
        <v>#REF!</v>
      </c>
      <c r="K526" s="73" t="e">
        <f>IF(VLOOKUP(A526,'Actual Dates'!A4:AF677,26,),'Actual Dates'!#REF!,"")</f>
        <v>#REF!</v>
      </c>
      <c r="L526" s="73" t="e">
        <f>IF(VLOOKUP(A526,'Actual Dates'!A4:AF677,21,),'Actual Dates'!#REF!,"")</f>
        <v>#REF!</v>
      </c>
      <c r="M526" s="73" t="e">
        <f>'Date Calcs'!#REF!</f>
        <v>#REF!</v>
      </c>
      <c r="N526" s="73" t="e">
        <f>IF(VLOOKUP(A526,'Actual Dates'!A4:AF677,27,),'Actual Dates'!#REF!,"")</f>
        <v>#REF!</v>
      </c>
      <c r="O526" s="74" t="e">
        <f t="shared" si="204"/>
        <v>#REF!</v>
      </c>
      <c r="P526" s="75" t="e">
        <f t="shared" si="205"/>
        <v>#REF!</v>
      </c>
      <c r="Q526" s="75" t="e">
        <f t="shared" si="206"/>
        <v>#REF!</v>
      </c>
      <c r="R526" s="132"/>
      <c r="S526" s="133"/>
    </row>
    <row r="527" spans="1:19" x14ac:dyDescent="0.25">
      <c r="A527" s="70" t="e">
        <f>'Date Calcs'!#REF!</f>
        <v>#REF!</v>
      </c>
      <c r="B527" s="71" t="e">
        <f>'Date Calcs'!#REF!</f>
        <v>#REF!</v>
      </c>
      <c r="C527" s="72" t="e">
        <f>'Date Calcs'!#REF!</f>
        <v>#REF!</v>
      </c>
      <c r="D527" s="73" t="e">
        <f t="shared" si="201"/>
        <v>#REF!</v>
      </c>
      <c r="E527" s="66">
        <v>44550</v>
      </c>
      <c r="F527" s="73" t="e">
        <f>'Date Calcs'!#REF!</f>
        <v>#REF!</v>
      </c>
      <c r="G527" s="73" t="e">
        <f>IF(VLOOKUP(A527,'Actual Dates'!A4:AF655,8,),'Actual Dates'!#REF!,"")</f>
        <v>#REF!</v>
      </c>
      <c r="H527" s="73" t="e">
        <f t="shared" si="202"/>
        <v>#REF!</v>
      </c>
      <c r="I527" s="73" t="e">
        <f>IF(VLOOKUP(A527,'Actual Dates'!A4:AF650,25,),'Actual Dates'!#REF!,"")</f>
        <v>#REF!</v>
      </c>
      <c r="J527" s="73" t="e">
        <f t="shared" si="203"/>
        <v>#REF!</v>
      </c>
      <c r="K527" s="73" t="e">
        <f>IF(VLOOKUP(A527,'Actual Dates'!A4:AF678,26,),'Actual Dates'!#REF!,"")</f>
        <v>#REF!</v>
      </c>
      <c r="L527" s="73" t="e">
        <f>IF(VLOOKUP(A527,'Actual Dates'!A4:AF678,21,),'Actual Dates'!#REF!,"")</f>
        <v>#REF!</v>
      </c>
      <c r="M527" s="73" t="e">
        <f>'Date Calcs'!#REF!</f>
        <v>#REF!</v>
      </c>
      <c r="N527" s="73" t="e">
        <f>IF(VLOOKUP(A527,'Actual Dates'!A4:AF678,27,),'Actual Dates'!#REF!,"")</f>
        <v>#REF!</v>
      </c>
      <c r="O527" s="74" t="e">
        <f t="shared" si="204"/>
        <v>#REF!</v>
      </c>
      <c r="P527" s="75" t="e">
        <f t="shared" si="205"/>
        <v>#REF!</v>
      </c>
      <c r="Q527" s="75" t="e">
        <f t="shared" si="206"/>
        <v>#REF!</v>
      </c>
      <c r="R527" s="132"/>
      <c r="S527" s="133"/>
    </row>
    <row r="528" spans="1:19" x14ac:dyDescent="0.25">
      <c r="A528" s="70" t="e">
        <f>'Date Calcs'!#REF!</f>
        <v>#REF!</v>
      </c>
      <c r="B528" s="71" t="e">
        <f>'Date Calcs'!#REF!</f>
        <v>#REF!</v>
      </c>
      <c r="C528" s="72" t="e">
        <f>'Date Calcs'!#REF!</f>
        <v>#REF!</v>
      </c>
      <c r="D528" s="73" t="e">
        <f t="shared" si="201"/>
        <v>#REF!</v>
      </c>
      <c r="E528" s="66">
        <v>44551</v>
      </c>
      <c r="F528" s="73" t="e">
        <f>'Date Calcs'!#REF!</f>
        <v>#REF!</v>
      </c>
      <c r="G528" s="73" t="e">
        <f>IF(VLOOKUP(A528,'Actual Dates'!A4:AF656,8,),'Actual Dates'!#REF!,"")</f>
        <v>#REF!</v>
      </c>
      <c r="H528" s="73" t="e">
        <f t="shared" si="202"/>
        <v>#REF!</v>
      </c>
      <c r="I528" s="73" t="e">
        <f>IF(VLOOKUP(A528,'Actual Dates'!A4:AF651,25,),'Actual Dates'!#REF!,"")</f>
        <v>#REF!</v>
      </c>
      <c r="J528" s="73" t="e">
        <f t="shared" si="203"/>
        <v>#REF!</v>
      </c>
      <c r="K528" s="73" t="e">
        <f>IF(VLOOKUP(A528,'Actual Dates'!A4:AF679,26,),'Actual Dates'!#REF!,"")</f>
        <v>#REF!</v>
      </c>
      <c r="L528" s="73" t="e">
        <f>IF(VLOOKUP(A528,'Actual Dates'!A4:AF679,21,),'Actual Dates'!#REF!,"")</f>
        <v>#REF!</v>
      </c>
      <c r="M528" s="73" t="e">
        <f>'Date Calcs'!#REF!</f>
        <v>#REF!</v>
      </c>
      <c r="N528" s="73" t="e">
        <f>IF(VLOOKUP(A528,'Actual Dates'!A4:AF679,27,),'Actual Dates'!#REF!,"")</f>
        <v>#REF!</v>
      </c>
      <c r="O528" s="74" t="e">
        <f t="shared" si="204"/>
        <v>#REF!</v>
      </c>
      <c r="P528" s="75" t="e">
        <f t="shared" si="205"/>
        <v>#REF!</v>
      </c>
      <c r="Q528" s="75" t="e">
        <f t="shared" si="206"/>
        <v>#REF!</v>
      </c>
      <c r="R528" s="132"/>
      <c r="S528" s="133"/>
    </row>
    <row r="529" spans="1:19" x14ac:dyDescent="0.25">
      <c r="A529" s="70" t="e">
        <f>'Date Calcs'!#REF!</f>
        <v>#REF!</v>
      </c>
      <c r="B529" s="71" t="e">
        <f>'Date Calcs'!#REF!</f>
        <v>#REF!</v>
      </c>
      <c r="C529" s="72" t="e">
        <f>'Date Calcs'!#REF!</f>
        <v>#REF!</v>
      </c>
      <c r="D529" s="73" t="e">
        <f t="shared" si="201"/>
        <v>#REF!</v>
      </c>
      <c r="E529" s="66">
        <v>44552</v>
      </c>
      <c r="F529" s="73" t="e">
        <f>'Date Calcs'!#REF!</f>
        <v>#REF!</v>
      </c>
      <c r="G529" s="73" t="e">
        <f>IF(VLOOKUP(A529,'Actual Dates'!A4:AF657,8,),'Actual Dates'!#REF!,"")</f>
        <v>#REF!</v>
      </c>
      <c r="H529" s="73" t="e">
        <f t="shared" si="202"/>
        <v>#REF!</v>
      </c>
      <c r="I529" s="73" t="e">
        <f>IF(VLOOKUP(A529,'Actual Dates'!A4:AF652,25,),'Actual Dates'!#REF!,"")</f>
        <v>#REF!</v>
      </c>
      <c r="J529" s="73" t="e">
        <f t="shared" si="203"/>
        <v>#REF!</v>
      </c>
      <c r="K529" s="73" t="e">
        <f>IF(VLOOKUP(A529,'Actual Dates'!A4:AF680,26,),'Actual Dates'!#REF!,"")</f>
        <v>#REF!</v>
      </c>
      <c r="L529" s="73" t="e">
        <f>IF(VLOOKUP(A529,'Actual Dates'!A4:AF680,21,),'Actual Dates'!#REF!,"")</f>
        <v>#REF!</v>
      </c>
      <c r="M529" s="73" t="e">
        <f>'Date Calcs'!#REF!</f>
        <v>#REF!</v>
      </c>
      <c r="N529" s="73" t="e">
        <f>IF(VLOOKUP(A529,'Actual Dates'!A4:AF680,27,),'Actual Dates'!#REF!,"")</f>
        <v>#REF!</v>
      </c>
      <c r="O529" s="74" t="e">
        <f t="shared" si="204"/>
        <v>#REF!</v>
      </c>
      <c r="P529" s="75" t="e">
        <f t="shared" si="205"/>
        <v>#REF!</v>
      </c>
      <c r="Q529" s="75" t="e">
        <f t="shared" si="206"/>
        <v>#REF!</v>
      </c>
      <c r="R529" s="132"/>
      <c r="S529" s="133"/>
    </row>
    <row r="530" spans="1:19" x14ac:dyDescent="0.25">
      <c r="A530" s="70" t="e">
        <f>'Date Calcs'!#REF!</f>
        <v>#REF!</v>
      </c>
      <c r="B530" s="71" t="e">
        <f>'Date Calcs'!#REF!</f>
        <v>#REF!</v>
      </c>
      <c r="C530" s="72" t="e">
        <f>'Date Calcs'!#REF!</f>
        <v>#REF!</v>
      </c>
      <c r="D530" s="73" t="e">
        <f t="shared" si="201"/>
        <v>#REF!</v>
      </c>
      <c r="E530" s="66">
        <v>44553</v>
      </c>
      <c r="F530" s="73" t="e">
        <f>'Date Calcs'!#REF!</f>
        <v>#REF!</v>
      </c>
      <c r="G530" s="73" t="e">
        <f>IF(VLOOKUP(A530,'Actual Dates'!A4:AF658,8,),'Actual Dates'!#REF!,"")</f>
        <v>#REF!</v>
      </c>
      <c r="H530" s="73" t="e">
        <f t="shared" si="202"/>
        <v>#REF!</v>
      </c>
      <c r="I530" s="73" t="e">
        <f>IF(VLOOKUP(A530,'Actual Dates'!A4:AF653,25,),'Actual Dates'!#REF!,"")</f>
        <v>#REF!</v>
      </c>
      <c r="J530" s="73" t="e">
        <f t="shared" si="203"/>
        <v>#REF!</v>
      </c>
      <c r="K530" s="73" t="e">
        <f>IF(VLOOKUP(A530,'Actual Dates'!A4:AF681,26,),'Actual Dates'!#REF!,"")</f>
        <v>#REF!</v>
      </c>
      <c r="L530" s="73" t="e">
        <f>IF(VLOOKUP(A530,'Actual Dates'!A4:AF681,21,),'Actual Dates'!#REF!,"")</f>
        <v>#REF!</v>
      </c>
      <c r="M530" s="73" t="e">
        <f>'Date Calcs'!#REF!</f>
        <v>#REF!</v>
      </c>
      <c r="N530" s="73" t="e">
        <f>IF(VLOOKUP(A530,'Actual Dates'!A4:AF681,27,),'Actual Dates'!#REF!,"")</f>
        <v>#REF!</v>
      </c>
      <c r="O530" s="74" t="e">
        <f t="shared" si="204"/>
        <v>#REF!</v>
      </c>
      <c r="P530" s="75" t="e">
        <f t="shared" si="205"/>
        <v>#REF!</v>
      </c>
      <c r="Q530" s="75" t="e">
        <f t="shared" si="206"/>
        <v>#REF!</v>
      </c>
      <c r="R530" s="132"/>
      <c r="S530" s="133"/>
    </row>
    <row r="531" spans="1:19" x14ac:dyDescent="0.25">
      <c r="A531" s="70" t="e">
        <f>'Date Calcs'!#REF!</f>
        <v>#REF!</v>
      </c>
      <c r="B531" s="71" t="e">
        <f>'Date Calcs'!#REF!</f>
        <v>#REF!</v>
      </c>
      <c r="C531" s="72" t="e">
        <f>'Date Calcs'!#REF!</f>
        <v>#REF!</v>
      </c>
      <c r="D531" s="73" t="e">
        <f t="shared" si="201"/>
        <v>#REF!</v>
      </c>
      <c r="E531" s="66">
        <v>44554</v>
      </c>
      <c r="F531" s="73" t="e">
        <f>'Date Calcs'!#REF!</f>
        <v>#REF!</v>
      </c>
      <c r="G531" s="73" t="e">
        <f>IF(VLOOKUP(A531,'Actual Dates'!A4:AF659,8,),'Actual Dates'!#REF!,"")</f>
        <v>#REF!</v>
      </c>
      <c r="H531" s="73" t="e">
        <f t="shared" si="202"/>
        <v>#REF!</v>
      </c>
      <c r="I531" s="73" t="e">
        <f>IF(VLOOKUP(A531,'Actual Dates'!A4:AF654,25,),'Actual Dates'!#REF!,"")</f>
        <v>#REF!</v>
      </c>
      <c r="J531" s="73" t="e">
        <f t="shared" si="203"/>
        <v>#REF!</v>
      </c>
      <c r="K531" s="73" t="e">
        <f>IF(VLOOKUP(A531,'Actual Dates'!A4:AF682,26,),'Actual Dates'!#REF!,"")</f>
        <v>#REF!</v>
      </c>
      <c r="L531" s="73" t="e">
        <f>IF(VLOOKUP(A531,'Actual Dates'!A4:AF682,21,),'Actual Dates'!#REF!,"")</f>
        <v>#REF!</v>
      </c>
      <c r="M531" s="73" t="e">
        <f>'Date Calcs'!#REF!</f>
        <v>#REF!</v>
      </c>
      <c r="N531" s="73" t="e">
        <f>IF(VLOOKUP(A531,'Actual Dates'!A4:AF682,27,),'Actual Dates'!#REF!,"")</f>
        <v>#REF!</v>
      </c>
      <c r="O531" s="74" t="e">
        <f t="shared" si="204"/>
        <v>#REF!</v>
      </c>
      <c r="P531" s="75" t="e">
        <f t="shared" si="205"/>
        <v>#REF!</v>
      </c>
      <c r="Q531" s="75" t="e">
        <f t="shared" si="206"/>
        <v>#REF!</v>
      </c>
      <c r="R531" s="132"/>
      <c r="S531" s="133"/>
    </row>
    <row r="532" spans="1:19" x14ac:dyDescent="0.25">
      <c r="A532" s="70" t="e">
        <f>'Date Calcs'!#REF!</f>
        <v>#REF!</v>
      </c>
      <c r="B532" s="71" t="e">
        <f>'Date Calcs'!#REF!</f>
        <v>#REF!</v>
      </c>
      <c r="C532" s="72" t="e">
        <f>'Date Calcs'!#REF!</f>
        <v>#REF!</v>
      </c>
      <c r="D532" s="73" t="e">
        <f t="shared" si="201"/>
        <v>#REF!</v>
      </c>
      <c r="E532" s="66">
        <v>44555</v>
      </c>
      <c r="F532" s="73" t="e">
        <f>'Date Calcs'!#REF!</f>
        <v>#REF!</v>
      </c>
      <c r="G532" s="73" t="e">
        <f>IF(VLOOKUP(A532,'Actual Dates'!A4:AF660,8,),'Actual Dates'!#REF!,"")</f>
        <v>#REF!</v>
      </c>
      <c r="H532" s="73" t="e">
        <f t="shared" si="202"/>
        <v>#REF!</v>
      </c>
      <c r="I532" s="73" t="e">
        <f>IF(VLOOKUP(A532,'Actual Dates'!A4:AF655,25,),'Actual Dates'!#REF!,"")</f>
        <v>#REF!</v>
      </c>
      <c r="J532" s="73" t="e">
        <f t="shared" si="203"/>
        <v>#REF!</v>
      </c>
      <c r="K532" s="73" t="e">
        <f>IF(VLOOKUP(A532,'Actual Dates'!A4:AF683,26,),'Actual Dates'!#REF!,"")</f>
        <v>#REF!</v>
      </c>
      <c r="L532" s="73" t="e">
        <f>IF(VLOOKUP(A532,'Actual Dates'!A4:AF683,21,),'Actual Dates'!#REF!,"")</f>
        <v>#REF!</v>
      </c>
      <c r="M532" s="73" t="e">
        <f>'Date Calcs'!#REF!</f>
        <v>#REF!</v>
      </c>
      <c r="N532" s="73" t="e">
        <f>IF(VLOOKUP(A532,'Actual Dates'!A4:AF683,27,),'Actual Dates'!#REF!,"")</f>
        <v>#REF!</v>
      </c>
      <c r="O532" s="74" t="e">
        <f t="shared" si="204"/>
        <v>#REF!</v>
      </c>
      <c r="P532" s="75" t="e">
        <f t="shared" si="205"/>
        <v>#REF!</v>
      </c>
      <c r="Q532" s="75" t="e">
        <f t="shared" si="206"/>
        <v>#REF!</v>
      </c>
      <c r="R532" s="132"/>
      <c r="S532" s="133"/>
    </row>
    <row r="533" spans="1:19" x14ac:dyDescent="0.25">
      <c r="A533" s="70" t="e">
        <f>'Date Calcs'!#REF!</f>
        <v>#REF!</v>
      </c>
      <c r="B533" s="71" t="e">
        <f>'Date Calcs'!#REF!</f>
        <v>#REF!</v>
      </c>
      <c r="C533" s="72" t="e">
        <f>'Date Calcs'!#REF!</f>
        <v>#REF!</v>
      </c>
      <c r="D533" s="73" t="e">
        <f t="shared" si="201"/>
        <v>#REF!</v>
      </c>
      <c r="E533" s="66">
        <v>44556</v>
      </c>
      <c r="F533" s="73" t="e">
        <f>'Date Calcs'!#REF!</f>
        <v>#REF!</v>
      </c>
      <c r="G533" s="73" t="e">
        <f>IF(VLOOKUP(A533,'Actual Dates'!A4:AF661,8,),'Actual Dates'!#REF!,"")</f>
        <v>#REF!</v>
      </c>
      <c r="H533" s="73" t="e">
        <f t="shared" si="202"/>
        <v>#REF!</v>
      </c>
      <c r="I533" s="73" t="e">
        <f>IF(VLOOKUP(A533,'Actual Dates'!A4:AF656,25,),'Actual Dates'!#REF!,"")</f>
        <v>#REF!</v>
      </c>
      <c r="J533" s="73" t="e">
        <f t="shared" si="203"/>
        <v>#REF!</v>
      </c>
      <c r="K533" s="73" t="e">
        <f>IF(VLOOKUP(A533,'Actual Dates'!A4:AF684,26,),'Actual Dates'!#REF!,"")</f>
        <v>#REF!</v>
      </c>
      <c r="L533" s="73" t="e">
        <f>IF(VLOOKUP(A533,'Actual Dates'!A4:AF684,21,),'Actual Dates'!#REF!,"")</f>
        <v>#REF!</v>
      </c>
      <c r="M533" s="73" t="e">
        <f>'Date Calcs'!#REF!</f>
        <v>#REF!</v>
      </c>
      <c r="N533" s="73" t="e">
        <f>IF(VLOOKUP(A533,'Actual Dates'!A4:AF684,27,),'Actual Dates'!#REF!,"")</f>
        <v>#REF!</v>
      </c>
      <c r="O533" s="74" t="e">
        <f t="shared" si="204"/>
        <v>#REF!</v>
      </c>
      <c r="P533" s="75" t="e">
        <f t="shared" si="205"/>
        <v>#REF!</v>
      </c>
      <c r="Q533" s="75" t="e">
        <f t="shared" si="206"/>
        <v>#REF!</v>
      </c>
      <c r="R533" s="132"/>
      <c r="S533" s="133"/>
    </row>
    <row r="534" spans="1:19" x14ac:dyDescent="0.25">
      <c r="A534" s="70" t="e">
        <f>'Date Calcs'!#REF!</f>
        <v>#REF!</v>
      </c>
      <c r="B534" s="71" t="e">
        <f>'Date Calcs'!#REF!</f>
        <v>#REF!</v>
      </c>
      <c r="C534" s="72" t="e">
        <f>'Date Calcs'!#REF!</f>
        <v>#REF!</v>
      </c>
      <c r="D534" s="73" t="e">
        <f t="shared" si="201"/>
        <v>#REF!</v>
      </c>
      <c r="E534" s="66">
        <v>44557</v>
      </c>
      <c r="F534" s="73" t="e">
        <f>'Date Calcs'!#REF!</f>
        <v>#REF!</v>
      </c>
      <c r="G534" s="73" t="e">
        <f>IF(VLOOKUP(A534,'Actual Dates'!A4:AF662,8,),'Actual Dates'!#REF!,"")</f>
        <v>#REF!</v>
      </c>
      <c r="H534" s="73" t="e">
        <f t="shared" si="202"/>
        <v>#REF!</v>
      </c>
      <c r="I534" s="73" t="e">
        <f>IF(VLOOKUP(A534,'Actual Dates'!A4:AF657,25,),'Actual Dates'!#REF!,"")</f>
        <v>#REF!</v>
      </c>
      <c r="J534" s="73" t="e">
        <f t="shared" si="203"/>
        <v>#REF!</v>
      </c>
      <c r="K534" s="73" t="e">
        <f>IF(VLOOKUP(A534,'Actual Dates'!A4:AF685,26,),'Actual Dates'!#REF!,"")</f>
        <v>#REF!</v>
      </c>
      <c r="L534" s="73" t="e">
        <f>IF(VLOOKUP(A534,'Actual Dates'!A4:AF685,21,),'Actual Dates'!#REF!,"")</f>
        <v>#REF!</v>
      </c>
      <c r="M534" s="73" t="e">
        <f>'Date Calcs'!#REF!</f>
        <v>#REF!</v>
      </c>
      <c r="N534" s="73" t="e">
        <f>IF(VLOOKUP(A534,'Actual Dates'!A4:AF685,27,),'Actual Dates'!#REF!,"")</f>
        <v>#REF!</v>
      </c>
      <c r="O534" s="74" t="e">
        <f t="shared" si="204"/>
        <v>#REF!</v>
      </c>
      <c r="P534" s="75" t="e">
        <f t="shared" si="205"/>
        <v>#REF!</v>
      </c>
      <c r="Q534" s="75" t="e">
        <f t="shared" si="206"/>
        <v>#REF!</v>
      </c>
      <c r="R534" s="132"/>
      <c r="S534" s="133"/>
    </row>
    <row r="535" spans="1:19" x14ac:dyDescent="0.25">
      <c r="A535" s="70" t="e">
        <f>'Date Calcs'!#REF!</f>
        <v>#REF!</v>
      </c>
      <c r="B535" s="71" t="e">
        <f>'Date Calcs'!#REF!</f>
        <v>#REF!</v>
      </c>
      <c r="C535" s="72" t="e">
        <f>'Date Calcs'!#REF!</f>
        <v>#REF!</v>
      </c>
      <c r="D535" s="73" t="e">
        <f t="shared" si="201"/>
        <v>#REF!</v>
      </c>
      <c r="E535" s="66">
        <v>44558</v>
      </c>
      <c r="F535" s="73" t="e">
        <f>'Date Calcs'!#REF!</f>
        <v>#REF!</v>
      </c>
      <c r="G535" s="73" t="e">
        <f>IF(VLOOKUP(A535,'Actual Dates'!A4:AF663,8,),'Actual Dates'!#REF!,"")</f>
        <v>#REF!</v>
      </c>
      <c r="H535" s="73" t="e">
        <f t="shared" si="202"/>
        <v>#REF!</v>
      </c>
      <c r="I535" s="73" t="e">
        <f>IF(VLOOKUP(A535,'Actual Dates'!A4:AF658,25,),'Actual Dates'!#REF!,"")</f>
        <v>#REF!</v>
      </c>
      <c r="J535" s="73" t="e">
        <f t="shared" si="203"/>
        <v>#REF!</v>
      </c>
      <c r="K535" s="73" t="e">
        <f>IF(VLOOKUP(A535,'Actual Dates'!A4:AF686,26,),'Actual Dates'!#REF!,"")</f>
        <v>#REF!</v>
      </c>
      <c r="L535" s="73" t="e">
        <f>IF(VLOOKUP(A535,'Actual Dates'!A4:AF686,21,),'Actual Dates'!#REF!,"")</f>
        <v>#REF!</v>
      </c>
      <c r="M535" s="73" t="e">
        <f>'Date Calcs'!#REF!</f>
        <v>#REF!</v>
      </c>
      <c r="N535" s="73" t="e">
        <f>IF(VLOOKUP(A535,'Actual Dates'!A4:AF686,27,),'Actual Dates'!#REF!,"")</f>
        <v>#REF!</v>
      </c>
      <c r="O535" s="74" t="e">
        <f t="shared" si="204"/>
        <v>#REF!</v>
      </c>
      <c r="P535" s="75" t="e">
        <f t="shared" si="205"/>
        <v>#REF!</v>
      </c>
      <c r="Q535" s="75" t="e">
        <f t="shared" si="206"/>
        <v>#REF!</v>
      </c>
      <c r="R535" s="132"/>
      <c r="S535" s="133"/>
    </row>
    <row r="536" spans="1:19" x14ac:dyDescent="0.25">
      <c r="A536" s="70" t="e">
        <f>'Date Calcs'!#REF!</f>
        <v>#REF!</v>
      </c>
      <c r="B536" s="71" t="e">
        <f>'Date Calcs'!#REF!</f>
        <v>#REF!</v>
      </c>
      <c r="C536" s="72" t="e">
        <f>'Date Calcs'!#REF!</f>
        <v>#REF!</v>
      </c>
      <c r="D536" s="73" t="e">
        <f t="shared" si="201"/>
        <v>#REF!</v>
      </c>
      <c r="E536" s="66">
        <v>44559</v>
      </c>
      <c r="F536" s="73" t="e">
        <f>'Date Calcs'!#REF!</f>
        <v>#REF!</v>
      </c>
      <c r="G536" s="73" t="e">
        <f>IF(VLOOKUP(A536,'Actual Dates'!A4:AF664,8,),'Actual Dates'!#REF!,"")</f>
        <v>#REF!</v>
      </c>
      <c r="H536" s="73" t="e">
        <f t="shared" si="202"/>
        <v>#REF!</v>
      </c>
      <c r="I536" s="73" t="e">
        <f>IF(VLOOKUP(A536,'Actual Dates'!A4:AF659,25,),'Actual Dates'!#REF!,"")</f>
        <v>#REF!</v>
      </c>
      <c r="J536" s="73" t="e">
        <f t="shared" si="203"/>
        <v>#REF!</v>
      </c>
      <c r="K536" s="73" t="e">
        <f>IF(VLOOKUP(A536,'Actual Dates'!A4:AF687,26,),'Actual Dates'!#REF!,"")</f>
        <v>#REF!</v>
      </c>
      <c r="L536" s="73" t="e">
        <f>IF(VLOOKUP(A536,'Actual Dates'!A4:AF687,21,),'Actual Dates'!#REF!,"")</f>
        <v>#REF!</v>
      </c>
      <c r="M536" s="73" t="e">
        <f>'Date Calcs'!#REF!</f>
        <v>#REF!</v>
      </c>
      <c r="N536" s="73" t="e">
        <f>IF(VLOOKUP(A536,'Actual Dates'!A4:AF687,27,),'Actual Dates'!#REF!,"")</f>
        <v>#REF!</v>
      </c>
      <c r="O536" s="74" t="e">
        <f t="shared" si="204"/>
        <v>#REF!</v>
      </c>
      <c r="P536" s="75" t="e">
        <f t="shared" si="205"/>
        <v>#REF!</v>
      </c>
      <c r="Q536" s="75" t="e">
        <f t="shared" si="206"/>
        <v>#REF!</v>
      </c>
      <c r="R536" s="132"/>
      <c r="S536" s="133"/>
    </row>
    <row r="537" spans="1:19" x14ac:dyDescent="0.25">
      <c r="A537" s="70" t="e">
        <f>'Date Calcs'!#REF!</f>
        <v>#REF!</v>
      </c>
      <c r="B537" s="71" t="e">
        <f>'Date Calcs'!#REF!</f>
        <v>#REF!</v>
      </c>
      <c r="C537" s="72" t="e">
        <f>'Date Calcs'!#REF!</f>
        <v>#REF!</v>
      </c>
      <c r="D537" s="73" t="e">
        <f t="shared" si="201"/>
        <v>#REF!</v>
      </c>
      <c r="E537" s="66">
        <v>44560</v>
      </c>
      <c r="F537" s="73" t="e">
        <f>'Date Calcs'!#REF!</f>
        <v>#REF!</v>
      </c>
      <c r="G537" s="73" t="e">
        <f>IF(VLOOKUP(A537,'Actual Dates'!A4:AF665,8,),'Actual Dates'!#REF!,"")</f>
        <v>#REF!</v>
      </c>
      <c r="H537" s="73" t="e">
        <f t="shared" si="202"/>
        <v>#REF!</v>
      </c>
      <c r="I537" s="73" t="e">
        <f>IF(VLOOKUP(A537,'Actual Dates'!A4:AF660,25,),'Actual Dates'!#REF!,"")</f>
        <v>#REF!</v>
      </c>
      <c r="J537" s="73" t="e">
        <f t="shared" si="203"/>
        <v>#REF!</v>
      </c>
      <c r="K537" s="73" t="e">
        <f>IF(VLOOKUP(A537,'Actual Dates'!A4:AF688,26,),'Actual Dates'!#REF!,"")</f>
        <v>#REF!</v>
      </c>
      <c r="L537" s="73" t="e">
        <f>IF(VLOOKUP(A537,'Actual Dates'!A4:AF688,21,),'Actual Dates'!#REF!,"")</f>
        <v>#REF!</v>
      </c>
      <c r="M537" s="73" t="e">
        <f>'Date Calcs'!#REF!</f>
        <v>#REF!</v>
      </c>
      <c r="N537" s="73" t="e">
        <f>IF(VLOOKUP(A537,'Actual Dates'!A4:AF688,27,),'Actual Dates'!#REF!,"")</f>
        <v>#REF!</v>
      </c>
      <c r="O537" s="74" t="e">
        <f t="shared" si="204"/>
        <v>#REF!</v>
      </c>
      <c r="P537" s="75" t="e">
        <f t="shared" si="205"/>
        <v>#REF!</v>
      </c>
      <c r="Q537" s="75" t="e">
        <f t="shared" si="206"/>
        <v>#REF!</v>
      </c>
      <c r="R537" s="132"/>
      <c r="S537" s="133"/>
    </row>
    <row r="538" spans="1:19" x14ac:dyDescent="0.25">
      <c r="A538" s="70" t="e">
        <f>'Date Calcs'!#REF!</f>
        <v>#REF!</v>
      </c>
      <c r="B538" s="71" t="e">
        <f>'Date Calcs'!#REF!</f>
        <v>#REF!</v>
      </c>
      <c r="C538" s="72" t="e">
        <f>'Date Calcs'!#REF!</f>
        <v>#REF!</v>
      </c>
      <c r="D538" s="73" t="e">
        <f t="shared" si="201"/>
        <v>#REF!</v>
      </c>
      <c r="E538" s="66">
        <v>44561</v>
      </c>
      <c r="F538" s="73" t="e">
        <f>'Date Calcs'!#REF!</f>
        <v>#REF!</v>
      </c>
      <c r="G538" s="73" t="e">
        <f>IF(VLOOKUP(A538,'Actual Dates'!A4:AF666,8,),'Actual Dates'!#REF!,"")</f>
        <v>#REF!</v>
      </c>
      <c r="H538" s="73" t="e">
        <f t="shared" si="202"/>
        <v>#REF!</v>
      </c>
      <c r="I538" s="73" t="e">
        <f>IF(VLOOKUP(A538,'Actual Dates'!A4:AF661,25,),'Actual Dates'!#REF!,"")</f>
        <v>#REF!</v>
      </c>
      <c r="J538" s="73" t="e">
        <f t="shared" si="203"/>
        <v>#REF!</v>
      </c>
      <c r="K538" s="73" t="e">
        <f>IF(VLOOKUP(A538,'Actual Dates'!A4:AF689,26,),'Actual Dates'!#REF!,"")</f>
        <v>#REF!</v>
      </c>
      <c r="L538" s="73" t="e">
        <f>IF(VLOOKUP(A538,'Actual Dates'!A4:AF689,21,),'Actual Dates'!#REF!,"")</f>
        <v>#REF!</v>
      </c>
      <c r="M538" s="73" t="e">
        <f>'Date Calcs'!#REF!</f>
        <v>#REF!</v>
      </c>
      <c r="N538" s="73" t="e">
        <f>IF(VLOOKUP(A538,'Actual Dates'!A4:AF689,27,),'Actual Dates'!#REF!,"")</f>
        <v>#REF!</v>
      </c>
      <c r="O538" s="74" t="e">
        <f t="shared" si="204"/>
        <v>#REF!</v>
      </c>
      <c r="P538" s="75" t="e">
        <f t="shared" si="205"/>
        <v>#REF!</v>
      </c>
      <c r="Q538" s="75" t="e">
        <f t="shared" si="206"/>
        <v>#REF!</v>
      </c>
      <c r="R538" s="132"/>
      <c r="S538" s="133"/>
    </row>
    <row r="539" spans="1:19" x14ac:dyDescent="0.25">
      <c r="A539" s="70" t="e">
        <f>'Date Calcs'!#REF!</f>
        <v>#REF!</v>
      </c>
      <c r="B539" s="71" t="e">
        <f>'Date Calcs'!#REF!</f>
        <v>#REF!</v>
      </c>
      <c r="C539" s="72" t="e">
        <f>'Date Calcs'!#REF!</f>
        <v>#REF!</v>
      </c>
      <c r="D539" s="73" t="e">
        <f t="shared" si="201"/>
        <v>#REF!</v>
      </c>
      <c r="E539" s="66">
        <v>44562</v>
      </c>
      <c r="F539" s="73" t="e">
        <f>'Date Calcs'!#REF!</f>
        <v>#REF!</v>
      </c>
      <c r="G539" s="73" t="e">
        <f>IF(VLOOKUP(A539,'Actual Dates'!A4:AF667,8,),'Actual Dates'!#REF!,"")</f>
        <v>#REF!</v>
      </c>
      <c r="H539" s="73" t="e">
        <f t="shared" si="202"/>
        <v>#REF!</v>
      </c>
      <c r="I539" s="73" t="e">
        <f>IF(VLOOKUP(A539,'Actual Dates'!A4:AF662,25,),'Actual Dates'!#REF!,"")</f>
        <v>#REF!</v>
      </c>
      <c r="J539" s="73" t="e">
        <f t="shared" si="203"/>
        <v>#REF!</v>
      </c>
      <c r="K539" s="73" t="e">
        <f>IF(VLOOKUP(A539,'Actual Dates'!A4:AF690,26,),'Actual Dates'!#REF!,"")</f>
        <v>#REF!</v>
      </c>
      <c r="L539" s="73" t="e">
        <f>IF(VLOOKUP(A539,'Actual Dates'!A4:AF690,21,),'Actual Dates'!#REF!,"")</f>
        <v>#REF!</v>
      </c>
      <c r="M539" s="73" t="e">
        <f>'Date Calcs'!#REF!</f>
        <v>#REF!</v>
      </c>
      <c r="N539" s="73" t="e">
        <f>IF(VLOOKUP(A539,'Actual Dates'!A4:AF690,27,),'Actual Dates'!#REF!,"")</f>
        <v>#REF!</v>
      </c>
      <c r="O539" s="74" t="e">
        <f t="shared" si="204"/>
        <v>#REF!</v>
      </c>
      <c r="P539" s="75" t="e">
        <f t="shared" si="205"/>
        <v>#REF!</v>
      </c>
      <c r="Q539" s="75" t="e">
        <f t="shared" si="206"/>
        <v>#REF!</v>
      </c>
      <c r="R539" s="132"/>
      <c r="S539" s="133"/>
    </row>
    <row r="540" spans="1:19" x14ac:dyDescent="0.25">
      <c r="A540" s="70" t="e">
        <f>'Date Calcs'!#REF!</f>
        <v>#REF!</v>
      </c>
      <c r="B540" s="71" t="e">
        <f>'Date Calcs'!#REF!</f>
        <v>#REF!</v>
      </c>
      <c r="C540" s="72" t="e">
        <f>'Date Calcs'!#REF!</f>
        <v>#REF!</v>
      </c>
      <c r="D540" s="73" t="e">
        <f t="shared" si="201"/>
        <v>#REF!</v>
      </c>
      <c r="E540" s="66">
        <v>44563</v>
      </c>
      <c r="F540" s="73" t="e">
        <f>'Date Calcs'!#REF!</f>
        <v>#REF!</v>
      </c>
      <c r="G540" s="73" t="e">
        <f>IF(VLOOKUP(A540,'Actual Dates'!A4:AF668,8,),'Actual Dates'!#REF!,"")</f>
        <v>#REF!</v>
      </c>
      <c r="H540" s="73" t="e">
        <f t="shared" si="202"/>
        <v>#REF!</v>
      </c>
      <c r="I540" s="73" t="e">
        <f>IF(VLOOKUP(A540,'Actual Dates'!A4:AF663,25,),'Actual Dates'!#REF!,"")</f>
        <v>#REF!</v>
      </c>
      <c r="J540" s="73" t="e">
        <f t="shared" si="203"/>
        <v>#REF!</v>
      </c>
      <c r="K540" s="73" t="e">
        <f>IF(VLOOKUP(A540,'Actual Dates'!A4:AF691,26,),'Actual Dates'!#REF!,"")</f>
        <v>#REF!</v>
      </c>
      <c r="L540" s="73" t="e">
        <f>IF(VLOOKUP(A540,'Actual Dates'!A4:AF691,21,),'Actual Dates'!#REF!,"")</f>
        <v>#REF!</v>
      </c>
      <c r="M540" s="73" t="e">
        <f>'Date Calcs'!#REF!</f>
        <v>#REF!</v>
      </c>
      <c r="N540" s="73" t="e">
        <f>IF(VLOOKUP(A540,'Actual Dates'!A4:AF691,27,),'Actual Dates'!#REF!,"")</f>
        <v>#REF!</v>
      </c>
      <c r="O540" s="74" t="e">
        <f t="shared" si="204"/>
        <v>#REF!</v>
      </c>
      <c r="P540" s="75" t="e">
        <f t="shared" si="205"/>
        <v>#REF!</v>
      </c>
      <c r="Q540" s="75" t="e">
        <f t="shared" si="206"/>
        <v>#REF!</v>
      </c>
      <c r="R540" s="132"/>
      <c r="S540" s="133"/>
    </row>
    <row r="541" spans="1:19" x14ac:dyDescent="0.25">
      <c r="A541" s="70" t="e">
        <f>'Date Calcs'!#REF!</f>
        <v>#REF!</v>
      </c>
      <c r="B541" s="71" t="e">
        <f>'Date Calcs'!#REF!</f>
        <v>#REF!</v>
      </c>
      <c r="C541" s="72" t="e">
        <f>'Date Calcs'!#REF!</f>
        <v>#REF!</v>
      </c>
      <c r="D541" s="73" t="e">
        <f t="shared" si="201"/>
        <v>#REF!</v>
      </c>
      <c r="E541" s="66">
        <v>44564</v>
      </c>
      <c r="F541" s="73" t="e">
        <f>'Date Calcs'!#REF!</f>
        <v>#REF!</v>
      </c>
      <c r="G541" s="73" t="e">
        <f>IF(VLOOKUP(A541,'Actual Dates'!A4:AF669,8,),'Actual Dates'!#REF!,"")</f>
        <v>#REF!</v>
      </c>
      <c r="H541" s="73" t="e">
        <f t="shared" si="202"/>
        <v>#REF!</v>
      </c>
      <c r="I541" s="73" t="e">
        <f>IF(VLOOKUP(A541,'Actual Dates'!A4:AF664,25,),'Actual Dates'!#REF!,"")</f>
        <v>#REF!</v>
      </c>
      <c r="J541" s="73" t="e">
        <f t="shared" si="203"/>
        <v>#REF!</v>
      </c>
      <c r="K541" s="73" t="e">
        <f>IF(VLOOKUP(A541,'Actual Dates'!A4:AF692,26,),'Actual Dates'!#REF!,"")</f>
        <v>#REF!</v>
      </c>
      <c r="L541" s="73" t="e">
        <f>IF(VLOOKUP(A541,'Actual Dates'!A4:AF692,21,),'Actual Dates'!#REF!,"")</f>
        <v>#REF!</v>
      </c>
      <c r="M541" s="73" t="e">
        <f>'Date Calcs'!#REF!</f>
        <v>#REF!</v>
      </c>
      <c r="N541" s="73" t="e">
        <f>IF(VLOOKUP(A541,'Actual Dates'!A4:AF692,27,),'Actual Dates'!#REF!,"")</f>
        <v>#REF!</v>
      </c>
      <c r="O541" s="74" t="e">
        <f t="shared" si="204"/>
        <v>#REF!</v>
      </c>
      <c r="P541" s="75" t="e">
        <f t="shared" si="205"/>
        <v>#REF!</v>
      </c>
      <c r="Q541" s="75" t="e">
        <f t="shared" si="206"/>
        <v>#REF!</v>
      </c>
      <c r="R541" s="132"/>
      <c r="S541" s="133"/>
    </row>
    <row r="542" spans="1:19" x14ac:dyDescent="0.25">
      <c r="A542" s="70" t="e">
        <f>'Date Calcs'!#REF!</f>
        <v>#REF!</v>
      </c>
      <c r="B542" s="71" t="e">
        <f>'Date Calcs'!#REF!</f>
        <v>#REF!</v>
      </c>
      <c r="C542" s="72" t="e">
        <f>'Date Calcs'!#REF!</f>
        <v>#REF!</v>
      </c>
      <c r="D542" s="73" t="e">
        <f t="shared" si="201"/>
        <v>#REF!</v>
      </c>
      <c r="E542" s="66">
        <v>44565</v>
      </c>
      <c r="F542" s="73" t="e">
        <f>'Date Calcs'!#REF!</f>
        <v>#REF!</v>
      </c>
      <c r="G542" s="73" t="e">
        <f>IF(VLOOKUP(A542,'Actual Dates'!A4:AF670,8,),'Actual Dates'!#REF!,"")</f>
        <v>#REF!</v>
      </c>
      <c r="H542" s="73" t="e">
        <f t="shared" si="202"/>
        <v>#REF!</v>
      </c>
      <c r="I542" s="73" t="e">
        <f>IF(VLOOKUP(A542,'Actual Dates'!A4:AF665,25,),'Actual Dates'!#REF!,"")</f>
        <v>#REF!</v>
      </c>
      <c r="J542" s="73" t="e">
        <f t="shared" si="203"/>
        <v>#REF!</v>
      </c>
      <c r="K542" s="73" t="e">
        <f>IF(VLOOKUP(A542,'Actual Dates'!A4:AF693,26,),'Actual Dates'!#REF!,"")</f>
        <v>#REF!</v>
      </c>
      <c r="L542" s="73" t="e">
        <f>IF(VLOOKUP(A542,'Actual Dates'!A4:AF693,21,),'Actual Dates'!#REF!,"")</f>
        <v>#REF!</v>
      </c>
      <c r="M542" s="73" t="e">
        <f>'Date Calcs'!#REF!</f>
        <v>#REF!</v>
      </c>
      <c r="N542" s="73" t="e">
        <f>IF(VLOOKUP(A542,'Actual Dates'!A4:AF693,27,),'Actual Dates'!#REF!,"")</f>
        <v>#REF!</v>
      </c>
      <c r="O542" s="74" t="e">
        <f t="shared" si="204"/>
        <v>#REF!</v>
      </c>
      <c r="P542" s="75" t="e">
        <f t="shared" si="205"/>
        <v>#REF!</v>
      </c>
      <c r="Q542" s="75" t="e">
        <f t="shared" si="206"/>
        <v>#REF!</v>
      </c>
      <c r="R542" s="132"/>
      <c r="S542" s="133"/>
    </row>
    <row r="543" spans="1:19" x14ac:dyDescent="0.25">
      <c r="A543" s="70" t="e">
        <f>'Date Calcs'!#REF!</f>
        <v>#REF!</v>
      </c>
      <c r="B543" s="71" t="e">
        <f>'Date Calcs'!#REF!</f>
        <v>#REF!</v>
      </c>
      <c r="C543" s="72" t="e">
        <f>'Date Calcs'!#REF!</f>
        <v>#REF!</v>
      </c>
      <c r="D543" s="73" t="e">
        <f t="shared" si="201"/>
        <v>#REF!</v>
      </c>
      <c r="E543" s="66">
        <v>44566</v>
      </c>
      <c r="F543" s="73" t="e">
        <f>'Date Calcs'!#REF!</f>
        <v>#REF!</v>
      </c>
      <c r="G543" s="73" t="e">
        <f>IF(VLOOKUP(A543,'Actual Dates'!A4:AF671,8,),'Actual Dates'!#REF!,"")</f>
        <v>#REF!</v>
      </c>
      <c r="H543" s="73" t="e">
        <f t="shared" si="202"/>
        <v>#REF!</v>
      </c>
      <c r="I543" s="73" t="e">
        <f>IF(VLOOKUP(A543,'Actual Dates'!A4:AF666,25,),'Actual Dates'!#REF!,"")</f>
        <v>#REF!</v>
      </c>
      <c r="J543" s="73" t="e">
        <f t="shared" si="203"/>
        <v>#REF!</v>
      </c>
      <c r="K543" s="73" t="e">
        <f>IF(VLOOKUP(A543,'Actual Dates'!A4:AF694,26,),'Actual Dates'!#REF!,"")</f>
        <v>#REF!</v>
      </c>
      <c r="L543" s="73" t="e">
        <f>IF(VLOOKUP(A543,'Actual Dates'!A4:AF694,21,),'Actual Dates'!#REF!,"")</f>
        <v>#REF!</v>
      </c>
      <c r="M543" s="73" t="e">
        <f>'Date Calcs'!#REF!</f>
        <v>#REF!</v>
      </c>
      <c r="N543" s="73" t="e">
        <f>IF(VLOOKUP(A543,'Actual Dates'!A4:AF694,27,),'Actual Dates'!#REF!,"")</f>
        <v>#REF!</v>
      </c>
      <c r="O543" s="74" t="e">
        <f t="shared" si="204"/>
        <v>#REF!</v>
      </c>
      <c r="P543" s="75" t="e">
        <f t="shared" si="205"/>
        <v>#REF!</v>
      </c>
      <c r="Q543" s="75" t="e">
        <f t="shared" si="206"/>
        <v>#REF!</v>
      </c>
      <c r="R543" s="132"/>
      <c r="S543" s="133"/>
    </row>
    <row r="544" spans="1:19" x14ac:dyDescent="0.25">
      <c r="A544" s="70" t="e">
        <f>'Date Calcs'!#REF!</f>
        <v>#REF!</v>
      </c>
      <c r="B544" s="71" t="e">
        <f>'Date Calcs'!#REF!</f>
        <v>#REF!</v>
      </c>
      <c r="C544" s="72" t="e">
        <f>'Date Calcs'!#REF!</f>
        <v>#REF!</v>
      </c>
      <c r="D544" s="73" t="e">
        <f t="shared" si="201"/>
        <v>#REF!</v>
      </c>
      <c r="E544" s="66">
        <v>44567</v>
      </c>
      <c r="F544" s="73" t="e">
        <f>'Date Calcs'!#REF!</f>
        <v>#REF!</v>
      </c>
      <c r="G544" s="73" t="e">
        <f>IF(VLOOKUP(A544,'Actual Dates'!A4:AF672,8,),'Actual Dates'!#REF!,"")</f>
        <v>#REF!</v>
      </c>
      <c r="H544" s="73" t="e">
        <f t="shared" si="202"/>
        <v>#REF!</v>
      </c>
      <c r="I544" s="73" t="e">
        <f>IF(VLOOKUP(A544,'Actual Dates'!A4:AF667,25,),'Actual Dates'!#REF!,"")</f>
        <v>#REF!</v>
      </c>
      <c r="J544" s="73" t="e">
        <f t="shared" si="203"/>
        <v>#REF!</v>
      </c>
      <c r="K544" s="73" t="e">
        <f>IF(VLOOKUP(A544,'Actual Dates'!A4:AF695,26,),'Actual Dates'!#REF!,"")</f>
        <v>#REF!</v>
      </c>
      <c r="L544" s="73" t="e">
        <f>IF(VLOOKUP(A544,'Actual Dates'!A4:AF695,21,),'Actual Dates'!#REF!,"")</f>
        <v>#REF!</v>
      </c>
      <c r="M544" s="73" t="e">
        <f>'Date Calcs'!#REF!</f>
        <v>#REF!</v>
      </c>
      <c r="N544" s="73" t="e">
        <f>IF(VLOOKUP(A544,'Actual Dates'!A4:AF695,27,),'Actual Dates'!#REF!,"")</f>
        <v>#REF!</v>
      </c>
      <c r="O544" s="74" t="e">
        <f t="shared" si="204"/>
        <v>#REF!</v>
      </c>
      <c r="P544" s="75" t="e">
        <f t="shared" si="205"/>
        <v>#REF!</v>
      </c>
      <c r="Q544" s="75" t="e">
        <f t="shared" si="206"/>
        <v>#REF!</v>
      </c>
      <c r="R544" s="132"/>
      <c r="S544" s="133"/>
    </row>
    <row r="545" spans="1:19" x14ac:dyDescent="0.25">
      <c r="A545" s="70" t="e">
        <f>'Date Calcs'!#REF!</f>
        <v>#REF!</v>
      </c>
      <c r="B545" s="71" t="e">
        <f>'Date Calcs'!#REF!</f>
        <v>#REF!</v>
      </c>
      <c r="C545" s="72" t="e">
        <f>'Date Calcs'!#REF!</f>
        <v>#REF!</v>
      </c>
      <c r="D545" s="73" t="e">
        <f t="shared" si="201"/>
        <v>#REF!</v>
      </c>
      <c r="E545" s="66">
        <v>44568</v>
      </c>
      <c r="F545" s="73" t="e">
        <f>'Date Calcs'!#REF!</f>
        <v>#REF!</v>
      </c>
      <c r="G545" s="73" t="e">
        <f>IF(VLOOKUP(A545,'Actual Dates'!A4:AF673,8,),'Actual Dates'!#REF!,"")</f>
        <v>#REF!</v>
      </c>
      <c r="H545" s="73" t="e">
        <f t="shared" si="202"/>
        <v>#REF!</v>
      </c>
      <c r="I545" s="73" t="e">
        <f>IF(VLOOKUP(A545,'Actual Dates'!A4:AF668,25,),'Actual Dates'!#REF!,"")</f>
        <v>#REF!</v>
      </c>
      <c r="J545" s="73" t="e">
        <f t="shared" si="203"/>
        <v>#REF!</v>
      </c>
      <c r="K545" s="73" t="e">
        <f>IF(VLOOKUP(A545,'Actual Dates'!A4:AF696,26,),'Actual Dates'!#REF!,"")</f>
        <v>#REF!</v>
      </c>
      <c r="L545" s="73" t="e">
        <f>IF(VLOOKUP(A545,'Actual Dates'!A4:AF696,21,),'Actual Dates'!#REF!,"")</f>
        <v>#REF!</v>
      </c>
      <c r="M545" s="73" t="e">
        <f>'Date Calcs'!#REF!</f>
        <v>#REF!</v>
      </c>
      <c r="N545" s="73" t="e">
        <f>IF(VLOOKUP(A545,'Actual Dates'!A4:AF696,27,),'Actual Dates'!#REF!,"")</f>
        <v>#REF!</v>
      </c>
      <c r="O545" s="74" t="e">
        <f t="shared" si="204"/>
        <v>#REF!</v>
      </c>
      <c r="P545" s="75" t="e">
        <f t="shared" si="205"/>
        <v>#REF!</v>
      </c>
      <c r="Q545" s="75" t="e">
        <f t="shared" si="206"/>
        <v>#REF!</v>
      </c>
      <c r="R545" s="132"/>
      <c r="S545" s="133"/>
    </row>
    <row r="546" spans="1:19" x14ac:dyDescent="0.25">
      <c r="A546" s="70" t="e">
        <f>'Date Calcs'!#REF!</f>
        <v>#REF!</v>
      </c>
      <c r="B546" s="71" t="e">
        <f>'Date Calcs'!#REF!</f>
        <v>#REF!</v>
      </c>
      <c r="C546" s="72" t="e">
        <f>'Date Calcs'!#REF!</f>
        <v>#REF!</v>
      </c>
      <c r="D546" s="73" t="e">
        <f t="shared" si="201"/>
        <v>#REF!</v>
      </c>
      <c r="E546" s="66">
        <v>44569</v>
      </c>
      <c r="F546" s="73" t="e">
        <f>'Date Calcs'!#REF!</f>
        <v>#REF!</v>
      </c>
      <c r="G546" s="73" t="e">
        <f>IF(VLOOKUP(A546,'Actual Dates'!A4:AF674,8,),'Actual Dates'!#REF!,"")</f>
        <v>#REF!</v>
      </c>
      <c r="H546" s="73" t="e">
        <f t="shared" si="202"/>
        <v>#REF!</v>
      </c>
      <c r="I546" s="73" t="e">
        <f>IF(VLOOKUP(A546,'Actual Dates'!A4:AF669,25,),'Actual Dates'!#REF!,"")</f>
        <v>#REF!</v>
      </c>
      <c r="J546" s="73" t="e">
        <f t="shared" si="203"/>
        <v>#REF!</v>
      </c>
      <c r="K546" s="73" t="e">
        <f>IF(VLOOKUP(A546,'Actual Dates'!A4:AF697,26,),'Actual Dates'!#REF!,"")</f>
        <v>#REF!</v>
      </c>
      <c r="L546" s="73" t="e">
        <f>IF(VLOOKUP(A546,'Actual Dates'!A4:AF697,21,),'Actual Dates'!#REF!,"")</f>
        <v>#REF!</v>
      </c>
      <c r="M546" s="73" t="e">
        <f>'Date Calcs'!#REF!</f>
        <v>#REF!</v>
      </c>
      <c r="N546" s="73" t="e">
        <f>IF(VLOOKUP(A546,'Actual Dates'!A4:AF697,27,),'Actual Dates'!#REF!,"")</f>
        <v>#REF!</v>
      </c>
      <c r="O546" s="74" t="e">
        <f t="shared" si="204"/>
        <v>#REF!</v>
      </c>
      <c r="P546" s="75" t="e">
        <f t="shared" si="205"/>
        <v>#REF!</v>
      </c>
      <c r="Q546" s="75" t="e">
        <f t="shared" si="206"/>
        <v>#REF!</v>
      </c>
      <c r="R546" s="132"/>
      <c r="S546" s="133"/>
    </row>
    <row r="547" spans="1:19" x14ac:dyDescent="0.25">
      <c r="A547" s="70" t="e">
        <f>'Date Calcs'!#REF!</f>
        <v>#REF!</v>
      </c>
      <c r="B547" s="71" t="e">
        <f>'Date Calcs'!#REF!</f>
        <v>#REF!</v>
      </c>
      <c r="C547" s="72" t="e">
        <f>'Date Calcs'!#REF!</f>
        <v>#REF!</v>
      </c>
      <c r="D547" s="73" t="e">
        <f t="shared" si="201"/>
        <v>#REF!</v>
      </c>
      <c r="E547" s="66">
        <v>44570</v>
      </c>
      <c r="F547" s="73" t="e">
        <f>'Date Calcs'!#REF!</f>
        <v>#REF!</v>
      </c>
      <c r="G547" s="73" t="e">
        <f>IF(VLOOKUP(A547,'Actual Dates'!A4:AF675,8,),'Actual Dates'!#REF!,"")</f>
        <v>#REF!</v>
      </c>
      <c r="H547" s="73" t="e">
        <f t="shared" si="202"/>
        <v>#REF!</v>
      </c>
      <c r="I547" s="73" t="e">
        <f>IF(VLOOKUP(A547,'Actual Dates'!A4:AF670,25,),'Actual Dates'!#REF!,"")</f>
        <v>#REF!</v>
      </c>
      <c r="J547" s="73" t="e">
        <f t="shared" si="203"/>
        <v>#REF!</v>
      </c>
      <c r="K547" s="73" t="e">
        <f>IF(VLOOKUP(A547,'Actual Dates'!A4:AF698,26,),'Actual Dates'!#REF!,"")</f>
        <v>#REF!</v>
      </c>
      <c r="L547" s="73" t="e">
        <f>IF(VLOOKUP(A547,'Actual Dates'!A4:AF698,21,),'Actual Dates'!#REF!,"")</f>
        <v>#REF!</v>
      </c>
      <c r="M547" s="73" t="e">
        <f>'Date Calcs'!#REF!</f>
        <v>#REF!</v>
      </c>
      <c r="N547" s="73" t="e">
        <f>IF(VLOOKUP(A547,'Actual Dates'!A4:AF698,27,),'Actual Dates'!#REF!,"")</f>
        <v>#REF!</v>
      </c>
      <c r="O547" s="74" t="e">
        <f t="shared" si="204"/>
        <v>#REF!</v>
      </c>
      <c r="P547" s="75" t="e">
        <f t="shared" si="205"/>
        <v>#REF!</v>
      </c>
      <c r="Q547" s="75" t="e">
        <f t="shared" si="206"/>
        <v>#REF!</v>
      </c>
      <c r="R547" s="132"/>
      <c r="S547" s="133"/>
    </row>
    <row r="548" spans="1:19" x14ac:dyDescent="0.25">
      <c r="A548" s="70" t="e">
        <f>'Date Calcs'!#REF!</f>
        <v>#REF!</v>
      </c>
      <c r="B548" s="71" t="e">
        <f>'Date Calcs'!#REF!</f>
        <v>#REF!</v>
      </c>
      <c r="C548" s="72" t="e">
        <f>'Date Calcs'!#REF!</f>
        <v>#REF!</v>
      </c>
      <c r="D548" s="73" t="e">
        <f t="shared" si="201"/>
        <v>#REF!</v>
      </c>
      <c r="E548" s="66">
        <v>44571</v>
      </c>
      <c r="F548" s="73" t="e">
        <f>'Date Calcs'!#REF!</f>
        <v>#REF!</v>
      </c>
      <c r="G548" s="73" t="e">
        <f>IF(VLOOKUP(A548,'Actual Dates'!A4:AF676,8,),'Actual Dates'!#REF!,"")</f>
        <v>#REF!</v>
      </c>
      <c r="H548" s="73" t="e">
        <f t="shared" si="202"/>
        <v>#REF!</v>
      </c>
      <c r="I548" s="73" t="e">
        <f>IF(VLOOKUP(A548,'Actual Dates'!A4:AF671,25,),'Actual Dates'!#REF!,"")</f>
        <v>#REF!</v>
      </c>
      <c r="J548" s="73" t="e">
        <f t="shared" si="203"/>
        <v>#REF!</v>
      </c>
      <c r="K548" s="73" t="e">
        <f>IF(VLOOKUP(A548,'Actual Dates'!A4:AF699,26,),'Actual Dates'!#REF!,"")</f>
        <v>#REF!</v>
      </c>
      <c r="L548" s="73" t="e">
        <f>IF(VLOOKUP(A548,'Actual Dates'!A4:AF699,21,),'Actual Dates'!#REF!,"")</f>
        <v>#REF!</v>
      </c>
      <c r="M548" s="73" t="e">
        <f>'Date Calcs'!#REF!</f>
        <v>#REF!</v>
      </c>
      <c r="N548" s="73" t="e">
        <f>IF(VLOOKUP(A548,'Actual Dates'!A4:AF699,27,),'Actual Dates'!#REF!,"")</f>
        <v>#REF!</v>
      </c>
      <c r="O548" s="74" t="e">
        <f t="shared" si="204"/>
        <v>#REF!</v>
      </c>
      <c r="P548" s="75" t="e">
        <f t="shared" si="205"/>
        <v>#REF!</v>
      </c>
      <c r="Q548" s="75" t="e">
        <f t="shared" si="206"/>
        <v>#REF!</v>
      </c>
      <c r="R548" s="132"/>
      <c r="S548" s="133"/>
    </row>
    <row r="549" spans="1:19" x14ac:dyDescent="0.25">
      <c r="A549" s="70" t="e">
        <f>'Date Calcs'!#REF!</f>
        <v>#REF!</v>
      </c>
      <c r="B549" s="71" t="e">
        <f>'Date Calcs'!#REF!</f>
        <v>#REF!</v>
      </c>
      <c r="C549" s="72" t="e">
        <f>'Date Calcs'!#REF!</f>
        <v>#REF!</v>
      </c>
      <c r="D549" s="73" t="e">
        <f t="shared" si="201"/>
        <v>#REF!</v>
      </c>
      <c r="E549" s="66">
        <v>44572</v>
      </c>
      <c r="F549" s="73" t="e">
        <f>'Date Calcs'!#REF!</f>
        <v>#REF!</v>
      </c>
      <c r="G549" s="73" t="e">
        <f>IF(VLOOKUP(A549,'Actual Dates'!A4:AF677,8,),'Actual Dates'!#REF!,"")</f>
        <v>#REF!</v>
      </c>
      <c r="H549" s="73" t="e">
        <f t="shared" si="202"/>
        <v>#REF!</v>
      </c>
      <c r="I549" s="73" t="e">
        <f>IF(VLOOKUP(A549,'Actual Dates'!A4:AF672,25,),'Actual Dates'!#REF!,"")</f>
        <v>#REF!</v>
      </c>
      <c r="J549" s="73" t="e">
        <f t="shared" si="203"/>
        <v>#REF!</v>
      </c>
      <c r="K549" s="73" t="e">
        <f>IF(VLOOKUP(A549,'Actual Dates'!A4:AF700,26,),'Actual Dates'!#REF!,"")</f>
        <v>#REF!</v>
      </c>
      <c r="L549" s="73" t="e">
        <f>IF(VLOOKUP(A549,'Actual Dates'!A4:AF700,21,),'Actual Dates'!#REF!,"")</f>
        <v>#REF!</v>
      </c>
      <c r="M549" s="73" t="e">
        <f>'Date Calcs'!#REF!</f>
        <v>#REF!</v>
      </c>
      <c r="N549" s="73" t="e">
        <f>IF(VLOOKUP(A549,'Actual Dates'!A4:AF700,27,),'Actual Dates'!#REF!,"")</f>
        <v>#REF!</v>
      </c>
      <c r="O549" s="74" t="e">
        <f t="shared" si="204"/>
        <v>#REF!</v>
      </c>
      <c r="P549" s="75" t="e">
        <f t="shared" si="205"/>
        <v>#REF!</v>
      </c>
      <c r="Q549" s="75" t="e">
        <f t="shared" si="206"/>
        <v>#REF!</v>
      </c>
      <c r="R549" s="132"/>
      <c r="S549" s="133"/>
    </row>
    <row r="550" spans="1:19" x14ac:dyDescent="0.25">
      <c r="A550" s="70" t="e">
        <f>'Date Calcs'!#REF!</f>
        <v>#REF!</v>
      </c>
      <c r="B550" s="71" t="e">
        <f>'Date Calcs'!#REF!</f>
        <v>#REF!</v>
      </c>
      <c r="C550" s="72" t="e">
        <f>'Date Calcs'!#REF!</f>
        <v>#REF!</v>
      </c>
      <c r="D550" s="73" t="e">
        <f t="shared" si="201"/>
        <v>#REF!</v>
      </c>
      <c r="E550" s="66">
        <v>44573</v>
      </c>
      <c r="F550" s="73" t="e">
        <f>'Date Calcs'!#REF!</f>
        <v>#REF!</v>
      </c>
      <c r="G550" s="73" t="e">
        <f>IF(VLOOKUP(A550,'Actual Dates'!A4:AF678,8,),'Actual Dates'!#REF!,"")</f>
        <v>#REF!</v>
      </c>
      <c r="H550" s="73" t="e">
        <f t="shared" si="202"/>
        <v>#REF!</v>
      </c>
      <c r="I550" s="73" t="e">
        <f>IF(VLOOKUP(A550,'Actual Dates'!A4:AF673,25,),'Actual Dates'!#REF!,"")</f>
        <v>#REF!</v>
      </c>
      <c r="J550" s="73" t="e">
        <f t="shared" si="203"/>
        <v>#REF!</v>
      </c>
      <c r="K550" s="73" t="e">
        <f>IF(VLOOKUP(A550,'Actual Dates'!A4:AF701,26,),'Actual Dates'!#REF!,"")</f>
        <v>#REF!</v>
      </c>
      <c r="L550" s="73" t="e">
        <f>IF(VLOOKUP(A550,'Actual Dates'!A4:AF701,21,),'Actual Dates'!#REF!,"")</f>
        <v>#REF!</v>
      </c>
      <c r="M550" s="73" t="e">
        <f>'Date Calcs'!#REF!</f>
        <v>#REF!</v>
      </c>
      <c r="N550" s="73" t="e">
        <f>IF(VLOOKUP(A550,'Actual Dates'!A4:AF701,27,),'Actual Dates'!#REF!,"")</f>
        <v>#REF!</v>
      </c>
      <c r="O550" s="74" t="e">
        <f t="shared" si="204"/>
        <v>#REF!</v>
      </c>
      <c r="P550" s="75" t="e">
        <f t="shared" si="205"/>
        <v>#REF!</v>
      </c>
      <c r="Q550" s="75" t="e">
        <f t="shared" si="206"/>
        <v>#REF!</v>
      </c>
      <c r="R550" s="132"/>
      <c r="S550" s="133"/>
    </row>
    <row r="551" spans="1:19" x14ac:dyDescent="0.25">
      <c r="A551" s="70" t="e">
        <f>'Date Calcs'!#REF!</f>
        <v>#REF!</v>
      </c>
      <c r="B551" s="71" t="e">
        <f>'Date Calcs'!#REF!</f>
        <v>#REF!</v>
      </c>
      <c r="C551" s="72" t="e">
        <f>'Date Calcs'!#REF!</f>
        <v>#REF!</v>
      </c>
      <c r="D551" s="73" t="e">
        <f t="shared" si="201"/>
        <v>#REF!</v>
      </c>
      <c r="E551" s="66">
        <v>44574</v>
      </c>
      <c r="F551" s="73" t="e">
        <f>'Date Calcs'!#REF!</f>
        <v>#REF!</v>
      </c>
      <c r="G551" s="73" t="e">
        <f>IF(VLOOKUP(A551,'Actual Dates'!A4:AF679,8,),'Actual Dates'!#REF!,"")</f>
        <v>#REF!</v>
      </c>
      <c r="H551" s="73" t="e">
        <f t="shared" si="202"/>
        <v>#REF!</v>
      </c>
      <c r="I551" s="73" t="e">
        <f>IF(VLOOKUP(A551,'Actual Dates'!A4:AF674,25,),'Actual Dates'!#REF!,"")</f>
        <v>#REF!</v>
      </c>
      <c r="J551" s="73" t="e">
        <f t="shared" si="203"/>
        <v>#REF!</v>
      </c>
      <c r="K551" s="73" t="e">
        <f>IF(VLOOKUP(A551,'Actual Dates'!A4:AF702,26,),'Actual Dates'!#REF!,"")</f>
        <v>#REF!</v>
      </c>
      <c r="L551" s="73" t="e">
        <f>IF(VLOOKUP(A551,'Actual Dates'!A4:AF702,21,),'Actual Dates'!#REF!,"")</f>
        <v>#REF!</v>
      </c>
      <c r="M551" s="73" t="e">
        <f>'Date Calcs'!#REF!</f>
        <v>#REF!</v>
      </c>
      <c r="N551" s="73" t="e">
        <f>IF(VLOOKUP(A551,'Actual Dates'!A4:AF702,27,),'Actual Dates'!#REF!,"")</f>
        <v>#REF!</v>
      </c>
      <c r="O551" s="74" t="e">
        <f t="shared" si="204"/>
        <v>#REF!</v>
      </c>
      <c r="P551" s="75" t="e">
        <f t="shared" si="205"/>
        <v>#REF!</v>
      </c>
      <c r="Q551" s="75" t="e">
        <f t="shared" si="206"/>
        <v>#REF!</v>
      </c>
      <c r="R551" s="132"/>
      <c r="S551" s="133"/>
    </row>
    <row r="552" spans="1:19" x14ac:dyDescent="0.25">
      <c r="A552" s="70" t="e">
        <f>'Date Calcs'!#REF!</f>
        <v>#REF!</v>
      </c>
      <c r="B552" s="71" t="e">
        <f>'Date Calcs'!#REF!</f>
        <v>#REF!</v>
      </c>
      <c r="C552" s="72" t="e">
        <f>'Date Calcs'!#REF!</f>
        <v>#REF!</v>
      </c>
      <c r="D552" s="73" t="e">
        <f t="shared" si="201"/>
        <v>#REF!</v>
      </c>
      <c r="E552" s="66">
        <v>44575</v>
      </c>
      <c r="F552" s="73" t="e">
        <f>'Date Calcs'!#REF!</f>
        <v>#REF!</v>
      </c>
      <c r="G552" s="73" t="e">
        <f>IF(VLOOKUP(A552,'Actual Dates'!A4:AF680,8,),'Actual Dates'!#REF!,"")</f>
        <v>#REF!</v>
      </c>
      <c r="H552" s="73" t="e">
        <f t="shared" si="202"/>
        <v>#REF!</v>
      </c>
      <c r="I552" s="73" t="e">
        <f>IF(VLOOKUP(A552,'Actual Dates'!A4:AF675,25,),'Actual Dates'!#REF!,"")</f>
        <v>#REF!</v>
      </c>
      <c r="J552" s="73" t="e">
        <f t="shared" si="203"/>
        <v>#REF!</v>
      </c>
      <c r="K552" s="73" t="e">
        <f>IF(VLOOKUP(A552,'Actual Dates'!A4:AF703,26,),'Actual Dates'!#REF!,"")</f>
        <v>#REF!</v>
      </c>
      <c r="L552" s="73" t="e">
        <f>IF(VLOOKUP(A552,'Actual Dates'!A4:AF703,21,),'Actual Dates'!#REF!,"")</f>
        <v>#REF!</v>
      </c>
      <c r="M552" s="73" t="e">
        <f>'Date Calcs'!#REF!</f>
        <v>#REF!</v>
      </c>
      <c r="N552" s="73" t="e">
        <f>IF(VLOOKUP(A552,'Actual Dates'!A4:AF703,27,),'Actual Dates'!#REF!,"")</f>
        <v>#REF!</v>
      </c>
      <c r="O552" s="74" t="e">
        <f t="shared" si="204"/>
        <v>#REF!</v>
      </c>
      <c r="P552" s="75" t="e">
        <f t="shared" si="205"/>
        <v>#REF!</v>
      </c>
      <c r="Q552" s="75" t="e">
        <f t="shared" si="206"/>
        <v>#REF!</v>
      </c>
      <c r="R552" s="132"/>
      <c r="S552" s="133"/>
    </row>
    <row r="553" spans="1:19" x14ac:dyDescent="0.25">
      <c r="A553" s="70" t="e">
        <f>'Date Calcs'!#REF!</f>
        <v>#REF!</v>
      </c>
      <c r="B553" s="71" t="e">
        <f>'Date Calcs'!#REF!</f>
        <v>#REF!</v>
      </c>
      <c r="C553" s="72" t="e">
        <f>'Date Calcs'!#REF!</f>
        <v>#REF!</v>
      </c>
      <c r="D553" s="73" t="e">
        <f t="shared" si="201"/>
        <v>#REF!</v>
      </c>
      <c r="E553" s="66">
        <v>44576</v>
      </c>
      <c r="F553" s="73" t="e">
        <f>'Date Calcs'!#REF!</f>
        <v>#REF!</v>
      </c>
      <c r="G553" s="73" t="e">
        <f>IF(VLOOKUP(A553,'Actual Dates'!A4:AF681,8,),'Actual Dates'!#REF!,"")</f>
        <v>#REF!</v>
      </c>
      <c r="H553" s="73" t="e">
        <f t="shared" si="202"/>
        <v>#REF!</v>
      </c>
      <c r="I553" s="73" t="e">
        <f>IF(VLOOKUP(A553,'Actual Dates'!A4:AF676,25,),'Actual Dates'!#REF!,"")</f>
        <v>#REF!</v>
      </c>
      <c r="J553" s="73" t="e">
        <f t="shared" si="203"/>
        <v>#REF!</v>
      </c>
      <c r="K553" s="73" t="e">
        <f>IF(VLOOKUP(A553,'Actual Dates'!A4:AF704,26,),'Actual Dates'!#REF!,"")</f>
        <v>#REF!</v>
      </c>
      <c r="L553" s="73" t="e">
        <f>IF(VLOOKUP(A553,'Actual Dates'!A4:AF704,21,),'Actual Dates'!#REF!,"")</f>
        <v>#REF!</v>
      </c>
      <c r="M553" s="73" t="e">
        <f>'Date Calcs'!#REF!</f>
        <v>#REF!</v>
      </c>
      <c r="N553" s="73" t="e">
        <f>IF(VLOOKUP(A553,'Actual Dates'!A4:AF704,27,),'Actual Dates'!#REF!,"")</f>
        <v>#REF!</v>
      </c>
      <c r="O553" s="74" t="e">
        <f t="shared" si="204"/>
        <v>#REF!</v>
      </c>
      <c r="P553" s="75" t="e">
        <f t="shared" si="205"/>
        <v>#REF!</v>
      </c>
      <c r="Q553" s="75" t="e">
        <f t="shared" si="206"/>
        <v>#REF!</v>
      </c>
      <c r="R553" s="132"/>
      <c r="S553" s="133"/>
    </row>
    <row r="554" spans="1:19" x14ac:dyDescent="0.25">
      <c r="A554" s="70" t="e">
        <f>'Date Calcs'!#REF!</f>
        <v>#REF!</v>
      </c>
      <c r="B554" s="71" t="e">
        <f>'Date Calcs'!#REF!</f>
        <v>#REF!</v>
      </c>
      <c r="C554" s="72" t="e">
        <f>'Date Calcs'!#REF!</f>
        <v>#REF!</v>
      </c>
      <c r="D554" s="73" t="e">
        <f t="shared" si="201"/>
        <v>#REF!</v>
      </c>
      <c r="E554" s="66">
        <v>44577</v>
      </c>
      <c r="F554" s="73" t="e">
        <f>'Date Calcs'!#REF!</f>
        <v>#REF!</v>
      </c>
      <c r="G554" s="73" t="e">
        <f>IF(VLOOKUP(A554,'Actual Dates'!A4:AF682,8,),'Actual Dates'!#REF!,"")</f>
        <v>#REF!</v>
      </c>
      <c r="H554" s="73" t="e">
        <f t="shared" si="202"/>
        <v>#REF!</v>
      </c>
      <c r="I554" s="73" t="e">
        <f>IF(VLOOKUP(A554,'Actual Dates'!A4:AF677,25,),'Actual Dates'!#REF!,"")</f>
        <v>#REF!</v>
      </c>
      <c r="J554" s="73" t="e">
        <f t="shared" si="203"/>
        <v>#REF!</v>
      </c>
      <c r="K554" s="73" t="e">
        <f>IF(VLOOKUP(A554,'Actual Dates'!A4:AF705,26,),'Actual Dates'!#REF!,"")</f>
        <v>#REF!</v>
      </c>
      <c r="L554" s="73" t="e">
        <f>IF(VLOOKUP(A554,'Actual Dates'!A4:AF705,21,),'Actual Dates'!#REF!,"")</f>
        <v>#REF!</v>
      </c>
      <c r="M554" s="73" t="e">
        <f>'Date Calcs'!#REF!</f>
        <v>#REF!</v>
      </c>
      <c r="N554" s="73" t="e">
        <f>IF(VLOOKUP(A554,'Actual Dates'!A4:AF705,27,),'Actual Dates'!#REF!,"")</f>
        <v>#REF!</v>
      </c>
      <c r="O554" s="74" t="e">
        <f t="shared" si="204"/>
        <v>#REF!</v>
      </c>
      <c r="P554" s="75" t="e">
        <f t="shared" si="205"/>
        <v>#REF!</v>
      </c>
      <c r="Q554" s="75" t="e">
        <f t="shared" si="206"/>
        <v>#REF!</v>
      </c>
      <c r="R554" s="132"/>
      <c r="S554" s="133"/>
    </row>
    <row r="555" spans="1:19" x14ac:dyDescent="0.25">
      <c r="A555" s="70" t="e">
        <f>'Date Calcs'!#REF!</f>
        <v>#REF!</v>
      </c>
      <c r="B555" s="71" t="e">
        <f>'Date Calcs'!#REF!</f>
        <v>#REF!</v>
      </c>
      <c r="C555" s="72" t="e">
        <f>'Date Calcs'!#REF!</f>
        <v>#REF!</v>
      </c>
      <c r="D555" s="73" t="e">
        <f t="shared" si="201"/>
        <v>#REF!</v>
      </c>
      <c r="E555" s="66">
        <v>44578</v>
      </c>
      <c r="F555" s="73" t="e">
        <f>'Date Calcs'!#REF!</f>
        <v>#REF!</v>
      </c>
      <c r="G555" s="73" t="e">
        <f>IF(VLOOKUP(A555,'Actual Dates'!A4:AF683,8,),'Actual Dates'!#REF!,"")</f>
        <v>#REF!</v>
      </c>
      <c r="H555" s="73" t="e">
        <f t="shared" si="202"/>
        <v>#REF!</v>
      </c>
      <c r="I555" s="73" t="e">
        <f>IF(VLOOKUP(A555,'Actual Dates'!A4:AF678,25,),'Actual Dates'!#REF!,"")</f>
        <v>#REF!</v>
      </c>
      <c r="J555" s="73" t="e">
        <f t="shared" si="203"/>
        <v>#REF!</v>
      </c>
      <c r="K555" s="73" t="e">
        <f>IF(VLOOKUP(A555,'Actual Dates'!A4:AF706,26,),'Actual Dates'!#REF!,"")</f>
        <v>#REF!</v>
      </c>
      <c r="L555" s="73" t="e">
        <f>IF(VLOOKUP(A555,'Actual Dates'!A4:AF706,21,),'Actual Dates'!#REF!,"")</f>
        <v>#REF!</v>
      </c>
      <c r="M555" s="73" t="e">
        <f>'Date Calcs'!#REF!</f>
        <v>#REF!</v>
      </c>
      <c r="N555" s="73" t="e">
        <f>IF(VLOOKUP(A555,'Actual Dates'!A4:AF706,27,),'Actual Dates'!#REF!,"")</f>
        <v>#REF!</v>
      </c>
      <c r="O555" s="74" t="e">
        <f t="shared" si="204"/>
        <v>#REF!</v>
      </c>
      <c r="P555" s="75" t="e">
        <f t="shared" si="205"/>
        <v>#REF!</v>
      </c>
      <c r="Q555" s="75" t="e">
        <f t="shared" si="206"/>
        <v>#REF!</v>
      </c>
      <c r="R555" s="132"/>
      <c r="S555" s="133"/>
    </row>
    <row r="556" spans="1:19" x14ac:dyDescent="0.25">
      <c r="A556" s="70" t="e">
        <f>'Date Calcs'!#REF!</f>
        <v>#REF!</v>
      </c>
      <c r="B556" s="71" t="e">
        <f>'Date Calcs'!#REF!</f>
        <v>#REF!</v>
      </c>
      <c r="C556" s="72" t="e">
        <f>'Date Calcs'!#REF!</f>
        <v>#REF!</v>
      </c>
      <c r="D556" s="73" t="e">
        <f t="shared" si="201"/>
        <v>#REF!</v>
      </c>
      <c r="E556" s="66">
        <v>44579</v>
      </c>
      <c r="F556" s="73" t="e">
        <f>'Date Calcs'!#REF!</f>
        <v>#REF!</v>
      </c>
      <c r="G556" s="73" t="e">
        <f>IF(VLOOKUP(A556,'Actual Dates'!A4:AF684,8,),'Actual Dates'!#REF!,"")</f>
        <v>#REF!</v>
      </c>
      <c r="H556" s="73" t="e">
        <f t="shared" si="202"/>
        <v>#REF!</v>
      </c>
      <c r="I556" s="73" t="e">
        <f>IF(VLOOKUP(A556,'Actual Dates'!A4:AF679,25,),'Actual Dates'!#REF!,"")</f>
        <v>#REF!</v>
      </c>
      <c r="J556" s="73" t="e">
        <f t="shared" si="203"/>
        <v>#REF!</v>
      </c>
      <c r="K556" s="73" t="e">
        <f>IF(VLOOKUP(A556,'Actual Dates'!A4:AF707,26,),'Actual Dates'!#REF!,"")</f>
        <v>#REF!</v>
      </c>
      <c r="L556" s="73" t="e">
        <f>IF(VLOOKUP(A556,'Actual Dates'!A4:AF707,21,),'Actual Dates'!#REF!,"")</f>
        <v>#REF!</v>
      </c>
      <c r="M556" s="73" t="e">
        <f>'Date Calcs'!#REF!</f>
        <v>#REF!</v>
      </c>
      <c r="N556" s="73" t="e">
        <f>IF(VLOOKUP(A556,'Actual Dates'!A4:AF707,27,),'Actual Dates'!#REF!,"")</f>
        <v>#REF!</v>
      </c>
      <c r="O556" s="74" t="e">
        <f t="shared" si="204"/>
        <v>#REF!</v>
      </c>
      <c r="P556" s="75" t="e">
        <f t="shared" si="205"/>
        <v>#REF!</v>
      </c>
      <c r="Q556" s="75" t="e">
        <f t="shared" si="206"/>
        <v>#REF!</v>
      </c>
      <c r="R556" s="132"/>
      <c r="S556" s="133"/>
    </row>
    <row r="557" spans="1:19" x14ac:dyDescent="0.25">
      <c r="A557" s="70" t="e">
        <f>'Date Calcs'!#REF!</f>
        <v>#REF!</v>
      </c>
      <c r="B557" s="71" t="e">
        <f>'Date Calcs'!#REF!</f>
        <v>#REF!</v>
      </c>
      <c r="C557" s="72" t="e">
        <f>'Date Calcs'!#REF!</f>
        <v>#REF!</v>
      </c>
      <c r="D557" s="73" t="e">
        <f t="shared" si="201"/>
        <v>#REF!</v>
      </c>
      <c r="E557" s="66">
        <v>44580</v>
      </c>
      <c r="F557" s="73" t="e">
        <f>'Date Calcs'!#REF!</f>
        <v>#REF!</v>
      </c>
      <c r="G557" s="73" t="e">
        <f>IF(VLOOKUP(A557,'Actual Dates'!A4:AF685,8,),'Actual Dates'!#REF!,"")</f>
        <v>#REF!</v>
      </c>
      <c r="H557" s="73" t="e">
        <f t="shared" si="202"/>
        <v>#REF!</v>
      </c>
      <c r="I557" s="73" t="e">
        <f>IF(VLOOKUP(A557,'Actual Dates'!A4:AF680,25,),'Actual Dates'!#REF!,"")</f>
        <v>#REF!</v>
      </c>
      <c r="J557" s="73" t="e">
        <f t="shared" si="203"/>
        <v>#REF!</v>
      </c>
      <c r="K557" s="73" t="e">
        <f>IF(VLOOKUP(A557,'Actual Dates'!A4:AF708,26,),'Actual Dates'!#REF!,"")</f>
        <v>#REF!</v>
      </c>
      <c r="L557" s="73" t="e">
        <f>IF(VLOOKUP(A557,'Actual Dates'!A4:AF708,21,),'Actual Dates'!#REF!,"")</f>
        <v>#REF!</v>
      </c>
      <c r="M557" s="73" t="e">
        <f>'Date Calcs'!#REF!</f>
        <v>#REF!</v>
      </c>
      <c r="N557" s="73" t="e">
        <f>IF(VLOOKUP(A557,'Actual Dates'!A4:AF708,27,),'Actual Dates'!#REF!,"")</f>
        <v>#REF!</v>
      </c>
      <c r="O557" s="74" t="e">
        <f t="shared" si="204"/>
        <v>#REF!</v>
      </c>
      <c r="P557" s="75" t="e">
        <f t="shared" si="205"/>
        <v>#REF!</v>
      </c>
      <c r="Q557" s="75" t="e">
        <f t="shared" si="206"/>
        <v>#REF!</v>
      </c>
      <c r="R557" s="132"/>
      <c r="S557" s="133"/>
    </row>
    <row r="558" spans="1:19" x14ac:dyDescent="0.25">
      <c r="A558" s="70" t="e">
        <f>'Date Calcs'!#REF!</f>
        <v>#REF!</v>
      </c>
      <c r="B558" s="71" t="e">
        <f>'Date Calcs'!#REF!</f>
        <v>#REF!</v>
      </c>
      <c r="C558" s="72" t="e">
        <f>'Date Calcs'!#REF!</f>
        <v>#REF!</v>
      </c>
      <c r="D558" s="73" t="e">
        <f t="shared" si="201"/>
        <v>#REF!</v>
      </c>
      <c r="E558" s="66">
        <v>44581</v>
      </c>
      <c r="F558" s="73" t="e">
        <f>'Date Calcs'!#REF!</f>
        <v>#REF!</v>
      </c>
      <c r="G558" s="73" t="e">
        <f>IF(VLOOKUP(A558,'Actual Dates'!A4:AF686,8,),'Actual Dates'!#REF!,"")</f>
        <v>#REF!</v>
      </c>
      <c r="H558" s="73" t="e">
        <f t="shared" si="202"/>
        <v>#REF!</v>
      </c>
      <c r="I558" s="73" t="e">
        <f>IF(VLOOKUP(A558,'Actual Dates'!A4:AF681,25,),'Actual Dates'!#REF!,"")</f>
        <v>#REF!</v>
      </c>
      <c r="J558" s="73" t="e">
        <f t="shared" si="203"/>
        <v>#REF!</v>
      </c>
      <c r="K558" s="73" t="e">
        <f>IF(VLOOKUP(A558,'Actual Dates'!A4:AF709,26,),'Actual Dates'!#REF!,"")</f>
        <v>#REF!</v>
      </c>
      <c r="L558" s="73" t="e">
        <f>IF(VLOOKUP(A558,'Actual Dates'!A4:AF709,21,),'Actual Dates'!#REF!,"")</f>
        <v>#REF!</v>
      </c>
      <c r="M558" s="73" t="e">
        <f>'Date Calcs'!#REF!</f>
        <v>#REF!</v>
      </c>
      <c r="N558" s="73" t="e">
        <f>IF(VLOOKUP(A558,'Actual Dates'!A4:AF709,27,),'Actual Dates'!#REF!,"")</f>
        <v>#REF!</v>
      </c>
      <c r="O558" s="74" t="e">
        <f t="shared" si="204"/>
        <v>#REF!</v>
      </c>
      <c r="P558" s="75" t="e">
        <f t="shared" si="205"/>
        <v>#REF!</v>
      </c>
      <c r="Q558" s="75" t="e">
        <f t="shared" si="206"/>
        <v>#REF!</v>
      </c>
      <c r="R558" s="132"/>
      <c r="S558" s="133"/>
    </row>
    <row r="559" spans="1:19" x14ac:dyDescent="0.25">
      <c r="A559" s="70" t="e">
        <f>'Date Calcs'!#REF!</f>
        <v>#REF!</v>
      </c>
      <c r="B559" s="71" t="e">
        <f>'Date Calcs'!#REF!</f>
        <v>#REF!</v>
      </c>
      <c r="C559" s="72" t="e">
        <f>'Date Calcs'!#REF!</f>
        <v>#REF!</v>
      </c>
      <c r="D559" s="73" t="e">
        <f t="shared" si="201"/>
        <v>#REF!</v>
      </c>
      <c r="E559" s="66">
        <v>44582</v>
      </c>
      <c r="F559" s="73" t="e">
        <f>'Date Calcs'!#REF!</f>
        <v>#REF!</v>
      </c>
      <c r="G559" s="73" t="e">
        <f>IF(VLOOKUP(A559,'Actual Dates'!A4:AF687,8,),'Actual Dates'!#REF!,"")</f>
        <v>#REF!</v>
      </c>
      <c r="H559" s="73" t="e">
        <f t="shared" si="202"/>
        <v>#REF!</v>
      </c>
      <c r="I559" s="73" t="e">
        <f>IF(VLOOKUP(A559,'Actual Dates'!A4:AF682,25,),'Actual Dates'!#REF!,"")</f>
        <v>#REF!</v>
      </c>
      <c r="J559" s="73" t="e">
        <f t="shared" si="203"/>
        <v>#REF!</v>
      </c>
      <c r="K559" s="73" t="e">
        <f>IF(VLOOKUP(A559,'Actual Dates'!A4:AF710,26,),'Actual Dates'!#REF!,"")</f>
        <v>#REF!</v>
      </c>
      <c r="L559" s="73" t="e">
        <f>IF(VLOOKUP(A559,'Actual Dates'!A4:AF710,21,),'Actual Dates'!#REF!,"")</f>
        <v>#REF!</v>
      </c>
      <c r="M559" s="73" t="e">
        <f>'Date Calcs'!#REF!</f>
        <v>#REF!</v>
      </c>
      <c r="N559" s="73" t="e">
        <f>IF(VLOOKUP(A559,'Actual Dates'!A4:AF710,27,),'Actual Dates'!#REF!,"")</f>
        <v>#REF!</v>
      </c>
      <c r="O559" s="74" t="e">
        <f t="shared" si="204"/>
        <v>#REF!</v>
      </c>
      <c r="P559" s="75" t="e">
        <f t="shared" si="205"/>
        <v>#REF!</v>
      </c>
      <c r="Q559" s="75" t="e">
        <f t="shared" si="206"/>
        <v>#REF!</v>
      </c>
      <c r="R559" s="132"/>
      <c r="S559" s="133"/>
    </row>
    <row r="560" spans="1:19" x14ac:dyDescent="0.25">
      <c r="A560" s="70" t="e">
        <f>'Date Calcs'!#REF!</f>
        <v>#REF!</v>
      </c>
      <c r="B560" s="71" t="e">
        <f>'Date Calcs'!#REF!</f>
        <v>#REF!</v>
      </c>
      <c r="C560" s="72" t="e">
        <f>'Date Calcs'!#REF!</f>
        <v>#REF!</v>
      </c>
      <c r="D560" s="73" t="e">
        <f t="shared" si="201"/>
        <v>#REF!</v>
      </c>
      <c r="E560" s="66">
        <v>44583</v>
      </c>
      <c r="F560" s="73" t="e">
        <f>'Date Calcs'!#REF!</f>
        <v>#REF!</v>
      </c>
      <c r="G560" s="73" t="e">
        <f>IF(VLOOKUP(A560,'Actual Dates'!A4:AF688,8,),'Actual Dates'!#REF!,"")</f>
        <v>#REF!</v>
      </c>
      <c r="H560" s="73" t="e">
        <f t="shared" si="202"/>
        <v>#REF!</v>
      </c>
      <c r="I560" s="73" t="e">
        <f>IF(VLOOKUP(A560,'Actual Dates'!A4:AF683,25,),'Actual Dates'!#REF!,"")</f>
        <v>#REF!</v>
      </c>
      <c r="J560" s="73" t="e">
        <f t="shared" si="203"/>
        <v>#REF!</v>
      </c>
      <c r="K560" s="73" t="e">
        <f>IF(VLOOKUP(A560,'Actual Dates'!A4:AF711,26,),'Actual Dates'!#REF!,"")</f>
        <v>#REF!</v>
      </c>
      <c r="L560" s="73" t="e">
        <f>IF(VLOOKUP(A560,'Actual Dates'!A4:AF711,21,),'Actual Dates'!#REF!,"")</f>
        <v>#REF!</v>
      </c>
      <c r="M560" s="73" t="e">
        <f>'Date Calcs'!#REF!</f>
        <v>#REF!</v>
      </c>
      <c r="N560" s="73" t="e">
        <f>IF(VLOOKUP(A560,'Actual Dates'!A4:AF711,27,),'Actual Dates'!#REF!,"")</f>
        <v>#REF!</v>
      </c>
      <c r="O560" s="74" t="e">
        <f t="shared" si="204"/>
        <v>#REF!</v>
      </c>
      <c r="P560" s="75" t="e">
        <f t="shared" si="205"/>
        <v>#REF!</v>
      </c>
      <c r="Q560" s="75" t="e">
        <f t="shared" si="206"/>
        <v>#REF!</v>
      </c>
      <c r="R560" s="132"/>
      <c r="S560" s="133"/>
    </row>
    <row r="561" spans="1:19" x14ac:dyDescent="0.25">
      <c r="A561" s="70" t="e">
        <f>'Date Calcs'!#REF!</f>
        <v>#REF!</v>
      </c>
      <c r="B561" s="71" t="e">
        <f>'Date Calcs'!#REF!</f>
        <v>#REF!</v>
      </c>
      <c r="C561" s="72" t="e">
        <f>'Date Calcs'!#REF!</f>
        <v>#REF!</v>
      </c>
      <c r="D561" s="73" t="e">
        <f t="shared" si="201"/>
        <v>#REF!</v>
      </c>
      <c r="E561" s="66">
        <v>44584</v>
      </c>
      <c r="F561" s="73" t="e">
        <f>'Date Calcs'!#REF!</f>
        <v>#REF!</v>
      </c>
      <c r="G561" s="73" t="e">
        <f>IF(VLOOKUP(A561,'Actual Dates'!A4:AF689,8,),'Actual Dates'!#REF!,"")</f>
        <v>#REF!</v>
      </c>
      <c r="H561" s="73" t="e">
        <f t="shared" si="202"/>
        <v>#REF!</v>
      </c>
      <c r="I561" s="73" t="e">
        <f>IF(VLOOKUP(A561,'Actual Dates'!A4:AF684,25,),'Actual Dates'!#REF!,"")</f>
        <v>#REF!</v>
      </c>
      <c r="J561" s="73" t="e">
        <f t="shared" si="203"/>
        <v>#REF!</v>
      </c>
      <c r="K561" s="73" t="e">
        <f>IF(VLOOKUP(A561,'Actual Dates'!A4:AF712,26,),'Actual Dates'!#REF!,"")</f>
        <v>#REF!</v>
      </c>
      <c r="L561" s="73" t="e">
        <f>IF(VLOOKUP(A561,'Actual Dates'!A4:AF712,21,),'Actual Dates'!#REF!,"")</f>
        <v>#REF!</v>
      </c>
      <c r="M561" s="73" t="e">
        <f>'Date Calcs'!#REF!</f>
        <v>#REF!</v>
      </c>
      <c r="N561" s="73" t="e">
        <f>IF(VLOOKUP(A561,'Actual Dates'!A4:AF712,27,),'Actual Dates'!#REF!,"")</f>
        <v>#REF!</v>
      </c>
      <c r="O561" s="74" t="e">
        <f t="shared" si="204"/>
        <v>#REF!</v>
      </c>
      <c r="P561" s="75" t="e">
        <f t="shared" si="205"/>
        <v>#REF!</v>
      </c>
      <c r="Q561" s="75" t="e">
        <f t="shared" si="206"/>
        <v>#REF!</v>
      </c>
      <c r="R561" s="132"/>
      <c r="S561" s="133"/>
    </row>
    <row r="562" spans="1:19" x14ac:dyDescent="0.25">
      <c r="A562" s="70" t="e">
        <f>'Date Calcs'!#REF!</f>
        <v>#REF!</v>
      </c>
      <c r="B562" s="71" t="e">
        <f>'Date Calcs'!#REF!</f>
        <v>#REF!</v>
      </c>
      <c r="C562" s="72" t="e">
        <f>'Date Calcs'!#REF!</f>
        <v>#REF!</v>
      </c>
      <c r="D562" s="73" t="e">
        <f t="shared" si="201"/>
        <v>#REF!</v>
      </c>
      <c r="E562" s="66">
        <v>44585</v>
      </c>
      <c r="F562" s="73" t="e">
        <f>'Date Calcs'!#REF!</f>
        <v>#REF!</v>
      </c>
      <c r="G562" s="73" t="e">
        <f>IF(VLOOKUP(A562,'Actual Dates'!A4:AF690,8,),'Actual Dates'!#REF!,"")</f>
        <v>#REF!</v>
      </c>
      <c r="H562" s="73" t="e">
        <f t="shared" si="202"/>
        <v>#REF!</v>
      </c>
      <c r="I562" s="73" t="e">
        <f>IF(VLOOKUP(A562,'Actual Dates'!A4:AF685,25,),'Actual Dates'!#REF!,"")</f>
        <v>#REF!</v>
      </c>
      <c r="J562" s="73" t="e">
        <f t="shared" si="203"/>
        <v>#REF!</v>
      </c>
      <c r="K562" s="73" t="e">
        <f>IF(VLOOKUP(A562,'Actual Dates'!A4:AF713,26,),'Actual Dates'!#REF!,"")</f>
        <v>#REF!</v>
      </c>
      <c r="L562" s="73" t="e">
        <f>IF(VLOOKUP(A562,'Actual Dates'!A4:AF713,21,),'Actual Dates'!#REF!,"")</f>
        <v>#REF!</v>
      </c>
      <c r="M562" s="73" t="e">
        <f>'Date Calcs'!#REF!</f>
        <v>#REF!</v>
      </c>
      <c r="N562" s="73" t="e">
        <f>IF(VLOOKUP(A562,'Actual Dates'!A4:AF713,27,),'Actual Dates'!#REF!,"")</f>
        <v>#REF!</v>
      </c>
      <c r="O562" s="74" t="e">
        <f t="shared" si="204"/>
        <v>#REF!</v>
      </c>
      <c r="P562" s="75" t="e">
        <f t="shared" si="205"/>
        <v>#REF!</v>
      </c>
      <c r="Q562" s="75" t="e">
        <f t="shared" si="206"/>
        <v>#REF!</v>
      </c>
      <c r="R562" s="132"/>
      <c r="S562" s="133"/>
    </row>
    <row r="563" spans="1:19" x14ac:dyDescent="0.25">
      <c r="A563" s="70" t="e">
        <f>'Date Calcs'!#REF!</f>
        <v>#REF!</v>
      </c>
      <c r="B563" s="71" t="e">
        <f>'Date Calcs'!#REF!</f>
        <v>#REF!</v>
      </c>
      <c r="C563" s="72" t="e">
        <f>'Date Calcs'!#REF!</f>
        <v>#REF!</v>
      </c>
      <c r="D563" s="73" t="e">
        <f t="shared" si="201"/>
        <v>#REF!</v>
      </c>
      <c r="E563" s="66">
        <v>44586</v>
      </c>
      <c r="F563" s="73" t="e">
        <f>'Date Calcs'!#REF!</f>
        <v>#REF!</v>
      </c>
      <c r="G563" s="73" t="e">
        <f>IF(VLOOKUP(A563,'Actual Dates'!A4:AF691,8,),'Actual Dates'!#REF!,"")</f>
        <v>#REF!</v>
      </c>
      <c r="H563" s="73" t="e">
        <f t="shared" si="202"/>
        <v>#REF!</v>
      </c>
      <c r="I563" s="73" t="e">
        <f>IF(VLOOKUP(A563,'Actual Dates'!A4:AF686,25,),'Actual Dates'!#REF!,"")</f>
        <v>#REF!</v>
      </c>
      <c r="J563" s="73" t="e">
        <f t="shared" si="203"/>
        <v>#REF!</v>
      </c>
      <c r="K563" s="73" t="e">
        <f>IF(VLOOKUP(A563,'Actual Dates'!A4:AF714,26,),'Actual Dates'!#REF!,"")</f>
        <v>#REF!</v>
      </c>
      <c r="L563" s="73" t="e">
        <f>IF(VLOOKUP(A563,'Actual Dates'!A4:AF714,21,),'Actual Dates'!#REF!,"")</f>
        <v>#REF!</v>
      </c>
      <c r="M563" s="73" t="e">
        <f>'Date Calcs'!#REF!</f>
        <v>#REF!</v>
      </c>
      <c r="N563" s="73" t="e">
        <f>IF(VLOOKUP(A563,'Actual Dates'!A4:AF714,27,),'Actual Dates'!#REF!,"")</f>
        <v>#REF!</v>
      </c>
      <c r="O563" s="74" t="e">
        <f t="shared" si="204"/>
        <v>#REF!</v>
      </c>
      <c r="P563" s="75" t="e">
        <f t="shared" si="205"/>
        <v>#REF!</v>
      </c>
      <c r="Q563" s="75" t="e">
        <f t="shared" si="206"/>
        <v>#REF!</v>
      </c>
      <c r="R563" s="132"/>
      <c r="S563" s="133"/>
    </row>
    <row r="564" spans="1:19" x14ac:dyDescent="0.25">
      <c r="A564" s="70" t="e">
        <f>'Date Calcs'!#REF!</f>
        <v>#REF!</v>
      </c>
      <c r="B564" s="71" t="e">
        <f>'Date Calcs'!#REF!</f>
        <v>#REF!</v>
      </c>
      <c r="C564" s="72" t="e">
        <f>'Date Calcs'!#REF!</f>
        <v>#REF!</v>
      </c>
      <c r="D564" s="73" t="e">
        <f t="shared" si="201"/>
        <v>#REF!</v>
      </c>
      <c r="E564" s="66">
        <v>44587</v>
      </c>
      <c r="F564" s="73" t="e">
        <f>'Date Calcs'!#REF!</f>
        <v>#REF!</v>
      </c>
      <c r="G564" s="73" t="e">
        <f>IF(VLOOKUP(A564,'Actual Dates'!A4:AF692,8,),'Actual Dates'!#REF!,"")</f>
        <v>#REF!</v>
      </c>
      <c r="H564" s="73" t="e">
        <f t="shared" si="202"/>
        <v>#REF!</v>
      </c>
      <c r="I564" s="73" t="e">
        <f>IF(VLOOKUP(A564,'Actual Dates'!A4:AF687,25,),'Actual Dates'!#REF!,"")</f>
        <v>#REF!</v>
      </c>
      <c r="J564" s="73" t="e">
        <f t="shared" si="203"/>
        <v>#REF!</v>
      </c>
      <c r="K564" s="73" t="e">
        <f>IF(VLOOKUP(A564,'Actual Dates'!A4:AF715,26,),'Actual Dates'!#REF!,"")</f>
        <v>#REF!</v>
      </c>
      <c r="L564" s="73" t="e">
        <f>IF(VLOOKUP(A564,'Actual Dates'!A4:AF715,21,),'Actual Dates'!#REF!,"")</f>
        <v>#REF!</v>
      </c>
      <c r="M564" s="73" t="e">
        <f>'Date Calcs'!#REF!</f>
        <v>#REF!</v>
      </c>
      <c r="N564" s="73" t="e">
        <f>IF(VLOOKUP(A564,'Actual Dates'!A4:AF715,27,),'Actual Dates'!#REF!,"")</f>
        <v>#REF!</v>
      </c>
      <c r="O564" s="74" t="e">
        <f t="shared" si="204"/>
        <v>#REF!</v>
      </c>
      <c r="P564" s="75" t="e">
        <f t="shared" si="205"/>
        <v>#REF!</v>
      </c>
      <c r="Q564" s="75" t="e">
        <f t="shared" si="206"/>
        <v>#REF!</v>
      </c>
      <c r="R564" s="132"/>
      <c r="S564" s="133"/>
    </row>
    <row r="565" spans="1:19" x14ac:dyDescent="0.25">
      <c r="A565" s="70" t="e">
        <f>'Date Calcs'!#REF!</f>
        <v>#REF!</v>
      </c>
      <c r="B565" s="71" t="e">
        <f>'Date Calcs'!#REF!</f>
        <v>#REF!</v>
      </c>
      <c r="C565" s="72" t="e">
        <f>'Date Calcs'!#REF!</f>
        <v>#REF!</v>
      </c>
      <c r="D565" s="73" t="e">
        <f t="shared" si="201"/>
        <v>#REF!</v>
      </c>
      <c r="E565" s="66">
        <v>44588</v>
      </c>
      <c r="F565" s="73" t="e">
        <f>'Date Calcs'!#REF!</f>
        <v>#REF!</v>
      </c>
      <c r="G565" s="73" t="e">
        <f>IF(VLOOKUP(A565,'Actual Dates'!A4:AF693,8,),'Actual Dates'!#REF!,"")</f>
        <v>#REF!</v>
      </c>
      <c r="H565" s="73" t="e">
        <f t="shared" si="202"/>
        <v>#REF!</v>
      </c>
      <c r="I565" s="73" t="e">
        <f>IF(VLOOKUP(A565,'Actual Dates'!A4:AF688,25,),'Actual Dates'!#REF!,"")</f>
        <v>#REF!</v>
      </c>
      <c r="J565" s="73" t="e">
        <f t="shared" si="203"/>
        <v>#REF!</v>
      </c>
      <c r="K565" s="73" t="e">
        <f>IF(VLOOKUP(A565,'Actual Dates'!A4:AF716,26,),'Actual Dates'!#REF!,"")</f>
        <v>#REF!</v>
      </c>
      <c r="L565" s="73" t="e">
        <f>IF(VLOOKUP(A565,'Actual Dates'!A4:AF716,21,),'Actual Dates'!#REF!,"")</f>
        <v>#REF!</v>
      </c>
      <c r="M565" s="73" t="e">
        <f>'Date Calcs'!#REF!</f>
        <v>#REF!</v>
      </c>
      <c r="N565" s="73" t="e">
        <f>IF(VLOOKUP(A565,'Actual Dates'!A4:AF716,27,),'Actual Dates'!#REF!,"")</f>
        <v>#REF!</v>
      </c>
      <c r="O565" s="74" t="e">
        <f t="shared" si="204"/>
        <v>#REF!</v>
      </c>
      <c r="P565" s="75" t="e">
        <f t="shared" si="205"/>
        <v>#REF!</v>
      </c>
      <c r="Q565" s="75" t="e">
        <f t="shared" si="206"/>
        <v>#REF!</v>
      </c>
      <c r="R565" s="132"/>
      <c r="S565" s="133"/>
    </row>
    <row r="566" spans="1:19" x14ac:dyDescent="0.25">
      <c r="A566" s="70" t="e">
        <f>'Date Calcs'!#REF!</f>
        <v>#REF!</v>
      </c>
      <c r="B566" s="71" t="e">
        <f>'Date Calcs'!#REF!</f>
        <v>#REF!</v>
      </c>
      <c r="C566" s="72" t="e">
        <f>'Date Calcs'!#REF!</f>
        <v>#REF!</v>
      </c>
      <c r="D566" s="73" t="e">
        <f t="shared" si="201"/>
        <v>#REF!</v>
      </c>
      <c r="E566" s="66">
        <v>44589</v>
      </c>
      <c r="F566" s="73" t="e">
        <f>'Date Calcs'!#REF!</f>
        <v>#REF!</v>
      </c>
      <c r="G566" s="73" t="e">
        <f>IF(VLOOKUP(A566,'Actual Dates'!A4:AF694,8,),'Actual Dates'!#REF!,"")</f>
        <v>#REF!</v>
      </c>
      <c r="H566" s="73" t="e">
        <f t="shared" si="202"/>
        <v>#REF!</v>
      </c>
      <c r="I566" s="73" t="e">
        <f>IF(VLOOKUP(A566,'Actual Dates'!A4:AF689,25,),'Actual Dates'!#REF!,"")</f>
        <v>#REF!</v>
      </c>
      <c r="J566" s="73" t="e">
        <f t="shared" si="203"/>
        <v>#REF!</v>
      </c>
      <c r="K566" s="73" t="e">
        <f>IF(VLOOKUP(A566,'Actual Dates'!A4:AF717,26,),'Actual Dates'!#REF!,"")</f>
        <v>#REF!</v>
      </c>
      <c r="L566" s="73" t="e">
        <f>IF(VLOOKUP(A566,'Actual Dates'!A4:AF717,21,),'Actual Dates'!#REF!,"")</f>
        <v>#REF!</v>
      </c>
      <c r="M566" s="73" t="e">
        <f>'Date Calcs'!#REF!</f>
        <v>#REF!</v>
      </c>
      <c r="N566" s="73" t="e">
        <f>IF(VLOOKUP(A566,'Actual Dates'!A4:AF717,27,),'Actual Dates'!#REF!,"")</f>
        <v>#REF!</v>
      </c>
      <c r="O566" s="74" t="e">
        <f t="shared" si="204"/>
        <v>#REF!</v>
      </c>
      <c r="P566" s="75" t="e">
        <f t="shared" si="205"/>
        <v>#REF!</v>
      </c>
      <c r="Q566" s="75" t="e">
        <f t="shared" si="206"/>
        <v>#REF!</v>
      </c>
      <c r="R566" s="132"/>
      <c r="S566" s="133"/>
    </row>
    <row r="567" spans="1:19" x14ac:dyDescent="0.25">
      <c r="A567" s="70" t="e">
        <f>'Date Calcs'!#REF!</f>
        <v>#REF!</v>
      </c>
      <c r="B567" s="71" t="e">
        <f>'Date Calcs'!#REF!</f>
        <v>#REF!</v>
      </c>
      <c r="C567" s="72" t="e">
        <f>'Date Calcs'!#REF!</f>
        <v>#REF!</v>
      </c>
      <c r="D567" s="73" t="e">
        <f t="shared" si="201"/>
        <v>#REF!</v>
      </c>
      <c r="E567" s="66">
        <v>44590</v>
      </c>
      <c r="F567" s="73" t="e">
        <f>'Date Calcs'!#REF!</f>
        <v>#REF!</v>
      </c>
      <c r="G567" s="73" t="e">
        <f>IF(VLOOKUP(A567,'Actual Dates'!A4:AF695,8,),'Actual Dates'!#REF!,"")</f>
        <v>#REF!</v>
      </c>
      <c r="H567" s="73" t="e">
        <f t="shared" si="202"/>
        <v>#REF!</v>
      </c>
      <c r="I567" s="73" t="e">
        <f>IF(VLOOKUP(A567,'Actual Dates'!A4:AF690,25,),'Actual Dates'!#REF!,"")</f>
        <v>#REF!</v>
      </c>
      <c r="J567" s="73" t="e">
        <f t="shared" si="203"/>
        <v>#REF!</v>
      </c>
      <c r="K567" s="73" t="e">
        <f>IF(VLOOKUP(A567,'Actual Dates'!A4:AF718,26,),'Actual Dates'!#REF!,"")</f>
        <v>#REF!</v>
      </c>
      <c r="L567" s="73" t="e">
        <f>IF(VLOOKUP(A567,'Actual Dates'!A4:AF718,21,),'Actual Dates'!#REF!,"")</f>
        <v>#REF!</v>
      </c>
      <c r="M567" s="73" t="e">
        <f>'Date Calcs'!#REF!</f>
        <v>#REF!</v>
      </c>
      <c r="N567" s="73" t="e">
        <f>IF(VLOOKUP(A567,'Actual Dates'!A4:AF718,27,),'Actual Dates'!#REF!,"")</f>
        <v>#REF!</v>
      </c>
      <c r="O567" s="74" t="e">
        <f t="shared" si="204"/>
        <v>#REF!</v>
      </c>
      <c r="P567" s="75" t="e">
        <f t="shared" si="205"/>
        <v>#REF!</v>
      </c>
      <c r="Q567" s="75" t="e">
        <f t="shared" si="206"/>
        <v>#REF!</v>
      </c>
      <c r="R567" s="132"/>
      <c r="S567" s="133"/>
    </row>
    <row r="568" spans="1:19" x14ac:dyDescent="0.25">
      <c r="A568" s="70" t="e">
        <f>'Date Calcs'!#REF!</f>
        <v>#REF!</v>
      </c>
      <c r="B568" s="71" t="e">
        <f>'Date Calcs'!#REF!</f>
        <v>#REF!</v>
      </c>
      <c r="C568" s="72" t="e">
        <f>'Date Calcs'!#REF!</f>
        <v>#REF!</v>
      </c>
      <c r="D568" s="73" t="e">
        <f t="shared" si="201"/>
        <v>#REF!</v>
      </c>
      <c r="E568" s="66">
        <v>44591</v>
      </c>
      <c r="F568" s="73" t="e">
        <f>'Date Calcs'!#REF!</f>
        <v>#REF!</v>
      </c>
      <c r="G568" s="73" t="e">
        <f>IF(VLOOKUP(A568,'Actual Dates'!A4:AF696,8,),'Actual Dates'!#REF!,"")</f>
        <v>#REF!</v>
      </c>
      <c r="H568" s="73" t="e">
        <f t="shared" si="202"/>
        <v>#REF!</v>
      </c>
      <c r="I568" s="73" t="e">
        <f>IF(VLOOKUP(A568,'Actual Dates'!A4:AF691,25,),'Actual Dates'!#REF!,"")</f>
        <v>#REF!</v>
      </c>
      <c r="J568" s="73" t="e">
        <f t="shared" si="203"/>
        <v>#REF!</v>
      </c>
      <c r="K568" s="73" t="e">
        <f>IF(VLOOKUP(A568,'Actual Dates'!A4:AF719,26,),'Actual Dates'!#REF!,"")</f>
        <v>#REF!</v>
      </c>
      <c r="L568" s="73" t="e">
        <f>IF(VLOOKUP(A568,'Actual Dates'!A4:AF719,21,),'Actual Dates'!#REF!,"")</f>
        <v>#REF!</v>
      </c>
      <c r="M568" s="73" t="e">
        <f>'Date Calcs'!#REF!</f>
        <v>#REF!</v>
      </c>
      <c r="N568" s="73" t="e">
        <f>IF(VLOOKUP(A568,'Actual Dates'!A4:AF719,27,),'Actual Dates'!#REF!,"")</f>
        <v>#REF!</v>
      </c>
      <c r="O568" s="74" t="e">
        <f t="shared" si="204"/>
        <v>#REF!</v>
      </c>
      <c r="P568" s="75" t="e">
        <f t="shared" si="205"/>
        <v>#REF!</v>
      </c>
      <c r="Q568" s="75" t="e">
        <f t="shared" si="206"/>
        <v>#REF!</v>
      </c>
      <c r="R568" s="132"/>
      <c r="S568" s="133"/>
    </row>
    <row r="569" spans="1:19" x14ac:dyDescent="0.25">
      <c r="A569" s="70" t="e">
        <f>'Date Calcs'!#REF!</f>
        <v>#REF!</v>
      </c>
      <c r="B569" s="71" t="e">
        <f>'Date Calcs'!#REF!</f>
        <v>#REF!</v>
      </c>
      <c r="C569" s="72" t="e">
        <f>'Date Calcs'!#REF!</f>
        <v>#REF!</v>
      </c>
      <c r="D569" s="73" t="e">
        <f t="shared" si="201"/>
        <v>#REF!</v>
      </c>
      <c r="E569" s="66">
        <v>44592</v>
      </c>
      <c r="F569" s="73" t="e">
        <f>'Date Calcs'!#REF!</f>
        <v>#REF!</v>
      </c>
      <c r="G569" s="73" t="e">
        <f>IF(VLOOKUP(A569,'Actual Dates'!A4:AF697,8,),'Actual Dates'!#REF!,"")</f>
        <v>#REF!</v>
      </c>
      <c r="H569" s="73" t="e">
        <f t="shared" si="202"/>
        <v>#REF!</v>
      </c>
      <c r="I569" s="73" t="e">
        <f>IF(VLOOKUP(A569,'Actual Dates'!A4:AF692,25,),'Actual Dates'!#REF!,"")</f>
        <v>#REF!</v>
      </c>
      <c r="J569" s="73" t="e">
        <f t="shared" si="203"/>
        <v>#REF!</v>
      </c>
      <c r="K569" s="73" t="e">
        <f>IF(VLOOKUP(A569,'Actual Dates'!A4:AF720,26,),'Actual Dates'!#REF!,"")</f>
        <v>#REF!</v>
      </c>
      <c r="L569" s="73" t="e">
        <f>IF(VLOOKUP(A569,'Actual Dates'!A4:AF720,21,),'Actual Dates'!#REF!,"")</f>
        <v>#REF!</v>
      </c>
      <c r="M569" s="73" t="e">
        <f>'Date Calcs'!#REF!</f>
        <v>#REF!</v>
      </c>
      <c r="N569" s="73" t="e">
        <f>IF(VLOOKUP(A569,'Actual Dates'!A4:AF720,27,),'Actual Dates'!#REF!,"")</f>
        <v>#REF!</v>
      </c>
      <c r="O569" s="74" t="e">
        <f t="shared" si="204"/>
        <v>#REF!</v>
      </c>
      <c r="P569" s="75" t="e">
        <f t="shared" si="205"/>
        <v>#REF!</v>
      </c>
      <c r="Q569" s="75" t="e">
        <f t="shared" si="206"/>
        <v>#REF!</v>
      </c>
      <c r="R569" s="132"/>
      <c r="S569" s="133"/>
    </row>
    <row r="570" spans="1:19" x14ac:dyDescent="0.25">
      <c r="A570" s="70" t="e">
        <f>'Date Calcs'!#REF!</f>
        <v>#REF!</v>
      </c>
      <c r="B570" s="71" t="e">
        <f>'Date Calcs'!#REF!</f>
        <v>#REF!</v>
      </c>
      <c r="C570" s="72" t="e">
        <f>'Date Calcs'!#REF!</f>
        <v>#REF!</v>
      </c>
      <c r="D570" s="73" t="e">
        <f t="shared" si="201"/>
        <v>#REF!</v>
      </c>
      <c r="E570" s="66">
        <v>44593</v>
      </c>
      <c r="F570" s="73" t="e">
        <f>'Date Calcs'!#REF!</f>
        <v>#REF!</v>
      </c>
      <c r="G570" s="73" t="e">
        <f>IF(VLOOKUP(A570,'Actual Dates'!A4:AF698,8,),'Actual Dates'!#REF!,"")</f>
        <v>#REF!</v>
      </c>
      <c r="H570" s="73" t="e">
        <f t="shared" si="202"/>
        <v>#REF!</v>
      </c>
      <c r="I570" s="73" t="e">
        <f>IF(VLOOKUP(A570,'Actual Dates'!A4:AF693,25,),'Actual Dates'!#REF!,"")</f>
        <v>#REF!</v>
      </c>
      <c r="J570" s="73" t="e">
        <f t="shared" si="203"/>
        <v>#REF!</v>
      </c>
      <c r="K570" s="73" t="e">
        <f>IF(VLOOKUP(A570,'Actual Dates'!A4:AF721,26,),'Actual Dates'!#REF!,"")</f>
        <v>#REF!</v>
      </c>
      <c r="L570" s="73" t="e">
        <f>IF(VLOOKUP(A570,'Actual Dates'!A4:AF721,21,),'Actual Dates'!#REF!,"")</f>
        <v>#REF!</v>
      </c>
      <c r="M570" s="73" t="e">
        <f>'Date Calcs'!#REF!</f>
        <v>#REF!</v>
      </c>
      <c r="N570" s="73" t="e">
        <f>IF(VLOOKUP(A570,'Actual Dates'!A4:AF721,27,),'Actual Dates'!#REF!,"")</f>
        <v>#REF!</v>
      </c>
      <c r="O570" s="74" t="e">
        <f t="shared" si="204"/>
        <v>#REF!</v>
      </c>
      <c r="P570" s="75" t="e">
        <f t="shared" si="205"/>
        <v>#REF!</v>
      </c>
      <c r="Q570" s="75" t="e">
        <f t="shared" si="206"/>
        <v>#REF!</v>
      </c>
      <c r="R570" s="132"/>
      <c r="S570" s="133"/>
    </row>
    <row r="571" spans="1:19" x14ac:dyDescent="0.25">
      <c r="A571" s="70" t="e">
        <f>'Date Calcs'!#REF!</f>
        <v>#REF!</v>
      </c>
      <c r="B571" s="71" t="e">
        <f>'Date Calcs'!#REF!</f>
        <v>#REF!</v>
      </c>
      <c r="C571" s="72" t="e">
        <f>'Date Calcs'!#REF!</f>
        <v>#REF!</v>
      </c>
      <c r="D571" s="73" t="e">
        <f t="shared" si="201"/>
        <v>#REF!</v>
      </c>
      <c r="E571" s="66">
        <v>44594</v>
      </c>
      <c r="F571" s="73" t="e">
        <f>'Date Calcs'!#REF!</f>
        <v>#REF!</v>
      </c>
      <c r="G571" s="73" t="e">
        <f>IF(VLOOKUP(A571,'Actual Dates'!A4:AF699,8,),'Actual Dates'!#REF!,"")</f>
        <v>#REF!</v>
      </c>
      <c r="H571" s="73" t="e">
        <f t="shared" si="202"/>
        <v>#REF!</v>
      </c>
      <c r="I571" s="73" t="e">
        <f>IF(VLOOKUP(A571,'Actual Dates'!A4:AF694,25,),'Actual Dates'!#REF!,"")</f>
        <v>#REF!</v>
      </c>
      <c r="J571" s="73" t="e">
        <f t="shared" si="203"/>
        <v>#REF!</v>
      </c>
      <c r="K571" s="73" t="e">
        <f>IF(VLOOKUP(A571,'Actual Dates'!A4:AF722,26,),'Actual Dates'!#REF!,"")</f>
        <v>#REF!</v>
      </c>
      <c r="L571" s="73" t="e">
        <f>IF(VLOOKUP(A571,'Actual Dates'!A4:AF722,21,),'Actual Dates'!#REF!,"")</f>
        <v>#REF!</v>
      </c>
      <c r="M571" s="73" t="e">
        <f>'Date Calcs'!#REF!</f>
        <v>#REF!</v>
      </c>
      <c r="N571" s="73" t="e">
        <f>IF(VLOOKUP(A571,'Actual Dates'!A4:AF722,27,),'Actual Dates'!#REF!,"")</f>
        <v>#REF!</v>
      </c>
      <c r="O571" s="74" t="e">
        <f t="shared" si="204"/>
        <v>#REF!</v>
      </c>
      <c r="P571" s="75" t="e">
        <f t="shared" si="205"/>
        <v>#REF!</v>
      </c>
      <c r="Q571" s="75" t="e">
        <f t="shared" si="206"/>
        <v>#REF!</v>
      </c>
      <c r="R571" s="132"/>
      <c r="S571" s="133"/>
    </row>
    <row r="572" spans="1:19" x14ac:dyDescent="0.25">
      <c r="A572" s="70" t="e">
        <f>'Date Calcs'!#REF!</f>
        <v>#REF!</v>
      </c>
      <c r="B572" s="71" t="e">
        <f>'Date Calcs'!#REF!</f>
        <v>#REF!</v>
      </c>
      <c r="C572" s="72" t="e">
        <f>'Date Calcs'!#REF!</f>
        <v>#REF!</v>
      </c>
      <c r="D572" s="73" t="e">
        <f t="shared" si="201"/>
        <v>#REF!</v>
      </c>
      <c r="E572" s="66">
        <v>44595</v>
      </c>
      <c r="F572" s="73" t="e">
        <f>'Date Calcs'!#REF!</f>
        <v>#REF!</v>
      </c>
      <c r="G572" s="73" t="e">
        <f>IF(VLOOKUP(A572,'Actual Dates'!A4:AF700,8,),'Actual Dates'!#REF!,"")</f>
        <v>#REF!</v>
      </c>
      <c r="H572" s="73" t="e">
        <f t="shared" si="202"/>
        <v>#REF!</v>
      </c>
      <c r="I572" s="73" t="e">
        <f>IF(VLOOKUP(A572,'Actual Dates'!A4:AF695,25,),'Actual Dates'!#REF!,"")</f>
        <v>#REF!</v>
      </c>
      <c r="J572" s="73" t="e">
        <f t="shared" si="203"/>
        <v>#REF!</v>
      </c>
      <c r="K572" s="73" t="e">
        <f>IF(VLOOKUP(A572,'Actual Dates'!A4:AF723,26,),'Actual Dates'!#REF!,"")</f>
        <v>#REF!</v>
      </c>
      <c r="L572" s="73" t="e">
        <f>IF(VLOOKUP(A572,'Actual Dates'!A4:AF723,21,),'Actual Dates'!#REF!,"")</f>
        <v>#REF!</v>
      </c>
      <c r="M572" s="73" t="e">
        <f>'Date Calcs'!#REF!</f>
        <v>#REF!</v>
      </c>
      <c r="N572" s="73" t="e">
        <f>IF(VLOOKUP(A572,'Actual Dates'!A4:AF723,27,),'Actual Dates'!#REF!,"")</f>
        <v>#REF!</v>
      </c>
      <c r="O572" s="74" t="e">
        <f t="shared" si="204"/>
        <v>#REF!</v>
      </c>
      <c r="P572" s="75" t="e">
        <f t="shared" si="205"/>
        <v>#REF!</v>
      </c>
      <c r="Q572" s="75" t="e">
        <f t="shared" si="206"/>
        <v>#REF!</v>
      </c>
      <c r="R572" s="132"/>
      <c r="S572" s="133"/>
    </row>
    <row r="573" spans="1:19" x14ac:dyDescent="0.25">
      <c r="A573" s="70" t="e">
        <f>'Date Calcs'!#REF!</f>
        <v>#REF!</v>
      </c>
      <c r="B573" s="71" t="e">
        <f>'Date Calcs'!#REF!</f>
        <v>#REF!</v>
      </c>
      <c r="C573" s="72" t="e">
        <f>'Date Calcs'!#REF!</f>
        <v>#REF!</v>
      </c>
      <c r="D573" s="73" t="e">
        <f t="shared" si="201"/>
        <v>#REF!</v>
      </c>
      <c r="E573" s="66">
        <v>44596</v>
      </c>
      <c r="F573" s="73" t="e">
        <f>'Date Calcs'!#REF!</f>
        <v>#REF!</v>
      </c>
      <c r="G573" s="73" t="e">
        <f>IF(VLOOKUP(A573,'Actual Dates'!A4:AF701,8,),'Actual Dates'!#REF!,"")</f>
        <v>#REF!</v>
      </c>
      <c r="H573" s="73" t="e">
        <f t="shared" si="202"/>
        <v>#REF!</v>
      </c>
      <c r="I573" s="73" t="e">
        <f>IF(VLOOKUP(A573,'Actual Dates'!A4:AF696,25,),'Actual Dates'!#REF!,"")</f>
        <v>#REF!</v>
      </c>
      <c r="J573" s="73" t="e">
        <f t="shared" si="203"/>
        <v>#REF!</v>
      </c>
      <c r="K573" s="73" t="e">
        <f>IF(VLOOKUP(A573,'Actual Dates'!A4:AF724,26,),'Actual Dates'!#REF!,"")</f>
        <v>#REF!</v>
      </c>
      <c r="L573" s="73" t="e">
        <f>IF(VLOOKUP(A573,'Actual Dates'!A4:AF724,21,),'Actual Dates'!#REF!,"")</f>
        <v>#REF!</v>
      </c>
      <c r="M573" s="73" t="e">
        <f>'Date Calcs'!#REF!</f>
        <v>#REF!</v>
      </c>
      <c r="N573" s="73" t="e">
        <f>IF(VLOOKUP(A573,'Actual Dates'!A4:AF724,27,),'Actual Dates'!#REF!,"")</f>
        <v>#REF!</v>
      </c>
      <c r="O573" s="74" t="e">
        <f t="shared" si="204"/>
        <v>#REF!</v>
      </c>
      <c r="P573" s="75" t="e">
        <f t="shared" si="205"/>
        <v>#REF!</v>
      </c>
      <c r="Q573" s="75" t="e">
        <f t="shared" si="206"/>
        <v>#REF!</v>
      </c>
      <c r="R573" s="132"/>
      <c r="S573" s="133"/>
    </row>
    <row r="574" spans="1:19" x14ac:dyDescent="0.25">
      <c r="A574" s="70" t="e">
        <f>'Date Calcs'!#REF!</f>
        <v>#REF!</v>
      </c>
      <c r="B574" s="71" t="e">
        <f>'Date Calcs'!#REF!</f>
        <v>#REF!</v>
      </c>
      <c r="C574" s="72" t="e">
        <f>'Date Calcs'!#REF!</f>
        <v>#REF!</v>
      </c>
      <c r="D574" s="73" t="e">
        <f t="shared" si="201"/>
        <v>#REF!</v>
      </c>
      <c r="E574" s="66">
        <v>44597</v>
      </c>
      <c r="F574" s="73" t="e">
        <f>'Date Calcs'!#REF!</f>
        <v>#REF!</v>
      </c>
      <c r="G574" s="73" t="e">
        <f>IF(VLOOKUP(A574,'Actual Dates'!A4:AF702,8,),'Actual Dates'!#REF!,"")</f>
        <v>#REF!</v>
      </c>
      <c r="H574" s="73" t="e">
        <f t="shared" si="202"/>
        <v>#REF!</v>
      </c>
      <c r="I574" s="73" t="e">
        <f>IF(VLOOKUP(A574,'Actual Dates'!A4:AF697,25,),'Actual Dates'!#REF!,"")</f>
        <v>#REF!</v>
      </c>
      <c r="J574" s="73" t="e">
        <f t="shared" si="203"/>
        <v>#REF!</v>
      </c>
      <c r="K574" s="73" t="e">
        <f>IF(VLOOKUP(A574,'Actual Dates'!A4:AF725,26,),'Actual Dates'!#REF!,"")</f>
        <v>#REF!</v>
      </c>
      <c r="L574" s="73" t="e">
        <f>IF(VLOOKUP(A574,'Actual Dates'!A4:AF725,21,),'Actual Dates'!#REF!,"")</f>
        <v>#REF!</v>
      </c>
      <c r="M574" s="73" t="e">
        <f>'Date Calcs'!#REF!</f>
        <v>#REF!</v>
      </c>
      <c r="N574" s="73" t="e">
        <f>IF(VLOOKUP(A574,'Actual Dates'!A4:AF725,27,),'Actual Dates'!#REF!,"")</f>
        <v>#REF!</v>
      </c>
      <c r="O574" s="74" t="e">
        <f t="shared" si="204"/>
        <v>#REF!</v>
      </c>
      <c r="P574" s="75" t="e">
        <f t="shared" si="205"/>
        <v>#REF!</v>
      </c>
      <c r="Q574" s="75" t="e">
        <f t="shared" si="206"/>
        <v>#REF!</v>
      </c>
      <c r="R574" s="132"/>
      <c r="S574" s="133"/>
    </row>
    <row r="575" spans="1:19" x14ac:dyDescent="0.25">
      <c r="A575" s="70" t="e">
        <f>'Date Calcs'!#REF!</f>
        <v>#REF!</v>
      </c>
      <c r="B575" s="71" t="e">
        <f>'Date Calcs'!#REF!</f>
        <v>#REF!</v>
      </c>
      <c r="C575" s="72" t="e">
        <f>'Date Calcs'!#REF!</f>
        <v>#REF!</v>
      </c>
      <c r="D575" s="73" t="e">
        <f t="shared" si="201"/>
        <v>#REF!</v>
      </c>
      <c r="E575" s="66">
        <v>44598</v>
      </c>
      <c r="F575" s="73" t="e">
        <f>'Date Calcs'!#REF!</f>
        <v>#REF!</v>
      </c>
      <c r="G575" s="73" t="e">
        <f>IF(VLOOKUP(A575,'Actual Dates'!A4:AF703,8,),'Actual Dates'!#REF!,"")</f>
        <v>#REF!</v>
      </c>
      <c r="H575" s="73" t="e">
        <f t="shared" si="202"/>
        <v>#REF!</v>
      </c>
      <c r="I575" s="73" t="e">
        <f>IF(VLOOKUP(A575,'Actual Dates'!A4:AF698,25,),'Actual Dates'!#REF!,"")</f>
        <v>#REF!</v>
      </c>
      <c r="J575" s="73" t="e">
        <f t="shared" si="203"/>
        <v>#REF!</v>
      </c>
      <c r="K575" s="73" t="e">
        <f>IF(VLOOKUP(A575,'Actual Dates'!A4:AF726,26,),'Actual Dates'!#REF!,"")</f>
        <v>#REF!</v>
      </c>
      <c r="L575" s="73" t="e">
        <f>IF(VLOOKUP(A575,'Actual Dates'!A4:AF726,21,),'Actual Dates'!#REF!,"")</f>
        <v>#REF!</v>
      </c>
      <c r="M575" s="73" t="e">
        <f>'Date Calcs'!#REF!</f>
        <v>#REF!</v>
      </c>
      <c r="N575" s="73" t="e">
        <f>IF(VLOOKUP(A575,'Actual Dates'!A4:AF726,27,),'Actual Dates'!#REF!,"")</f>
        <v>#REF!</v>
      </c>
      <c r="O575" s="74" t="e">
        <f t="shared" si="204"/>
        <v>#REF!</v>
      </c>
      <c r="P575" s="75" t="e">
        <f t="shared" si="205"/>
        <v>#REF!</v>
      </c>
      <c r="Q575" s="75" t="e">
        <f t="shared" si="206"/>
        <v>#REF!</v>
      </c>
      <c r="R575" s="132"/>
      <c r="S575" s="133"/>
    </row>
    <row r="576" spans="1:19" x14ac:dyDescent="0.25">
      <c r="A576" s="70" t="e">
        <f>'Date Calcs'!#REF!</f>
        <v>#REF!</v>
      </c>
      <c r="B576" s="71" t="e">
        <f>'Date Calcs'!#REF!</f>
        <v>#REF!</v>
      </c>
      <c r="C576" s="72" t="e">
        <f>'Date Calcs'!#REF!</f>
        <v>#REF!</v>
      </c>
      <c r="D576" s="73" t="e">
        <f t="shared" si="201"/>
        <v>#REF!</v>
      </c>
      <c r="E576" s="66">
        <v>44599</v>
      </c>
      <c r="F576" s="73" t="e">
        <f>'Date Calcs'!#REF!</f>
        <v>#REF!</v>
      </c>
      <c r="G576" s="73" t="e">
        <f>IF(VLOOKUP(A576,'Actual Dates'!A4:AF704,8,),'Actual Dates'!#REF!,"")</f>
        <v>#REF!</v>
      </c>
      <c r="H576" s="73" t="e">
        <f t="shared" si="202"/>
        <v>#REF!</v>
      </c>
      <c r="I576" s="73" t="e">
        <f>IF(VLOOKUP(A576,'Actual Dates'!A4:AF699,25,),'Actual Dates'!#REF!,"")</f>
        <v>#REF!</v>
      </c>
      <c r="J576" s="73" t="e">
        <f t="shared" si="203"/>
        <v>#REF!</v>
      </c>
      <c r="K576" s="73" t="e">
        <f>IF(VLOOKUP(A576,'Actual Dates'!A4:AF727,26,),'Actual Dates'!#REF!,"")</f>
        <v>#REF!</v>
      </c>
      <c r="L576" s="73" t="e">
        <f>IF(VLOOKUP(A576,'Actual Dates'!A4:AF727,21,),'Actual Dates'!#REF!,"")</f>
        <v>#REF!</v>
      </c>
      <c r="M576" s="73" t="e">
        <f>'Date Calcs'!#REF!</f>
        <v>#REF!</v>
      </c>
      <c r="N576" s="73" t="e">
        <f>IF(VLOOKUP(A576,'Actual Dates'!A4:AF727,27,),'Actual Dates'!#REF!,"")</f>
        <v>#REF!</v>
      </c>
      <c r="O576" s="74" t="e">
        <f t="shared" si="204"/>
        <v>#REF!</v>
      </c>
      <c r="P576" s="75" t="e">
        <f t="shared" si="205"/>
        <v>#REF!</v>
      </c>
      <c r="Q576" s="75" t="e">
        <f t="shared" si="206"/>
        <v>#REF!</v>
      </c>
      <c r="R576" s="132"/>
      <c r="S576" s="133"/>
    </row>
    <row r="577" spans="1:19" x14ac:dyDescent="0.25">
      <c r="A577" s="70" t="e">
        <f>'Date Calcs'!#REF!</f>
        <v>#REF!</v>
      </c>
      <c r="B577" s="71" t="e">
        <f>'Date Calcs'!#REF!</f>
        <v>#REF!</v>
      </c>
      <c r="C577" s="72" t="e">
        <f>'Date Calcs'!#REF!</f>
        <v>#REF!</v>
      </c>
      <c r="D577" s="73" t="e">
        <f t="shared" si="201"/>
        <v>#REF!</v>
      </c>
      <c r="E577" s="66">
        <v>44600</v>
      </c>
      <c r="F577" s="73" t="e">
        <f>'Date Calcs'!#REF!</f>
        <v>#REF!</v>
      </c>
      <c r="G577" s="73" t="e">
        <f>IF(VLOOKUP(A577,'Actual Dates'!A4:AF705,8,),'Actual Dates'!#REF!,"")</f>
        <v>#REF!</v>
      </c>
      <c r="H577" s="73" t="e">
        <f t="shared" si="202"/>
        <v>#REF!</v>
      </c>
      <c r="I577" s="73" t="e">
        <f>IF(VLOOKUP(A577,'Actual Dates'!A4:AF700,25,),'Actual Dates'!#REF!,"")</f>
        <v>#REF!</v>
      </c>
      <c r="J577" s="73" t="e">
        <f t="shared" si="203"/>
        <v>#REF!</v>
      </c>
      <c r="K577" s="73" t="e">
        <f>IF(VLOOKUP(A577,'Actual Dates'!A4:AF728,26,),'Actual Dates'!#REF!,"")</f>
        <v>#REF!</v>
      </c>
      <c r="L577" s="73" t="e">
        <f>IF(VLOOKUP(A577,'Actual Dates'!A4:AF728,21,),'Actual Dates'!#REF!,"")</f>
        <v>#REF!</v>
      </c>
      <c r="M577" s="73" t="e">
        <f>'Date Calcs'!#REF!</f>
        <v>#REF!</v>
      </c>
      <c r="N577" s="73" t="e">
        <f>IF(VLOOKUP(A577,'Actual Dates'!A4:AF728,27,),'Actual Dates'!#REF!,"")</f>
        <v>#REF!</v>
      </c>
      <c r="O577" s="74" t="e">
        <f t="shared" si="204"/>
        <v>#REF!</v>
      </c>
      <c r="P577" s="75" t="e">
        <f t="shared" si="205"/>
        <v>#REF!</v>
      </c>
      <c r="Q577" s="75" t="e">
        <f t="shared" si="206"/>
        <v>#REF!</v>
      </c>
      <c r="R577" s="132"/>
      <c r="S577" s="133"/>
    </row>
    <row r="578" spans="1:19" x14ac:dyDescent="0.25">
      <c r="A578" s="70" t="e">
        <f>'Date Calcs'!#REF!</f>
        <v>#REF!</v>
      </c>
      <c r="B578" s="71" t="e">
        <f>'Date Calcs'!#REF!</f>
        <v>#REF!</v>
      </c>
      <c r="C578" s="72" t="e">
        <f>'Date Calcs'!#REF!</f>
        <v>#REF!</v>
      </c>
      <c r="D578" s="73" t="e">
        <f t="shared" si="201"/>
        <v>#REF!</v>
      </c>
      <c r="E578" s="66">
        <v>44601</v>
      </c>
      <c r="F578" s="73" t="e">
        <f>'Date Calcs'!#REF!</f>
        <v>#REF!</v>
      </c>
      <c r="G578" s="73" t="e">
        <f>IF(VLOOKUP(A578,'Actual Dates'!A4:AF706,8,),'Actual Dates'!#REF!,"")</f>
        <v>#REF!</v>
      </c>
      <c r="H578" s="73" t="e">
        <f t="shared" si="202"/>
        <v>#REF!</v>
      </c>
      <c r="I578" s="73" t="e">
        <f>IF(VLOOKUP(A578,'Actual Dates'!A4:AF701,25,),'Actual Dates'!#REF!,"")</f>
        <v>#REF!</v>
      </c>
      <c r="J578" s="73" t="e">
        <f t="shared" si="203"/>
        <v>#REF!</v>
      </c>
      <c r="K578" s="73" t="e">
        <f>IF(VLOOKUP(A578,'Actual Dates'!A4:AF729,26,),'Actual Dates'!#REF!,"")</f>
        <v>#REF!</v>
      </c>
      <c r="L578" s="73" t="e">
        <f>IF(VLOOKUP(A578,'Actual Dates'!A4:AF729,21,),'Actual Dates'!#REF!,"")</f>
        <v>#REF!</v>
      </c>
      <c r="M578" s="73" t="e">
        <f>'Date Calcs'!#REF!</f>
        <v>#REF!</v>
      </c>
      <c r="N578" s="73" t="e">
        <f>IF(VLOOKUP(A578,'Actual Dates'!A4:AF729,27,),'Actual Dates'!#REF!,"")</f>
        <v>#REF!</v>
      </c>
      <c r="O578" s="74" t="e">
        <f t="shared" si="204"/>
        <v>#REF!</v>
      </c>
      <c r="P578" s="75" t="e">
        <f t="shared" si="205"/>
        <v>#REF!</v>
      </c>
      <c r="Q578" s="75" t="e">
        <f t="shared" si="206"/>
        <v>#REF!</v>
      </c>
      <c r="R578" s="132"/>
      <c r="S578" s="133"/>
    </row>
    <row r="579" spans="1:19" x14ac:dyDescent="0.25">
      <c r="A579" s="70" t="e">
        <f>'Date Calcs'!#REF!</f>
        <v>#REF!</v>
      </c>
      <c r="B579" s="71" t="e">
        <f>'Date Calcs'!#REF!</f>
        <v>#REF!</v>
      </c>
      <c r="C579" s="72" t="e">
        <f>'Date Calcs'!#REF!</f>
        <v>#REF!</v>
      </c>
      <c r="D579" s="73" t="e">
        <f t="shared" si="201"/>
        <v>#REF!</v>
      </c>
      <c r="E579" s="66">
        <v>44602</v>
      </c>
      <c r="F579" s="73" t="e">
        <f>'Date Calcs'!#REF!</f>
        <v>#REF!</v>
      </c>
      <c r="G579" s="73" t="e">
        <f>IF(VLOOKUP(A579,'Actual Dates'!A4:AF707,8,),'Actual Dates'!#REF!,"")</f>
        <v>#REF!</v>
      </c>
      <c r="H579" s="73" t="e">
        <f t="shared" si="202"/>
        <v>#REF!</v>
      </c>
      <c r="I579" s="73" t="e">
        <f>IF(VLOOKUP(A579,'Actual Dates'!A4:AF702,25,),'Actual Dates'!#REF!,"")</f>
        <v>#REF!</v>
      </c>
      <c r="J579" s="73" t="e">
        <f t="shared" si="203"/>
        <v>#REF!</v>
      </c>
      <c r="K579" s="73" t="e">
        <f>IF(VLOOKUP(A579,'Actual Dates'!A4:AF730,26,),'Actual Dates'!#REF!,"")</f>
        <v>#REF!</v>
      </c>
      <c r="L579" s="73" t="e">
        <f>IF(VLOOKUP(A579,'Actual Dates'!A4:AF730,21,),'Actual Dates'!#REF!,"")</f>
        <v>#REF!</v>
      </c>
      <c r="M579" s="73" t="e">
        <f>'Date Calcs'!#REF!</f>
        <v>#REF!</v>
      </c>
      <c r="N579" s="73" t="e">
        <f>IF(VLOOKUP(A579,'Actual Dates'!A4:AF730,27,),'Actual Dates'!#REF!,"")</f>
        <v>#REF!</v>
      </c>
      <c r="O579" s="74" t="e">
        <f t="shared" si="204"/>
        <v>#REF!</v>
      </c>
      <c r="P579" s="75" t="e">
        <f t="shared" si="205"/>
        <v>#REF!</v>
      </c>
      <c r="Q579" s="75" t="e">
        <f t="shared" si="206"/>
        <v>#REF!</v>
      </c>
      <c r="R579" s="132"/>
      <c r="S579" s="133"/>
    </row>
    <row r="580" spans="1:19" x14ac:dyDescent="0.25">
      <c r="A580" s="70" t="e">
        <f>'Date Calcs'!#REF!</f>
        <v>#REF!</v>
      </c>
      <c r="B580" s="71" t="e">
        <f>'Date Calcs'!#REF!</f>
        <v>#REF!</v>
      </c>
      <c r="C580" s="72" t="e">
        <f>'Date Calcs'!#REF!</f>
        <v>#REF!</v>
      </c>
      <c r="D580" s="73" t="e">
        <f t="shared" si="201"/>
        <v>#REF!</v>
      </c>
      <c r="E580" s="66">
        <v>44603</v>
      </c>
      <c r="F580" s="73" t="e">
        <f>'Date Calcs'!#REF!</f>
        <v>#REF!</v>
      </c>
      <c r="G580" s="73" t="e">
        <f>IF(VLOOKUP(A580,'Actual Dates'!A4:AF708,8,),'Actual Dates'!#REF!,"")</f>
        <v>#REF!</v>
      </c>
      <c r="H580" s="73" t="e">
        <f t="shared" si="202"/>
        <v>#REF!</v>
      </c>
      <c r="I580" s="73" t="e">
        <f>IF(VLOOKUP(A580,'Actual Dates'!A4:AF703,25,),'Actual Dates'!#REF!,"")</f>
        <v>#REF!</v>
      </c>
      <c r="J580" s="73" t="e">
        <f t="shared" si="203"/>
        <v>#REF!</v>
      </c>
      <c r="K580" s="73" t="e">
        <f>IF(VLOOKUP(A580,'Actual Dates'!A4:AF731,26,),'Actual Dates'!#REF!,"")</f>
        <v>#REF!</v>
      </c>
      <c r="L580" s="73" t="e">
        <f>IF(VLOOKUP(A580,'Actual Dates'!A4:AF731,21,),'Actual Dates'!#REF!,"")</f>
        <v>#REF!</v>
      </c>
      <c r="M580" s="73" t="e">
        <f>'Date Calcs'!#REF!</f>
        <v>#REF!</v>
      </c>
      <c r="N580" s="73" t="e">
        <f>IF(VLOOKUP(A580,'Actual Dates'!A4:AF731,27,),'Actual Dates'!#REF!,"")</f>
        <v>#REF!</v>
      </c>
      <c r="O580" s="74" t="e">
        <f t="shared" si="204"/>
        <v>#REF!</v>
      </c>
      <c r="P580" s="75" t="e">
        <f t="shared" si="205"/>
        <v>#REF!</v>
      </c>
      <c r="Q580" s="75" t="e">
        <f t="shared" si="206"/>
        <v>#REF!</v>
      </c>
      <c r="R580" s="132"/>
      <c r="S580" s="133"/>
    </row>
    <row r="581" spans="1:19" x14ac:dyDescent="0.25">
      <c r="A581" s="70" t="e">
        <f>'Date Calcs'!#REF!</f>
        <v>#REF!</v>
      </c>
      <c r="B581" s="71" t="e">
        <f>'Date Calcs'!#REF!</f>
        <v>#REF!</v>
      </c>
      <c r="C581" s="72" t="e">
        <f>'Date Calcs'!#REF!</f>
        <v>#REF!</v>
      </c>
      <c r="D581" s="73" t="e">
        <f t="shared" si="201"/>
        <v>#REF!</v>
      </c>
      <c r="E581" s="66">
        <v>44604</v>
      </c>
      <c r="F581" s="73" t="e">
        <f>'Date Calcs'!#REF!</f>
        <v>#REF!</v>
      </c>
      <c r="G581" s="73" t="e">
        <f>IF(VLOOKUP(A581,'Actual Dates'!A4:AF709,8,),'Actual Dates'!#REF!,"")</f>
        <v>#REF!</v>
      </c>
      <c r="H581" s="73" t="e">
        <f t="shared" si="202"/>
        <v>#REF!</v>
      </c>
      <c r="I581" s="73" t="e">
        <f>IF(VLOOKUP(A581,'Actual Dates'!A4:AF704,25,),'Actual Dates'!#REF!,"")</f>
        <v>#REF!</v>
      </c>
      <c r="J581" s="73" t="e">
        <f t="shared" si="203"/>
        <v>#REF!</v>
      </c>
      <c r="K581" s="73" t="e">
        <f>IF(VLOOKUP(A581,'Actual Dates'!A4:AF732,26,),'Actual Dates'!#REF!,"")</f>
        <v>#REF!</v>
      </c>
      <c r="L581" s="73" t="e">
        <f>IF(VLOOKUP(A581,'Actual Dates'!A4:AF732,21,),'Actual Dates'!#REF!,"")</f>
        <v>#REF!</v>
      </c>
      <c r="M581" s="73" t="e">
        <f>'Date Calcs'!#REF!</f>
        <v>#REF!</v>
      </c>
      <c r="N581" s="73" t="e">
        <f>IF(VLOOKUP(A581,'Actual Dates'!A4:AF732,27,),'Actual Dates'!#REF!,"")</f>
        <v>#REF!</v>
      </c>
      <c r="O581" s="74" t="e">
        <f t="shared" si="204"/>
        <v>#REF!</v>
      </c>
      <c r="P581" s="75" t="e">
        <f t="shared" si="205"/>
        <v>#REF!</v>
      </c>
      <c r="Q581" s="75" t="e">
        <f t="shared" si="206"/>
        <v>#REF!</v>
      </c>
      <c r="R581" s="132"/>
      <c r="S581" s="133"/>
    </row>
    <row r="582" spans="1:19" x14ac:dyDescent="0.25">
      <c r="A582" s="70" t="e">
        <f>'Date Calcs'!#REF!</f>
        <v>#REF!</v>
      </c>
      <c r="B582" s="71" t="e">
        <f>'Date Calcs'!#REF!</f>
        <v>#REF!</v>
      </c>
      <c r="C582" s="72" t="e">
        <f>'Date Calcs'!#REF!</f>
        <v>#REF!</v>
      </c>
      <c r="D582" s="73" t="e">
        <f t="shared" si="201"/>
        <v>#REF!</v>
      </c>
      <c r="E582" s="66">
        <v>44605</v>
      </c>
      <c r="F582" s="73" t="e">
        <f>'Date Calcs'!#REF!</f>
        <v>#REF!</v>
      </c>
      <c r="G582" s="73" t="e">
        <f>IF(VLOOKUP(A582,'Actual Dates'!A4:AF710,8,),'Actual Dates'!#REF!,"")</f>
        <v>#REF!</v>
      </c>
      <c r="H582" s="73" t="e">
        <f t="shared" si="202"/>
        <v>#REF!</v>
      </c>
      <c r="I582" s="73" t="e">
        <f>IF(VLOOKUP(A582,'Actual Dates'!A4:AF705,25,),'Actual Dates'!#REF!,"")</f>
        <v>#REF!</v>
      </c>
      <c r="J582" s="73" t="e">
        <f t="shared" si="203"/>
        <v>#REF!</v>
      </c>
      <c r="K582" s="73" t="e">
        <f>IF(VLOOKUP(A582,'Actual Dates'!A4:AF733,26,),'Actual Dates'!#REF!,"")</f>
        <v>#REF!</v>
      </c>
      <c r="L582" s="73" t="e">
        <f>IF(VLOOKUP(A582,'Actual Dates'!A4:AF733,21,),'Actual Dates'!#REF!,"")</f>
        <v>#REF!</v>
      </c>
      <c r="M582" s="73" t="e">
        <f>'Date Calcs'!#REF!</f>
        <v>#REF!</v>
      </c>
      <c r="N582" s="73" t="e">
        <f>IF(VLOOKUP(A582,'Actual Dates'!A4:AF733,27,),'Actual Dates'!#REF!,"")</f>
        <v>#REF!</v>
      </c>
      <c r="O582" s="74" t="e">
        <f t="shared" si="204"/>
        <v>#REF!</v>
      </c>
      <c r="P582" s="75" t="e">
        <f t="shared" si="205"/>
        <v>#REF!</v>
      </c>
      <c r="Q582" s="75" t="e">
        <f t="shared" si="206"/>
        <v>#REF!</v>
      </c>
      <c r="R582" s="132"/>
      <c r="S582" s="133"/>
    </row>
    <row r="583" spans="1:19" x14ac:dyDescent="0.25">
      <c r="A583" s="70" t="e">
        <f>'Date Calcs'!#REF!</f>
        <v>#REF!</v>
      </c>
      <c r="B583" s="71" t="e">
        <f>'Date Calcs'!#REF!</f>
        <v>#REF!</v>
      </c>
      <c r="C583" s="72" t="e">
        <f>'Date Calcs'!#REF!</f>
        <v>#REF!</v>
      </c>
      <c r="D583" s="73" t="e">
        <f t="shared" si="201"/>
        <v>#REF!</v>
      </c>
      <c r="E583" s="66">
        <v>44606</v>
      </c>
      <c r="F583" s="73" t="e">
        <f>'Date Calcs'!#REF!</f>
        <v>#REF!</v>
      </c>
      <c r="G583" s="73" t="e">
        <f>IF(VLOOKUP(A583,'Actual Dates'!A4:AF711,8,),'Actual Dates'!#REF!,"")</f>
        <v>#REF!</v>
      </c>
      <c r="H583" s="73" t="e">
        <f t="shared" si="202"/>
        <v>#REF!</v>
      </c>
      <c r="I583" s="73" t="e">
        <f>IF(VLOOKUP(A583,'Actual Dates'!A4:AF706,25,),'Actual Dates'!#REF!,"")</f>
        <v>#REF!</v>
      </c>
      <c r="J583" s="73" t="e">
        <f t="shared" si="203"/>
        <v>#REF!</v>
      </c>
      <c r="K583" s="73" t="e">
        <f>IF(VLOOKUP(A583,'Actual Dates'!A4:AF734,26,),'Actual Dates'!#REF!,"")</f>
        <v>#REF!</v>
      </c>
      <c r="L583" s="73" t="e">
        <f>IF(VLOOKUP(A583,'Actual Dates'!A4:AF734,21,),'Actual Dates'!#REF!,"")</f>
        <v>#REF!</v>
      </c>
      <c r="M583" s="73" t="e">
        <f>'Date Calcs'!#REF!</f>
        <v>#REF!</v>
      </c>
      <c r="N583" s="73" t="e">
        <f>IF(VLOOKUP(A583,'Actual Dates'!A4:AF734,27,),'Actual Dates'!#REF!,"")</f>
        <v>#REF!</v>
      </c>
      <c r="O583" s="74" t="e">
        <f t="shared" si="204"/>
        <v>#REF!</v>
      </c>
      <c r="P583" s="75" t="e">
        <f t="shared" si="205"/>
        <v>#REF!</v>
      </c>
      <c r="Q583" s="75" t="e">
        <f t="shared" si="206"/>
        <v>#REF!</v>
      </c>
      <c r="R583" s="132"/>
      <c r="S583" s="133"/>
    </row>
    <row r="584" spans="1:19" x14ac:dyDescent="0.25">
      <c r="A584" s="70" t="e">
        <f>'Date Calcs'!#REF!</f>
        <v>#REF!</v>
      </c>
      <c r="B584" s="71" t="e">
        <f>'Date Calcs'!#REF!</f>
        <v>#REF!</v>
      </c>
      <c r="C584" s="72" t="e">
        <f>'Date Calcs'!#REF!</f>
        <v>#REF!</v>
      </c>
      <c r="D584" s="73" t="e">
        <f t="shared" si="201"/>
        <v>#REF!</v>
      </c>
      <c r="E584" s="66">
        <v>44607</v>
      </c>
      <c r="F584" s="73" t="e">
        <f>'Date Calcs'!#REF!</f>
        <v>#REF!</v>
      </c>
      <c r="G584" s="73" t="e">
        <f>IF(VLOOKUP(A584,'Actual Dates'!A4:AF712,8,),'Actual Dates'!#REF!,"")</f>
        <v>#REF!</v>
      </c>
      <c r="H584" s="73" t="e">
        <f t="shared" si="202"/>
        <v>#REF!</v>
      </c>
      <c r="I584" s="73" t="e">
        <f>IF(VLOOKUP(A584,'Actual Dates'!A4:AF707,25,),'Actual Dates'!#REF!,"")</f>
        <v>#REF!</v>
      </c>
      <c r="J584" s="73" t="e">
        <f t="shared" si="203"/>
        <v>#REF!</v>
      </c>
      <c r="K584" s="73" t="e">
        <f>IF(VLOOKUP(A584,'Actual Dates'!A4:AF735,26,),'Actual Dates'!#REF!,"")</f>
        <v>#REF!</v>
      </c>
      <c r="L584" s="73" t="e">
        <f>IF(VLOOKUP(A584,'Actual Dates'!A4:AF735,21,),'Actual Dates'!#REF!,"")</f>
        <v>#REF!</v>
      </c>
      <c r="M584" s="73" t="e">
        <f>'Date Calcs'!#REF!</f>
        <v>#REF!</v>
      </c>
      <c r="N584" s="73" t="e">
        <f>IF(VLOOKUP(A584,'Actual Dates'!A4:AF735,27,),'Actual Dates'!#REF!,"")</f>
        <v>#REF!</v>
      </c>
      <c r="O584" s="74" t="e">
        <f t="shared" si="204"/>
        <v>#REF!</v>
      </c>
      <c r="P584" s="75" t="e">
        <f t="shared" si="205"/>
        <v>#REF!</v>
      </c>
      <c r="Q584" s="75" t="e">
        <f t="shared" si="206"/>
        <v>#REF!</v>
      </c>
      <c r="R584" s="132"/>
      <c r="S584" s="133"/>
    </row>
    <row r="585" spans="1:19" x14ac:dyDescent="0.25">
      <c r="A585" s="70" t="e">
        <f>'Date Calcs'!#REF!</f>
        <v>#REF!</v>
      </c>
      <c r="B585" s="71" t="e">
        <f>'Date Calcs'!#REF!</f>
        <v>#REF!</v>
      </c>
      <c r="C585" s="72" t="e">
        <f>'Date Calcs'!#REF!</f>
        <v>#REF!</v>
      </c>
      <c r="D585" s="73" t="e">
        <f t="shared" ref="D585:D648" si="207">WORKDAY(F585,-1,)</f>
        <v>#REF!</v>
      </c>
      <c r="E585" s="66">
        <v>44608</v>
      </c>
      <c r="F585" s="73" t="e">
        <f>'Date Calcs'!#REF!</f>
        <v>#REF!</v>
      </c>
      <c r="G585" s="73" t="e">
        <f>IF(VLOOKUP(A585,'Actual Dates'!A4:AF713,8,),'Actual Dates'!#REF!,"")</f>
        <v>#REF!</v>
      </c>
      <c r="H585" s="73" t="e">
        <f t="shared" ref="H585:H648" si="208">WORKDAY(L585,3,)</f>
        <v>#REF!</v>
      </c>
      <c r="I585" s="73" t="e">
        <f>IF(VLOOKUP(A585,'Actual Dates'!A4:AF708,25,),'Actual Dates'!#REF!,"")</f>
        <v>#REF!</v>
      </c>
      <c r="J585" s="73" t="e">
        <f t="shared" ref="J585:J648" si="209">WORKDAY(L585,4,)</f>
        <v>#REF!</v>
      </c>
      <c r="K585" s="73" t="e">
        <f>IF(VLOOKUP(A585,'Actual Dates'!A4:AF736,26,),'Actual Dates'!#REF!,"")</f>
        <v>#REF!</v>
      </c>
      <c r="L585" s="73" t="e">
        <f>IF(VLOOKUP(A585,'Actual Dates'!A4:AF736,21,),'Actual Dates'!#REF!,"")</f>
        <v>#REF!</v>
      </c>
      <c r="M585" s="73" t="e">
        <f>'Date Calcs'!#REF!</f>
        <v>#REF!</v>
      </c>
      <c r="N585" s="73" t="e">
        <f>IF(VLOOKUP(A585,'Actual Dates'!A4:AF736,27,),'Actual Dates'!#REF!,"")</f>
        <v>#REF!</v>
      </c>
      <c r="O585" s="74" t="e">
        <f t="shared" ref="O585:O648" si="210">N585-C585</f>
        <v>#REF!</v>
      </c>
      <c r="P585" s="75" t="e">
        <f t="shared" ref="P585:P648" si="211">F585-G585</f>
        <v>#REF!</v>
      </c>
      <c r="Q585" s="75" t="e">
        <f t="shared" ref="Q585:Q648" si="212">M585-N585</f>
        <v>#REF!</v>
      </c>
      <c r="R585" s="132"/>
      <c r="S585" s="133"/>
    </row>
    <row r="586" spans="1:19" x14ac:dyDescent="0.25">
      <c r="A586" s="70" t="e">
        <f>'Date Calcs'!#REF!</f>
        <v>#REF!</v>
      </c>
      <c r="B586" s="71" t="e">
        <f>'Date Calcs'!#REF!</f>
        <v>#REF!</v>
      </c>
      <c r="C586" s="72" t="e">
        <f>'Date Calcs'!#REF!</f>
        <v>#REF!</v>
      </c>
      <c r="D586" s="73" t="e">
        <f t="shared" si="207"/>
        <v>#REF!</v>
      </c>
      <c r="E586" s="66">
        <v>44609</v>
      </c>
      <c r="F586" s="73" t="e">
        <f>'Date Calcs'!#REF!</f>
        <v>#REF!</v>
      </c>
      <c r="G586" s="73" t="e">
        <f>IF(VLOOKUP(A586,'Actual Dates'!A4:AF714,8,),'Actual Dates'!#REF!,"")</f>
        <v>#REF!</v>
      </c>
      <c r="H586" s="73" t="e">
        <f t="shared" si="208"/>
        <v>#REF!</v>
      </c>
      <c r="I586" s="73" t="e">
        <f>IF(VLOOKUP(A586,'Actual Dates'!A4:AF709,25,),'Actual Dates'!#REF!,"")</f>
        <v>#REF!</v>
      </c>
      <c r="J586" s="73" t="e">
        <f t="shared" si="209"/>
        <v>#REF!</v>
      </c>
      <c r="K586" s="73" t="e">
        <f>IF(VLOOKUP(A586,'Actual Dates'!A4:AF737,26,),'Actual Dates'!#REF!,"")</f>
        <v>#REF!</v>
      </c>
      <c r="L586" s="73" t="e">
        <f>IF(VLOOKUP(A586,'Actual Dates'!A4:AF737,21,),'Actual Dates'!#REF!,"")</f>
        <v>#REF!</v>
      </c>
      <c r="M586" s="73" t="e">
        <f>'Date Calcs'!#REF!</f>
        <v>#REF!</v>
      </c>
      <c r="N586" s="73" t="e">
        <f>IF(VLOOKUP(A586,'Actual Dates'!A4:AF737,27,),'Actual Dates'!#REF!,"")</f>
        <v>#REF!</v>
      </c>
      <c r="O586" s="74" t="e">
        <f t="shared" si="210"/>
        <v>#REF!</v>
      </c>
      <c r="P586" s="75" t="e">
        <f t="shared" si="211"/>
        <v>#REF!</v>
      </c>
      <c r="Q586" s="75" t="e">
        <f t="shared" si="212"/>
        <v>#REF!</v>
      </c>
      <c r="R586" s="132"/>
      <c r="S586" s="133"/>
    </row>
    <row r="587" spans="1:19" x14ac:dyDescent="0.25">
      <c r="A587" s="70" t="e">
        <f>'Date Calcs'!#REF!</f>
        <v>#REF!</v>
      </c>
      <c r="B587" s="71" t="e">
        <f>'Date Calcs'!#REF!</f>
        <v>#REF!</v>
      </c>
      <c r="C587" s="72" t="e">
        <f>'Date Calcs'!#REF!</f>
        <v>#REF!</v>
      </c>
      <c r="D587" s="73" t="e">
        <f t="shared" si="207"/>
        <v>#REF!</v>
      </c>
      <c r="E587" s="66">
        <v>44610</v>
      </c>
      <c r="F587" s="73" t="e">
        <f>'Date Calcs'!#REF!</f>
        <v>#REF!</v>
      </c>
      <c r="G587" s="73" t="e">
        <f>IF(VLOOKUP(A587,'Actual Dates'!A4:AF715,8,),'Actual Dates'!#REF!,"")</f>
        <v>#REF!</v>
      </c>
      <c r="H587" s="73" t="e">
        <f t="shared" si="208"/>
        <v>#REF!</v>
      </c>
      <c r="I587" s="73" t="e">
        <f>IF(VLOOKUP(A587,'Actual Dates'!A4:AF710,25,),'Actual Dates'!#REF!,"")</f>
        <v>#REF!</v>
      </c>
      <c r="J587" s="73" t="e">
        <f t="shared" si="209"/>
        <v>#REF!</v>
      </c>
      <c r="K587" s="73" t="e">
        <f>IF(VLOOKUP(A587,'Actual Dates'!A4:AF738,26,),'Actual Dates'!#REF!,"")</f>
        <v>#REF!</v>
      </c>
      <c r="L587" s="73" t="e">
        <f>IF(VLOOKUP(A587,'Actual Dates'!A4:AF738,21,),'Actual Dates'!#REF!,"")</f>
        <v>#REF!</v>
      </c>
      <c r="M587" s="73" t="e">
        <f>'Date Calcs'!#REF!</f>
        <v>#REF!</v>
      </c>
      <c r="N587" s="73" t="e">
        <f>IF(VLOOKUP(A587,'Actual Dates'!A4:AF738,27,),'Actual Dates'!#REF!,"")</f>
        <v>#REF!</v>
      </c>
      <c r="O587" s="74" t="e">
        <f t="shared" si="210"/>
        <v>#REF!</v>
      </c>
      <c r="P587" s="75" t="e">
        <f t="shared" si="211"/>
        <v>#REF!</v>
      </c>
      <c r="Q587" s="75" t="e">
        <f t="shared" si="212"/>
        <v>#REF!</v>
      </c>
      <c r="R587" s="132"/>
      <c r="S587" s="133"/>
    </row>
    <row r="588" spans="1:19" x14ac:dyDescent="0.25">
      <c r="A588" s="70" t="e">
        <f>'Date Calcs'!#REF!</f>
        <v>#REF!</v>
      </c>
      <c r="B588" s="71" t="e">
        <f>'Date Calcs'!#REF!</f>
        <v>#REF!</v>
      </c>
      <c r="C588" s="72" t="e">
        <f>'Date Calcs'!#REF!</f>
        <v>#REF!</v>
      </c>
      <c r="D588" s="73" t="e">
        <f t="shared" si="207"/>
        <v>#REF!</v>
      </c>
      <c r="E588" s="66">
        <v>44611</v>
      </c>
      <c r="F588" s="73" t="e">
        <f>'Date Calcs'!#REF!</f>
        <v>#REF!</v>
      </c>
      <c r="G588" s="73" t="e">
        <f>IF(VLOOKUP(A588,'Actual Dates'!A4:AF716,8,),'Actual Dates'!#REF!,"")</f>
        <v>#REF!</v>
      </c>
      <c r="H588" s="73" t="e">
        <f t="shared" si="208"/>
        <v>#REF!</v>
      </c>
      <c r="I588" s="73" t="e">
        <f>IF(VLOOKUP(A588,'Actual Dates'!A4:AF711,25,),'Actual Dates'!#REF!,"")</f>
        <v>#REF!</v>
      </c>
      <c r="J588" s="73" t="e">
        <f t="shared" si="209"/>
        <v>#REF!</v>
      </c>
      <c r="K588" s="73" t="e">
        <f>IF(VLOOKUP(A588,'Actual Dates'!A4:AF739,26,),'Actual Dates'!#REF!,"")</f>
        <v>#REF!</v>
      </c>
      <c r="L588" s="73" t="e">
        <f>IF(VLOOKUP(A588,'Actual Dates'!A4:AF739,21,),'Actual Dates'!#REF!,"")</f>
        <v>#REF!</v>
      </c>
      <c r="M588" s="73" t="e">
        <f>'Date Calcs'!#REF!</f>
        <v>#REF!</v>
      </c>
      <c r="N588" s="73" t="e">
        <f>IF(VLOOKUP(A588,'Actual Dates'!A4:AF739,27,),'Actual Dates'!#REF!,"")</f>
        <v>#REF!</v>
      </c>
      <c r="O588" s="74" t="e">
        <f t="shared" si="210"/>
        <v>#REF!</v>
      </c>
      <c r="P588" s="75" t="e">
        <f t="shared" si="211"/>
        <v>#REF!</v>
      </c>
      <c r="Q588" s="75" t="e">
        <f t="shared" si="212"/>
        <v>#REF!</v>
      </c>
      <c r="R588" s="132"/>
      <c r="S588" s="133"/>
    </row>
    <row r="589" spans="1:19" x14ac:dyDescent="0.25">
      <c r="A589" s="70" t="e">
        <f>'Date Calcs'!#REF!</f>
        <v>#REF!</v>
      </c>
      <c r="B589" s="71" t="e">
        <f>'Date Calcs'!#REF!</f>
        <v>#REF!</v>
      </c>
      <c r="C589" s="72" t="e">
        <f>'Date Calcs'!#REF!</f>
        <v>#REF!</v>
      </c>
      <c r="D589" s="73" t="e">
        <f t="shared" si="207"/>
        <v>#REF!</v>
      </c>
      <c r="E589" s="66">
        <v>44612</v>
      </c>
      <c r="F589" s="73" t="e">
        <f>'Date Calcs'!#REF!</f>
        <v>#REF!</v>
      </c>
      <c r="G589" s="73" t="e">
        <f>IF(VLOOKUP(A589,'Actual Dates'!A4:AF717,8,),'Actual Dates'!#REF!,"")</f>
        <v>#REF!</v>
      </c>
      <c r="H589" s="73" t="e">
        <f t="shared" si="208"/>
        <v>#REF!</v>
      </c>
      <c r="I589" s="73" t="e">
        <f>IF(VLOOKUP(A589,'Actual Dates'!A4:AF712,25,),'Actual Dates'!#REF!,"")</f>
        <v>#REF!</v>
      </c>
      <c r="J589" s="73" t="e">
        <f t="shared" si="209"/>
        <v>#REF!</v>
      </c>
      <c r="K589" s="73" t="e">
        <f>IF(VLOOKUP(A589,'Actual Dates'!A4:AF740,26,),'Actual Dates'!#REF!,"")</f>
        <v>#REF!</v>
      </c>
      <c r="L589" s="73" t="e">
        <f>IF(VLOOKUP(A589,'Actual Dates'!A4:AF740,21,),'Actual Dates'!#REF!,"")</f>
        <v>#REF!</v>
      </c>
      <c r="M589" s="73" t="e">
        <f>'Date Calcs'!#REF!</f>
        <v>#REF!</v>
      </c>
      <c r="N589" s="73" t="e">
        <f>IF(VLOOKUP(A589,'Actual Dates'!A4:AF740,27,),'Actual Dates'!#REF!,"")</f>
        <v>#REF!</v>
      </c>
      <c r="O589" s="74" t="e">
        <f t="shared" si="210"/>
        <v>#REF!</v>
      </c>
      <c r="P589" s="75" t="e">
        <f t="shared" si="211"/>
        <v>#REF!</v>
      </c>
      <c r="Q589" s="75" t="e">
        <f t="shared" si="212"/>
        <v>#REF!</v>
      </c>
      <c r="R589" s="132"/>
      <c r="S589" s="133"/>
    </row>
    <row r="590" spans="1:19" x14ac:dyDescent="0.25">
      <c r="A590" s="70" t="e">
        <f>'Date Calcs'!#REF!</f>
        <v>#REF!</v>
      </c>
      <c r="B590" s="71" t="e">
        <f>'Date Calcs'!#REF!</f>
        <v>#REF!</v>
      </c>
      <c r="C590" s="72" t="e">
        <f>'Date Calcs'!#REF!</f>
        <v>#REF!</v>
      </c>
      <c r="D590" s="73" t="e">
        <f t="shared" si="207"/>
        <v>#REF!</v>
      </c>
      <c r="E590" s="66">
        <v>44613</v>
      </c>
      <c r="F590" s="73" t="e">
        <f>'Date Calcs'!#REF!</f>
        <v>#REF!</v>
      </c>
      <c r="G590" s="73" t="e">
        <f>IF(VLOOKUP(A590,'Actual Dates'!A4:AF718,8,),'Actual Dates'!#REF!,"")</f>
        <v>#REF!</v>
      </c>
      <c r="H590" s="73" t="e">
        <f t="shared" si="208"/>
        <v>#REF!</v>
      </c>
      <c r="I590" s="73" t="e">
        <f>IF(VLOOKUP(A590,'Actual Dates'!A4:AF713,25,),'Actual Dates'!#REF!,"")</f>
        <v>#REF!</v>
      </c>
      <c r="J590" s="73" t="e">
        <f t="shared" si="209"/>
        <v>#REF!</v>
      </c>
      <c r="K590" s="73" t="e">
        <f>IF(VLOOKUP(A590,'Actual Dates'!A4:AF741,26,),'Actual Dates'!#REF!,"")</f>
        <v>#REF!</v>
      </c>
      <c r="L590" s="73" t="e">
        <f>IF(VLOOKUP(A590,'Actual Dates'!A4:AF741,21,),'Actual Dates'!#REF!,"")</f>
        <v>#REF!</v>
      </c>
      <c r="M590" s="73" t="e">
        <f>'Date Calcs'!#REF!</f>
        <v>#REF!</v>
      </c>
      <c r="N590" s="73" t="e">
        <f>IF(VLOOKUP(A590,'Actual Dates'!A4:AF741,27,),'Actual Dates'!#REF!,"")</f>
        <v>#REF!</v>
      </c>
      <c r="O590" s="74" t="e">
        <f t="shared" si="210"/>
        <v>#REF!</v>
      </c>
      <c r="P590" s="75" t="e">
        <f t="shared" si="211"/>
        <v>#REF!</v>
      </c>
      <c r="Q590" s="75" t="e">
        <f t="shared" si="212"/>
        <v>#REF!</v>
      </c>
      <c r="R590" s="132"/>
      <c r="S590" s="133"/>
    </row>
    <row r="591" spans="1:19" x14ac:dyDescent="0.25">
      <c r="A591" s="70" t="e">
        <f>'Date Calcs'!#REF!</f>
        <v>#REF!</v>
      </c>
      <c r="B591" s="71" t="e">
        <f>'Date Calcs'!#REF!</f>
        <v>#REF!</v>
      </c>
      <c r="C591" s="72" t="e">
        <f>'Date Calcs'!#REF!</f>
        <v>#REF!</v>
      </c>
      <c r="D591" s="73" t="e">
        <f t="shared" si="207"/>
        <v>#REF!</v>
      </c>
      <c r="E591" s="66">
        <v>44614</v>
      </c>
      <c r="F591" s="73" t="e">
        <f>'Date Calcs'!#REF!</f>
        <v>#REF!</v>
      </c>
      <c r="G591" s="73" t="e">
        <f>IF(VLOOKUP(A591,'Actual Dates'!A4:AF719,8,),'Actual Dates'!#REF!,"")</f>
        <v>#REF!</v>
      </c>
      <c r="H591" s="73" t="e">
        <f t="shared" si="208"/>
        <v>#REF!</v>
      </c>
      <c r="I591" s="73" t="e">
        <f>IF(VLOOKUP(A591,'Actual Dates'!A4:AF714,25,),'Actual Dates'!#REF!,"")</f>
        <v>#REF!</v>
      </c>
      <c r="J591" s="73" t="e">
        <f t="shared" si="209"/>
        <v>#REF!</v>
      </c>
      <c r="K591" s="73" t="e">
        <f>IF(VLOOKUP(A591,'Actual Dates'!A4:AF742,26,),'Actual Dates'!#REF!,"")</f>
        <v>#REF!</v>
      </c>
      <c r="L591" s="73" t="e">
        <f>IF(VLOOKUP(A591,'Actual Dates'!A4:AF742,21,),'Actual Dates'!#REF!,"")</f>
        <v>#REF!</v>
      </c>
      <c r="M591" s="73" t="e">
        <f>'Date Calcs'!#REF!</f>
        <v>#REF!</v>
      </c>
      <c r="N591" s="73" t="e">
        <f>IF(VLOOKUP(A591,'Actual Dates'!A4:AF742,27,),'Actual Dates'!#REF!,"")</f>
        <v>#REF!</v>
      </c>
      <c r="O591" s="74" t="e">
        <f t="shared" si="210"/>
        <v>#REF!</v>
      </c>
      <c r="P591" s="75" t="e">
        <f t="shared" si="211"/>
        <v>#REF!</v>
      </c>
      <c r="Q591" s="75" t="e">
        <f t="shared" si="212"/>
        <v>#REF!</v>
      </c>
      <c r="R591" s="132"/>
      <c r="S591" s="133"/>
    </row>
    <row r="592" spans="1:19" x14ac:dyDescent="0.25">
      <c r="A592" s="70" t="e">
        <f>'Date Calcs'!#REF!</f>
        <v>#REF!</v>
      </c>
      <c r="B592" s="71" t="e">
        <f>'Date Calcs'!#REF!</f>
        <v>#REF!</v>
      </c>
      <c r="C592" s="72" t="e">
        <f>'Date Calcs'!#REF!</f>
        <v>#REF!</v>
      </c>
      <c r="D592" s="73" t="e">
        <f t="shared" si="207"/>
        <v>#REF!</v>
      </c>
      <c r="E592" s="66">
        <v>44615</v>
      </c>
      <c r="F592" s="73" t="e">
        <f>'Date Calcs'!#REF!</f>
        <v>#REF!</v>
      </c>
      <c r="G592" s="73" t="e">
        <f>IF(VLOOKUP(A592,'Actual Dates'!A4:AF720,8,),'Actual Dates'!#REF!,"")</f>
        <v>#REF!</v>
      </c>
      <c r="H592" s="73" t="e">
        <f t="shared" si="208"/>
        <v>#REF!</v>
      </c>
      <c r="I592" s="73" t="e">
        <f>IF(VLOOKUP(A592,'Actual Dates'!A4:AF715,25,),'Actual Dates'!#REF!,"")</f>
        <v>#REF!</v>
      </c>
      <c r="J592" s="73" t="e">
        <f t="shared" si="209"/>
        <v>#REF!</v>
      </c>
      <c r="K592" s="73" t="e">
        <f>IF(VLOOKUP(A592,'Actual Dates'!A4:AF743,26,),'Actual Dates'!#REF!,"")</f>
        <v>#REF!</v>
      </c>
      <c r="L592" s="73" t="e">
        <f>IF(VLOOKUP(A592,'Actual Dates'!A4:AF743,21,),'Actual Dates'!#REF!,"")</f>
        <v>#REF!</v>
      </c>
      <c r="M592" s="73" t="e">
        <f>'Date Calcs'!#REF!</f>
        <v>#REF!</v>
      </c>
      <c r="N592" s="73" t="e">
        <f>IF(VLOOKUP(A592,'Actual Dates'!A4:AF743,27,),'Actual Dates'!#REF!,"")</f>
        <v>#REF!</v>
      </c>
      <c r="O592" s="74" t="e">
        <f t="shared" si="210"/>
        <v>#REF!</v>
      </c>
      <c r="P592" s="75" t="e">
        <f t="shared" si="211"/>
        <v>#REF!</v>
      </c>
      <c r="Q592" s="75" t="e">
        <f t="shared" si="212"/>
        <v>#REF!</v>
      </c>
      <c r="R592" s="132"/>
      <c r="S592" s="133"/>
    </row>
    <row r="593" spans="1:19" x14ac:dyDescent="0.25">
      <c r="A593" s="70" t="e">
        <f>'Date Calcs'!#REF!</f>
        <v>#REF!</v>
      </c>
      <c r="B593" s="71" t="e">
        <f>'Date Calcs'!#REF!</f>
        <v>#REF!</v>
      </c>
      <c r="C593" s="72" t="e">
        <f>'Date Calcs'!#REF!</f>
        <v>#REF!</v>
      </c>
      <c r="D593" s="73" t="e">
        <f t="shared" si="207"/>
        <v>#REF!</v>
      </c>
      <c r="E593" s="66">
        <v>44616</v>
      </c>
      <c r="F593" s="73" t="e">
        <f>'Date Calcs'!#REF!</f>
        <v>#REF!</v>
      </c>
      <c r="G593" s="73" t="e">
        <f>IF(VLOOKUP(A593,'Actual Dates'!A4:AF721,8,),'Actual Dates'!#REF!,"")</f>
        <v>#REF!</v>
      </c>
      <c r="H593" s="73" t="e">
        <f t="shared" si="208"/>
        <v>#REF!</v>
      </c>
      <c r="I593" s="73" t="e">
        <f>IF(VLOOKUP(A593,'Actual Dates'!A4:AF716,25,),'Actual Dates'!#REF!,"")</f>
        <v>#REF!</v>
      </c>
      <c r="J593" s="73" t="e">
        <f t="shared" si="209"/>
        <v>#REF!</v>
      </c>
      <c r="K593" s="73" t="e">
        <f>IF(VLOOKUP(A593,'Actual Dates'!A4:AF744,26,),'Actual Dates'!#REF!,"")</f>
        <v>#REF!</v>
      </c>
      <c r="L593" s="73" t="e">
        <f>IF(VLOOKUP(A593,'Actual Dates'!A4:AF744,21,),'Actual Dates'!#REF!,"")</f>
        <v>#REF!</v>
      </c>
      <c r="M593" s="73" t="e">
        <f>'Date Calcs'!#REF!</f>
        <v>#REF!</v>
      </c>
      <c r="N593" s="73" t="e">
        <f>IF(VLOOKUP(A593,'Actual Dates'!A4:AF744,27,),'Actual Dates'!#REF!,"")</f>
        <v>#REF!</v>
      </c>
      <c r="O593" s="74" t="e">
        <f t="shared" si="210"/>
        <v>#REF!</v>
      </c>
      <c r="P593" s="75" t="e">
        <f t="shared" si="211"/>
        <v>#REF!</v>
      </c>
      <c r="Q593" s="75" t="e">
        <f t="shared" si="212"/>
        <v>#REF!</v>
      </c>
      <c r="R593" s="132"/>
      <c r="S593" s="133"/>
    </row>
    <row r="594" spans="1:19" x14ac:dyDescent="0.25">
      <c r="A594" s="70" t="e">
        <f>'Date Calcs'!#REF!</f>
        <v>#REF!</v>
      </c>
      <c r="B594" s="71" t="e">
        <f>'Date Calcs'!#REF!</f>
        <v>#REF!</v>
      </c>
      <c r="C594" s="72" t="e">
        <f>'Date Calcs'!#REF!</f>
        <v>#REF!</v>
      </c>
      <c r="D594" s="73" t="e">
        <f t="shared" si="207"/>
        <v>#REF!</v>
      </c>
      <c r="E594" s="66">
        <v>44617</v>
      </c>
      <c r="F594" s="73" t="e">
        <f>'Date Calcs'!#REF!</f>
        <v>#REF!</v>
      </c>
      <c r="G594" s="73" t="e">
        <f>IF(VLOOKUP(A594,'Actual Dates'!A4:AF722,8,),'Actual Dates'!#REF!,"")</f>
        <v>#REF!</v>
      </c>
      <c r="H594" s="73" t="e">
        <f t="shared" si="208"/>
        <v>#REF!</v>
      </c>
      <c r="I594" s="73" t="e">
        <f>IF(VLOOKUP(A594,'Actual Dates'!A4:AF717,25,),'Actual Dates'!#REF!,"")</f>
        <v>#REF!</v>
      </c>
      <c r="J594" s="73" t="e">
        <f t="shared" si="209"/>
        <v>#REF!</v>
      </c>
      <c r="K594" s="73" t="e">
        <f>IF(VLOOKUP(A594,'Actual Dates'!A4:AF745,26,),'Actual Dates'!#REF!,"")</f>
        <v>#REF!</v>
      </c>
      <c r="L594" s="73" t="e">
        <f>IF(VLOOKUP(A594,'Actual Dates'!A4:AF745,21,),'Actual Dates'!#REF!,"")</f>
        <v>#REF!</v>
      </c>
      <c r="M594" s="73" t="e">
        <f>'Date Calcs'!#REF!</f>
        <v>#REF!</v>
      </c>
      <c r="N594" s="73" t="e">
        <f>IF(VLOOKUP(A594,'Actual Dates'!A4:AF745,27,),'Actual Dates'!#REF!,"")</f>
        <v>#REF!</v>
      </c>
      <c r="O594" s="74" t="e">
        <f t="shared" si="210"/>
        <v>#REF!</v>
      </c>
      <c r="P594" s="75" t="e">
        <f t="shared" si="211"/>
        <v>#REF!</v>
      </c>
      <c r="Q594" s="75" t="e">
        <f t="shared" si="212"/>
        <v>#REF!</v>
      </c>
      <c r="R594" s="132"/>
      <c r="S594" s="133"/>
    </row>
    <row r="595" spans="1:19" x14ac:dyDescent="0.25">
      <c r="A595" s="70" t="e">
        <f>'Date Calcs'!#REF!</f>
        <v>#REF!</v>
      </c>
      <c r="B595" s="71" t="e">
        <f>'Date Calcs'!#REF!</f>
        <v>#REF!</v>
      </c>
      <c r="C595" s="72" t="e">
        <f>'Date Calcs'!#REF!</f>
        <v>#REF!</v>
      </c>
      <c r="D595" s="73" t="e">
        <f t="shared" si="207"/>
        <v>#REF!</v>
      </c>
      <c r="E595" s="66">
        <v>44618</v>
      </c>
      <c r="F595" s="73" t="e">
        <f>'Date Calcs'!#REF!</f>
        <v>#REF!</v>
      </c>
      <c r="G595" s="73" t="e">
        <f>IF(VLOOKUP(A595,'Actual Dates'!A4:AF723,8,),'Actual Dates'!#REF!,"")</f>
        <v>#REF!</v>
      </c>
      <c r="H595" s="73" t="e">
        <f t="shared" si="208"/>
        <v>#REF!</v>
      </c>
      <c r="I595" s="73" t="e">
        <f>IF(VLOOKUP(A595,'Actual Dates'!A4:AF718,25,),'Actual Dates'!#REF!,"")</f>
        <v>#REF!</v>
      </c>
      <c r="J595" s="73" t="e">
        <f t="shared" si="209"/>
        <v>#REF!</v>
      </c>
      <c r="K595" s="73" t="e">
        <f>IF(VLOOKUP(A595,'Actual Dates'!A4:AF746,26,),'Actual Dates'!#REF!,"")</f>
        <v>#REF!</v>
      </c>
      <c r="L595" s="73" t="e">
        <f>IF(VLOOKUP(A595,'Actual Dates'!A4:AF746,21,),'Actual Dates'!#REF!,"")</f>
        <v>#REF!</v>
      </c>
      <c r="M595" s="73" t="e">
        <f>'Date Calcs'!#REF!</f>
        <v>#REF!</v>
      </c>
      <c r="N595" s="73" t="e">
        <f>IF(VLOOKUP(A595,'Actual Dates'!A4:AF746,27,),'Actual Dates'!#REF!,"")</f>
        <v>#REF!</v>
      </c>
      <c r="O595" s="74" t="e">
        <f t="shared" si="210"/>
        <v>#REF!</v>
      </c>
      <c r="P595" s="75" t="e">
        <f t="shared" si="211"/>
        <v>#REF!</v>
      </c>
      <c r="Q595" s="75" t="e">
        <f t="shared" si="212"/>
        <v>#REF!</v>
      </c>
      <c r="R595" s="132"/>
      <c r="S595" s="133"/>
    </row>
    <row r="596" spans="1:19" x14ac:dyDescent="0.25">
      <c r="A596" s="70" t="e">
        <f>'Date Calcs'!#REF!</f>
        <v>#REF!</v>
      </c>
      <c r="B596" s="71" t="e">
        <f>'Date Calcs'!#REF!</f>
        <v>#REF!</v>
      </c>
      <c r="C596" s="72" t="e">
        <f>'Date Calcs'!#REF!</f>
        <v>#REF!</v>
      </c>
      <c r="D596" s="73" t="e">
        <f t="shared" si="207"/>
        <v>#REF!</v>
      </c>
      <c r="E596" s="66">
        <v>44619</v>
      </c>
      <c r="F596" s="73" t="e">
        <f>'Date Calcs'!#REF!</f>
        <v>#REF!</v>
      </c>
      <c r="G596" s="73" t="e">
        <f>IF(VLOOKUP(A596,'Actual Dates'!A4:AF724,8,),'Actual Dates'!#REF!,"")</f>
        <v>#REF!</v>
      </c>
      <c r="H596" s="73" t="e">
        <f t="shared" si="208"/>
        <v>#REF!</v>
      </c>
      <c r="I596" s="73" t="e">
        <f>IF(VLOOKUP(A596,'Actual Dates'!A4:AF719,25,),'Actual Dates'!#REF!,"")</f>
        <v>#REF!</v>
      </c>
      <c r="J596" s="73" t="e">
        <f t="shared" si="209"/>
        <v>#REF!</v>
      </c>
      <c r="K596" s="73" t="e">
        <f>IF(VLOOKUP(A596,'Actual Dates'!A4:AF747,26,),'Actual Dates'!#REF!,"")</f>
        <v>#REF!</v>
      </c>
      <c r="L596" s="73" t="e">
        <f>IF(VLOOKUP(A596,'Actual Dates'!A4:AF747,21,),'Actual Dates'!#REF!,"")</f>
        <v>#REF!</v>
      </c>
      <c r="M596" s="73" t="e">
        <f>'Date Calcs'!#REF!</f>
        <v>#REF!</v>
      </c>
      <c r="N596" s="73" t="e">
        <f>IF(VLOOKUP(A596,'Actual Dates'!A4:AF747,27,),'Actual Dates'!#REF!,"")</f>
        <v>#REF!</v>
      </c>
      <c r="O596" s="74" t="e">
        <f t="shared" si="210"/>
        <v>#REF!</v>
      </c>
      <c r="P596" s="75" t="e">
        <f t="shared" si="211"/>
        <v>#REF!</v>
      </c>
      <c r="Q596" s="75" t="e">
        <f t="shared" si="212"/>
        <v>#REF!</v>
      </c>
      <c r="R596" s="132"/>
      <c r="S596" s="133"/>
    </row>
    <row r="597" spans="1:19" x14ac:dyDescent="0.25">
      <c r="A597" s="70" t="e">
        <f>'Date Calcs'!#REF!</f>
        <v>#REF!</v>
      </c>
      <c r="B597" s="71" t="e">
        <f>'Date Calcs'!#REF!</f>
        <v>#REF!</v>
      </c>
      <c r="C597" s="72" t="e">
        <f>'Date Calcs'!#REF!</f>
        <v>#REF!</v>
      </c>
      <c r="D597" s="73" t="e">
        <f t="shared" si="207"/>
        <v>#REF!</v>
      </c>
      <c r="E597" s="66">
        <v>44620</v>
      </c>
      <c r="F597" s="73" t="e">
        <f>'Date Calcs'!#REF!</f>
        <v>#REF!</v>
      </c>
      <c r="G597" s="73" t="e">
        <f>IF(VLOOKUP(A597,'Actual Dates'!A4:AF725,8,),'Actual Dates'!#REF!,"")</f>
        <v>#REF!</v>
      </c>
      <c r="H597" s="73" t="e">
        <f t="shared" si="208"/>
        <v>#REF!</v>
      </c>
      <c r="I597" s="73" t="e">
        <f>IF(VLOOKUP(A597,'Actual Dates'!A4:AF720,25,),'Actual Dates'!#REF!,"")</f>
        <v>#REF!</v>
      </c>
      <c r="J597" s="73" t="e">
        <f t="shared" si="209"/>
        <v>#REF!</v>
      </c>
      <c r="K597" s="73" t="e">
        <f>IF(VLOOKUP(A597,'Actual Dates'!A4:AF748,26,),'Actual Dates'!#REF!,"")</f>
        <v>#REF!</v>
      </c>
      <c r="L597" s="73" t="e">
        <f>IF(VLOOKUP(A597,'Actual Dates'!A4:AF748,21,),'Actual Dates'!#REF!,"")</f>
        <v>#REF!</v>
      </c>
      <c r="M597" s="73" t="e">
        <f>'Date Calcs'!#REF!</f>
        <v>#REF!</v>
      </c>
      <c r="N597" s="73" t="e">
        <f>IF(VLOOKUP(A597,'Actual Dates'!A4:AF748,27,),'Actual Dates'!#REF!,"")</f>
        <v>#REF!</v>
      </c>
      <c r="O597" s="74" t="e">
        <f t="shared" si="210"/>
        <v>#REF!</v>
      </c>
      <c r="P597" s="75" t="e">
        <f t="shared" si="211"/>
        <v>#REF!</v>
      </c>
      <c r="Q597" s="75" t="e">
        <f t="shared" si="212"/>
        <v>#REF!</v>
      </c>
      <c r="R597" s="132"/>
      <c r="S597" s="133"/>
    </row>
    <row r="598" spans="1:19" x14ac:dyDescent="0.25">
      <c r="A598" s="70" t="e">
        <f>'Date Calcs'!#REF!</f>
        <v>#REF!</v>
      </c>
      <c r="B598" s="71" t="e">
        <f>'Date Calcs'!#REF!</f>
        <v>#REF!</v>
      </c>
      <c r="C598" s="72" t="e">
        <f>'Date Calcs'!#REF!</f>
        <v>#REF!</v>
      </c>
      <c r="D598" s="73" t="e">
        <f t="shared" si="207"/>
        <v>#REF!</v>
      </c>
      <c r="E598" s="66">
        <v>44621</v>
      </c>
      <c r="F598" s="73" t="e">
        <f>'Date Calcs'!#REF!</f>
        <v>#REF!</v>
      </c>
      <c r="G598" s="73" t="e">
        <f>IF(VLOOKUP(A598,'Actual Dates'!A4:AF726,8,),'Actual Dates'!#REF!,"")</f>
        <v>#REF!</v>
      </c>
      <c r="H598" s="73" t="e">
        <f t="shared" si="208"/>
        <v>#REF!</v>
      </c>
      <c r="I598" s="73" t="e">
        <f>IF(VLOOKUP(A598,'Actual Dates'!A4:AF721,25,),'Actual Dates'!#REF!,"")</f>
        <v>#REF!</v>
      </c>
      <c r="J598" s="73" t="e">
        <f t="shared" si="209"/>
        <v>#REF!</v>
      </c>
      <c r="K598" s="73" t="e">
        <f>IF(VLOOKUP(A598,'Actual Dates'!A4:AF749,26,),'Actual Dates'!#REF!,"")</f>
        <v>#REF!</v>
      </c>
      <c r="L598" s="73" t="e">
        <f>IF(VLOOKUP(A598,'Actual Dates'!A4:AF749,21,),'Actual Dates'!#REF!,"")</f>
        <v>#REF!</v>
      </c>
      <c r="M598" s="73" t="e">
        <f>'Date Calcs'!#REF!</f>
        <v>#REF!</v>
      </c>
      <c r="N598" s="73" t="e">
        <f>IF(VLOOKUP(A598,'Actual Dates'!A4:AF749,27,),'Actual Dates'!#REF!,"")</f>
        <v>#REF!</v>
      </c>
      <c r="O598" s="74" t="e">
        <f t="shared" si="210"/>
        <v>#REF!</v>
      </c>
      <c r="P598" s="75" t="e">
        <f t="shared" si="211"/>
        <v>#REF!</v>
      </c>
      <c r="Q598" s="75" t="e">
        <f t="shared" si="212"/>
        <v>#REF!</v>
      </c>
      <c r="R598" s="132"/>
      <c r="S598" s="133"/>
    </row>
    <row r="599" spans="1:19" x14ac:dyDescent="0.25">
      <c r="A599" s="70" t="e">
        <f>'Date Calcs'!#REF!</f>
        <v>#REF!</v>
      </c>
      <c r="B599" s="71" t="e">
        <f>'Date Calcs'!#REF!</f>
        <v>#REF!</v>
      </c>
      <c r="C599" s="72" t="e">
        <f>'Date Calcs'!#REF!</f>
        <v>#REF!</v>
      </c>
      <c r="D599" s="73" t="e">
        <f t="shared" si="207"/>
        <v>#REF!</v>
      </c>
      <c r="E599" s="66">
        <v>44622</v>
      </c>
      <c r="F599" s="73" t="e">
        <f>'Date Calcs'!#REF!</f>
        <v>#REF!</v>
      </c>
      <c r="G599" s="73" t="e">
        <f>IF(VLOOKUP(A599,'Actual Dates'!A4:AF727,8,),'Actual Dates'!#REF!,"")</f>
        <v>#REF!</v>
      </c>
      <c r="H599" s="73" t="e">
        <f t="shared" si="208"/>
        <v>#REF!</v>
      </c>
      <c r="I599" s="73" t="e">
        <f>IF(VLOOKUP(A599,'Actual Dates'!A4:AF722,25,),'Actual Dates'!#REF!,"")</f>
        <v>#REF!</v>
      </c>
      <c r="J599" s="73" t="e">
        <f t="shared" si="209"/>
        <v>#REF!</v>
      </c>
      <c r="K599" s="73" t="e">
        <f>IF(VLOOKUP(A599,'Actual Dates'!A4:AF750,26,),'Actual Dates'!#REF!,"")</f>
        <v>#REF!</v>
      </c>
      <c r="L599" s="73" t="e">
        <f>IF(VLOOKUP(A599,'Actual Dates'!A4:AF750,21,),'Actual Dates'!#REF!,"")</f>
        <v>#REF!</v>
      </c>
      <c r="M599" s="73" t="e">
        <f>'Date Calcs'!#REF!</f>
        <v>#REF!</v>
      </c>
      <c r="N599" s="73" t="e">
        <f>IF(VLOOKUP(A599,'Actual Dates'!A4:AF750,27,),'Actual Dates'!#REF!,"")</f>
        <v>#REF!</v>
      </c>
      <c r="O599" s="74" t="e">
        <f t="shared" si="210"/>
        <v>#REF!</v>
      </c>
      <c r="P599" s="75" t="e">
        <f t="shared" si="211"/>
        <v>#REF!</v>
      </c>
      <c r="Q599" s="75" t="e">
        <f t="shared" si="212"/>
        <v>#REF!</v>
      </c>
      <c r="R599" s="132"/>
      <c r="S599" s="133"/>
    </row>
    <row r="600" spans="1:19" x14ac:dyDescent="0.25">
      <c r="A600" s="70" t="e">
        <f>'Date Calcs'!#REF!</f>
        <v>#REF!</v>
      </c>
      <c r="B600" s="71" t="e">
        <f>'Date Calcs'!#REF!</f>
        <v>#REF!</v>
      </c>
      <c r="C600" s="72" t="e">
        <f>'Date Calcs'!#REF!</f>
        <v>#REF!</v>
      </c>
      <c r="D600" s="73" t="e">
        <f t="shared" si="207"/>
        <v>#REF!</v>
      </c>
      <c r="E600" s="66">
        <v>44623</v>
      </c>
      <c r="F600" s="73" t="e">
        <f>'Date Calcs'!#REF!</f>
        <v>#REF!</v>
      </c>
      <c r="G600" s="73" t="e">
        <f>IF(VLOOKUP(A600,'Actual Dates'!A4:AF728,8,),'Actual Dates'!#REF!,"")</f>
        <v>#REF!</v>
      </c>
      <c r="H600" s="73" t="e">
        <f t="shared" si="208"/>
        <v>#REF!</v>
      </c>
      <c r="I600" s="73" t="e">
        <f>IF(VLOOKUP(A600,'Actual Dates'!A4:AF723,25,),'Actual Dates'!#REF!,"")</f>
        <v>#REF!</v>
      </c>
      <c r="J600" s="73" t="e">
        <f t="shared" si="209"/>
        <v>#REF!</v>
      </c>
      <c r="K600" s="73" t="e">
        <f>IF(VLOOKUP(A600,'Actual Dates'!A4:AF751,26,),'Actual Dates'!#REF!,"")</f>
        <v>#REF!</v>
      </c>
      <c r="L600" s="73" t="e">
        <f>IF(VLOOKUP(A600,'Actual Dates'!A4:AF751,21,),'Actual Dates'!#REF!,"")</f>
        <v>#REF!</v>
      </c>
      <c r="M600" s="73" t="e">
        <f>'Date Calcs'!#REF!</f>
        <v>#REF!</v>
      </c>
      <c r="N600" s="73" t="e">
        <f>IF(VLOOKUP(A600,'Actual Dates'!A4:AF751,27,),'Actual Dates'!#REF!,"")</f>
        <v>#REF!</v>
      </c>
      <c r="O600" s="74" t="e">
        <f t="shared" si="210"/>
        <v>#REF!</v>
      </c>
      <c r="P600" s="75" t="e">
        <f t="shared" si="211"/>
        <v>#REF!</v>
      </c>
      <c r="Q600" s="75" t="e">
        <f t="shared" si="212"/>
        <v>#REF!</v>
      </c>
      <c r="R600" s="132"/>
      <c r="S600" s="133"/>
    </row>
    <row r="601" spans="1:19" x14ac:dyDescent="0.25">
      <c r="A601" s="70" t="e">
        <f>'Date Calcs'!#REF!</f>
        <v>#REF!</v>
      </c>
      <c r="B601" s="71" t="e">
        <f>'Date Calcs'!#REF!</f>
        <v>#REF!</v>
      </c>
      <c r="C601" s="72" t="e">
        <f>'Date Calcs'!#REF!</f>
        <v>#REF!</v>
      </c>
      <c r="D601" s="73" t="e">
        <f t="shared" si="207"/>
        <v>#REF!</v>
      </c>
      <c r="E601" s="66">
        <v>44624</v>
      </c>
      <c r="F601" s="73" t="e">
        <f>'Date Calcs'!#REF!</f>
        <v>#REF!</v>
      </c>
      <c r="G601" s="73" t="e">
        <f>IF(VLOOKUP(A601,'Actual Dates'!A4:AF729,8,),'Actual Dates'!#REF!,"")</f>
        <v>#REF!</v>
      </c>
      <c r="H601" s="73" t="e">
        <f t="shared" si="208"/>
        <v>#REF!</v>
      </c>
      <c r="I601" s="73" t="e">
        <f>IF(VLOOKUP(A601,'Actual Dates'!A4:AF724,25,),'Actual Dates'!#REF!,"")</f>
        <v>#REF!</v>
      </c>
      <c r="J601" s="73" t="e">
        <f t="shared" si="209"/>
        <v>#REF!</v>
      </c>
      <c r="K601" s="73" t="e">
        <f>IF(VLOOKUP(A601,'Actual Dates'!A4:AF752,26,),'Actual Dates'!#REF!,"")</f>
        <v>#REF!</v>
      </c>
      <c r="L601" s="73" t="e">
        <f>IF(VLOOKUP(A601,'Actual Dates'!A4:AF752,21,),'Actual Dates'!#REF!,"")</f>
        <v>#REF!</v>
      </c>
      <c r="M601" s="73" t="e">
        <f>'Date Calcs'!#REF!</f>
        <v>#REF!</v>
      </c>
      <c r="N601" s="73" t="e">
        <f>IF(VLOOKUP(A601,'Actual Dates'!A4:AF752,27,),'Actual Dates'!#REF!,"")</f>
        <v>#REF!</v>
      </c>
      <c r="O601" s="74" t="e">
        <f t="shared" si="210"/>
        <v>#REF!</v>
      </c>
      <c r="P601" s="75" t="e">
        <f t="shared" si="211"/>
        <v>#REF!</v>
      </c>
      <c r="Q601" s="75" t="e">
        <f t="shared" si="212"/>
        <v>#REF!</v>
      </c>
      <c r="R601" s="132"/>
      <c r="S601" s="133"/>
    </row>
    <row r="602" spans="1:19" x14ac:dyDescent="0.25">
      <c r="A602" s="70" t="e">
        <f>'Date Calcs'!#REF!</f>
        <v>#REF!</v>
      </c>
      <c r="B602" s="71" t="e">
        <f>'Date Calcs'!#REF!</f>
        <v>#REF!</v>
      </c>
      <c r="C602" s="72" t="e">
        <f>'Date Calcs'!#REF!</f>
        <v>#REF!</v>
      </c>
      <c r="D602" s="73" t="e">
        <f t="shared" si="207"/>
        <v>#REF!</v>
      </c>
      <c r="E602" s="66">
        <v>44625</v>
      </c>
      <c r="F602" s="73" t="e">
        <f>'Date Calcs'!#REF!</f>
        <v>#REF!</v>
      </c>
      <c r="G602" s="73" t="e">
        <f>IF(VLOOKUP(A602,'Actual Dates'!A4:AF730,8,),'Actual Dates'!#REF!,"")</f>
        <v>#REF!</v>
      </c>
      <c r="H602" s="73" t="e">
        <f t="shared" si="208"/>
        <v>#REF!</v>
      </c>
      <c r="I602" s="73" t="e">
        <f>IF(VLOOKUP(A602,'Actual Dates'!A4:AF725,25,),'Actual Dates'!#REF!,"")</f>
        <v>#REF!</v>
      </c>
      <c r="J602" s="73" t="e">
        <f t="shared" si="209"/>
        <v>#REF!</v>
      </c>
      <c r="K602" s="73" t="e">
        <f>IF(VLOOKUP(A602,'Actual Dates'!A4:AF753,26,),'Actual Dates'!#REF!,"")</f>
        <v>#REF!</v>
      </c>
      <c r="L602" s="73" t="e">
        <f>IF(VLOOKUP(A602,'Actual Dates'!A4:AF753,21,),'Actual Dates'!#REF!,"")</f>
        <v>#REF!</v>
      </c>
      <c r="M602" s="73" t="e">
        <f>'Date Calcs'!#REF!</f>
        <v>#REF!</v>
      </c>
      <c r="N602" s="73" t="e">
        <f>IF(VLOOKUP(A602,'Actual Dates'!A4:AF753,27,),'Actual Dates'!#REF!,"")</f>
        <v>#REF!</v>
      </c>
      <c r="O602" s="74" t="e">
        <f t="shared" si="210"/>
        <v>#REF!</v>
      </c>
      <c r="P602" s="75" t="e">
        <f t="shared" si="211"/>
        <v>#REF!</v>
      </c>
      <c r="Q602" s="75" t="e">
        <f t="shared" si="212"/>
        <v>#REF!</v>
      </c>
      <c r="R602" s="132"/>
      <c r="S602" s="133"/>
    </row>
    <row r="603" spans="1:19" x14ac:dyDescent="0.25">
      <c r="A603" s="70" t="e">
        <f>'Date Calcs'!#REF!</f>
        <v>#REF!</v>
      </c>
      <c r="B603" s="71" t="e">
        <f>'Date Calcs'!#REF!</f>
        <v>#REF!</v>
      </c>
      <c r="C603" s="72" t="e">
        <f>'Date Calcs'!#REF!</f>
        <v>#REF!</v>
      </c>
      <c r="D603" s="73" t="e">
        <f t="shared" si="207"/>
        <v>#REF!</v>
      </c>
      <c r="E603" s="66">
        <v>44626</v>
      </c>
      <c r="F603" s="73" t="e">
        <f>'Date Calcs'!#REF!</f>
        <v>#REF!</v>
      </c>
      <c r="G603" s="73" t="e">
        <f>IF(VLOOKUP(A603,'Actual Dates'!A4:AF731,8,),'Actual Dates'!#REF!,"")</f>
        <v>#REF!</v>
      </c>
      <c r="H603" s="73" t="e">
        <f t="shared" si="208"/>
        <v>#REF!</v>
      </c>
      <c r="I603" s="73" t="e">
        <f>IF(VLOOKUP(A603,'Actual Dates'!A4:AF726,25,),'Actual Dates'!#REF!,"")</f>
        <v>#REF!</v>
      </c>
      <c r="J603" s="73" t="e">
        <f t="shared" si="209"/>
        <v>#REF!</v>
      </c>
      <c r="K603" s="73" t="e">
        <f>IF(VLOOKUP(A603,'Actual Dates'!A4:AF754,26,),'Actual Dates'!#REF!,"")</f>
        <v>#REF!</v>
      </c>
      <c r="L603" s="73" t="e">
        <f>IF(VLOOKUP(A603,'Actual Dates'!A4:AF754,21,),'Actual Dates'!#REF!,"")</f>
        <v>#REF!</v>
      </c>
      <c r="M603" s="73" t="e">
        <f>'Date Calcs'!#REF!</f>
        <v>#REF!</v>
      </c>
      <c r="N603" s="73" t="e">
        <f>IF(VLOOKUP(A603,'Actual Dates'!A4:AF754,27,),'Actual Dates'!#REF!,"")</f>
        <v>#REF!</v>
      </c>
      <c r="O603" s="74" t="e">
        <f t="shared" si="210"/>
        <v>#REF!</v>
      </c>
      <c r="P603" s="75" t="e">
        <f t="shared" si="211"/>
        <v>#REF!</v>
      </c>
      <c r="Q603" s="75" t="e">
        <f t="shared" si="212"/>
        <v>#REF!</v>
      </c>
      <c r="R603" s="132"/>
      <c r="S603" s="133"/>
    </row>
    <row r="604" spans="1:19" x14ac:dyDescent="0.25">
      <c r="A604" s="70" t="e">
        <f>'Date Calcs'!#REF!</f>
        <v>#REF!</v>
      </c>
      <c r="B604" s="71" t="e">
        <f>'Date Calcs'!#REF!</f>
        <v>#REF!</v>
      </c>
      <c r="C604" s="72" t="e">
        <f>'Date Calcs'!#REF!</f>
        <v>#REF!</v>
      </c>
      <c r="D604" s="73" t="e">
        <f t="shared" si="207"/>
        <v>#REF!</v>
      </c>
      <c r="E604" s="66">
        <v>44627</v>
      </c>
      <c r="F604" s="73" t="e">
        <f>'Date Calcs'!#REF!</f>
        <v>#REF!</v>
      </c>
      <c r="G604" s="73" t="e">
        <f>IF(VLOOKUP(A604,'Actual Dates'!A4:AF732,8,),'Actual Dates'!#REF!,"")</f>
        <v>#REF!</v>
      </c>
      <c r="H604" s="73" t="e">
        <f t="shared" si="208"/>
        <v>#REF!</v>
      </c>
      <c r="I604" s="73" t="e">
        <f>IF(VLOOKUP(A604,'Actual Dates'!A4:AF727,25,),'Actual Dates'!#REF!,"")</f>
        <v>#REF!</v>
      </c>
      <c r="J604" s="73" t="e">
        <f t="shared" si="209"/>
        <v>#REF!</v>
      </c>
      <c r="K604" s="73" t="e">
        <f>IF(VLOOKUP(A604,'Actual Dates'!A4:AF755,26,),'Actual Dates'!#REF!,"")</f>
        <v>#REF!</v>
      </c>
      <c r="L604" s="73" t="e">
        <f>IF(VLOOKUP(A604,'Actual Dates'!A4:AF755,21,),'Actual Dates'!#REF!,"")</f>
        <v>#REF!</v>
      </c>
      <c r="M604" s="73" t="e">
        <f>'Date Calcs'!#REF!</f>
        <v>#REF!</v>
      </c>
      <c r="N604" s="73" t="e">
        <f>IF(VLOOKUP(A604,'Actual Dates'!A4:AF755,27,),'Actual Dates'!#REF!,"")</f>
        <v>#REF!</v>
      </c>
      <c r="O604" s="74" t="e">
        <f t="shared" si="210"/>
        <v>#REF!</v>
      </c>
      <c r="P604" s="75" t="e">
        <f t="shared" si="211"/>
        <v>#REF!</v>
      </c>
      <c r="Q604" s="75" t="e">
        <f t="shared" si="212"/>
        <v>#REF!</v>
      </c>
      <c r="R604" s="132"/>
      <c r="S604" s="133"/>
    </row>
    <row r="605" spans="1:19" x14ac:dyDescent="0.25">
      <c r="A605" s="70" t="e">
        <f>'Date Calcs'!#REF!</f>
        <v>#REF!</v>
      </c>
      <c r="B605" s="71" t="e">
        <f>'Date Calcs'!#REF!</f>
        <v>#REF!</v>
      </c>
      <c r="C605" s="72" t="e">
        <f>'Date Calcs'!#REF!</f>
        <v>#REF!</v>
      </c>
      <c r="D605" s="73" t="e">
        <f t="shared" si="207"/>
        <v>#REF!</v>
      </c>
      <c r="E605" s="66">
        <v>44628</v>
      </c>
      <c r="F605" s="73" t="e">
        <f>'Date Calcs'!#REF!</f>
        <v>#REF!</v>
      </c>
      <c r="G605" s="73" t="e">
        <f>IF(VLOOKUP(A605,'Actual Dates'!A4:AF733,8,),'Actual Dates'!#REF!,"")</f>
        <v>#REF!</v>
      </c>
      <c r="H605" s="73" t="e">
        <f t="shared" si="208"/>
        <v>#REF!</v>
      </c>
      <c r="I605" s="73" t="e">
        <f>IF(VLOOKUP(A605,'Actual Dates'!A4:AF728,25,),'Actual Dates'!#REF!,"")</f>
        <v>#REF!</v>
      </c>
      <c r="J605" s="73" t="e">
        <f t="shared" si="209"/>
        <v>#REF!</v>
      </c>
      <c r="K605" s="73" t="e">
        <f>IF(VLOOKUP(A605,'Actual Dates'!A4:AF756,26,),'Actual Dates'!#REF!,"")</f>
        <v>#REF!</v>
      </c>
      <c r="L605" s="73" t="e">
        <f>IF(VLOOKUP(A605,'Actual Dates'!A4:AF756,21,),'Actual Dates'!#REF!,"")</f>
        <v>#REF!</v>
      </c>
      <c r="M605" s="73" t="e">
        <f>'Date Calcs'!#REF!</f>
        <v>#REF!</v>
      </c>
      <c r="N605" s="73" t="e">
        <f>IF(VLOOKUP(A605,'Actual Dates'!A4:AF756,27,),'Actual Dates'!#REF!,"")</f>
        <v>#REF!</v>
      </c>
      <c r="O605" s="74" t="e">
        <f t="shared" si="210"/>
        <v>#REF!</v>
      </c>
      <c r="P605" s="75" t="e">
        <f t="shared" si="211"/>
        <v>#REF!</v>
      </c>
      <c r="Q605" s="75" t="e">
        <f t="shared" si="212"/>
        <v>#REF!</v>
      </c>
      <c r="R605" s="132"/>
      <c r="S605" s="133"/>
    </row>
    <row r="606" spans="1:19" x14ac:dyDescent="0.25">
      <c r="A606" s="70" t="e">
        <f>'Date Calcs'!#REF!</f>
        <v>#REF!</v>
      </c>
      <c r="B606" s="71" t="e">
        <f>'Date Calcs'!#REF!</f>
        <v>#REF!</v>
      </c>
      <c r="C606" s="72" t="e">
        <f>'Date Calcs'!#REF!</f>
        <v>#REF!</v>
      </c>
      <c r="D606" s="73" t="e">
        <f t="shared" si="207"/>
        <v>#REF!</v>
      </c>
      <c r="E606" s="66">
        <v>44629</v>
      </c>
      <c r="F606" s="73" t="e">
        <f>'Date Calcs'!#REF!</f>
        <v>#REF!</v>
      </c>
      <c r="G606" s="73" t="e">
        <f>IF(VLOOKUP(A606,'Actual Dates'!A4:AF734,8,),'Actual Dates'!#REF!,"")</f>
        <v>#REF!</v>
      </c>
      <c r="H606" s="73" t="e">
        <f t="shared" si="208"/>
        <v>#REF!</v>
      </c>
      <c r="I606" s="73" t="e">
        <f>IF(VLOOKUP(A606,'Actual Dates'!A4:AF729,25,),'Actual Dates'!#REF!,"")</f>
        <v>#REF!</v>
      </c>
      <c r="J606" s="73" t="e">
        <f t="shared" si="209"/>
        <v>#REF!</v>
      </c>
      <c r="K606" s="73" t="e">
        <f>IF(VLOOKUP(A606,'Actual Dates'!A4:AF757,26,),'Actual Dates'!#REF!,"")</f>
        <v>#REF!</v>
      </c>
      <c r="L606" s="73" t="e">
        <f>IF(VLOOKUP(A606,'Actual Dates'!A4:AF757,21,),'Actual Dates'!#REF!,"")</f>
        <v>#REF!</v>
      </c>
      <c r="M606" s="73" t="e">
        <f>'Date Calcs'!#REF!</f>
        <v>#REF!</v>
      </c>
      <c r="N606" s="73" t="e">
        <f>IF(VLOOKUP(A606,'Actual Dates'!A4:AF757,27,),'Actual Dates'!#REF!,"")</f>
        <v>#REF!</v>
      </c>
      <c r="O606" s="74" t="e">
        <f t="shared" si="210"/>
        <v>#REF!</v>
      </c>
      <c r="P606" s="75" t="e">
        <f t="shared" si="211"/>
        <v>#REF!</v>
      </c>
      <c r="Q606" s="75" t="e">
        <f t="shared" si="212"/>
        <v>#REF!</v>
      </c>
      <c r="R606" s="132"/>
      <c r="S606" s="133"/>
    </row>
    <row r="607" spans="1:19" x14ac:dyDescent="0.25">
      <c r="A607" s="70" t="e">
        <f>'Date Calcs'!#REF!</f>
        <v>#REF!</v>
      </c>
      <c r="B607" s="71" t="e">
        <f>'Date Calcs'!#REF!</f>
        <v>#REF!</v>
      </c>
      <c r="C607" s="72" t="e">
        <f>'Date Calcs'!#REF!</f>
        <v>#REF!</v>
      </c>
      <c r="D607" s="73" t="e">
        <f t="shared" si="207"/>
        <v>#REF!</v>
      </c>
      <c r="E607" s="66">
        <v>44630</v>
      </c>
      <c r="F607" s="73" t="e">
        <f>'Date Calcs'!#REF!</f>
        <v>#REF!</v>
      </c>
      <c r="G607" s="73" t="e">
        <f>IF(VLOOKUP(A607,'Actual Dates'!A4:AF735,8,),'Actual Dates'!#REF!,"")</f>
        <v>#REF!</v>
      </c>
      <c r="H607" s="73" t="e">
        <f t="shared" si="208"/>
        <v>#REF!</v>
      </c>
      <c r="I607" s="73" t="e">
        <f>IF(VLOOKUP(A607,'Actual Dates'!A4:AF730,25,),'Actual Dates'!#REF!,"")</f>
        <v>#REF!</v>
      </c>
      <c r="J607" s="73" t="e">
        <f t="shared" si="209"/>
        <v>#REF!</v>
      </c>
      <c r="K607" s="73" t="e">
        <f>IF(VLOOKUP(A607,'Actual Dates'!A4:AF758,26,),'Actual Dates'!#REF!,"")</f>
        <v>#REF!</v>
      </c>
      <c r="L607" s="73" t="e">
        <f>IF(VLOOKUP(A607,'Actual Dates'!A4:AF758,21,),'Actual Dates'!#REF!,"")</f>
        <v>#REF!</v>
      </c>
      <c r="M607" s="73" t="e">
        <f>'Date Calcs'!#REF!</f>
        <v>#REF!</v>
      </c>
      <c r="N607" s="73" t="e">
        <f>IF(VLOOKUP(A607,'Actual Dates'!A4:AF758,27,),'Actual Dates'!#REF!,"")</f>
        <v>#REF!</v>
      </c>
      <c r="O607" s="74" t="e">
        <f t="shared" si="210"/>
        <v>#REF!</v>
      </c>
      <c r="P607" s="75" t="e">
        <f t="shared" si="211"/>
        <v>#REF!</v>
      </c>
      <c r="Q607" s="75" t="e">
        <f t="shared" si="212"/>
        <v>#REF!</v>
      </c>
      <c r="R607" s="132"/>
      <c r="S607" s="133"/>
    </row>
    <row r="608" spans="1:19" x14ac:dyDescent="0.25">
      <c r="A608" s="70" t="e">
        <f>'Date Calcs'!#REF!</f>
        <v>#REF!</v>
      </c>
      <c r="B608" s="71" t="e">
        <f>'Date Calcs'!#REF!</f>
        <v>#REF!</v>
      </c>
      <c r="C608" s="72" t="e">
        <f>'Date Calcs'!#REF!</f>
        <v>#REF!</v>
      </c>
      <c r="D608" s="73" t="e">
        <f t="shared" si="207"/>
        <v>#REF!</v>
      </c>
      <c r="E608" s="66">
        <v>44631</v>
      </c>
      <c r="F608" s="73" t="e">
        <f>'Date Calcs'!#REF!</f>
        <v>#REF!</v>
      </c>
      <c r="G608" s="73" t="e">
        <f>IF(VLOOKUP(A608,'Actual Dates'!A4:AF736,8,),'Actual Dates'!#REF!,"")</f>
        <v>#REF!</v>
      </c>
      <c r="H608" s="73" t="e">
        <f t="shared" si="208"/>
        <v>#REF!</v>
      </c>
      <c r="I608" s="73" t="e">
        <f>IF(VLOOKUP(A608,'Actual Dates'!A4:AF731,25,),'Actual Dates'!#REF!,"")</f>
        <v>#REF!</v>
      </c>
      <c r="J608" s="73" t="e">
        <f t="shared" si="209"/>
        <v>#REF!</v>
      </c>
      <c r="K608" s="73" t="e">
        <f>IF(VLOOKUP(A608,'Actual Dates'!A4:AF759,26,),'Actual Dates'!#REF!,"")</f>
        <v>#REF!</v>
      </c>
      <c r="L608" s="73" t="e">
        <f>IF(VLOOKUP(A608,'Actual Dates'!A4:AF759,21,),'Actual Dates'!#REF!,"")</f>
        <v>#REF!</v>
      </c>
      <c r="M608" s="73" t="e">
        <f>'Date Calcs'!#REF!</f>
        <v>#REF!</v>
      </c>
      <c r="N608" s="73" t="e">
        <f>IF(VLOOKUP(A608,'Actual Dates'!A4:AF759,27,),'Actual Dates'!#REF!,"")</f>
        <v>#REF!</v>
      </c>
      <c r="O608" s="74" t="e">
        <f t="shared" si="210"/>
        <v>#REF!</v>
      </c>
      <c r="P608" s="75" t="e">
        <f t="shared" si="211"/>
        <v>#REF!</v>
      </c>
      <c r="Q608" s="75" t="e">
        <f t="shared" si="212"/>
        <v>#REF!</v>
      </c>
      <c r="R608" s="132"/>
      <c r="S608" s="133"/>
    </row>
    <row r="609" spans="1:19" x14ac:dyDescent="0.25">
      <c r="A609" s="70" t="e">
        <f>'Date Calcs'!#REF!</f>
        <v>#REF!</v>
      </c>
      <c r="B609" s="71" t="e">
        <f>'Date Calcs'!#REF!</f>
        <v>#REF!</v>
      </c>
      <c r="C609" s="72" t="e">
        <f>'Date Calcs'!#REF!</f>
        <v>#REF!</v>
      </c>
      <c r="D609" s="73" t="e">
        <f t="shared" si="207"/>
        <v>#REF!</v>
      </c>
      <c r="E609" s="66">
        <v>44632</v>
      </c>
      <c r="F609" s="73" t="e">
        <f>'Date Calcs'!#REF!</f>
        <v>#REF!</v>
      </c>
      <c r="G609" s="73" t="e">
        <f>IF(VLOOKUP(A609,'Actual Dates'!A4:AF737,8,),'Actual Dates'!#REF!,"")</f>
        <v>#REF!</v>
      </c>
      <c r="H609" s="73" t="e">
        <f t="shared" si="208"/>
        <v>#REF!</v>
      </c>
      <c r="I609" s="73" t="e">
        <f>IF(VLOOKUP(A609,'Actual Dates'!A4:AF732,25,),'Actual Dates'!#REF!,"")</f>
        <v>#REF!</v>
      </c>
      <c r="J609" s="73" t="e">
        <f t="shared" si="209"/>
        <v>#REF!</v>
      </c>
      <c r="K609" s="73" t="e">
        <f>IF(VLOOKUP(A609,'Actual Dates'!A4:AF760,26,),'Actual Dates'!#REF!,"")</f>
        <v>#REF!</v>
      </c>
      <c r="L609" s="73" t="e">
        <f>IF(VLOOKUP(A609,'Actual Dates'!A4:AF760,21,),'Actual Dates'!#REF!,"")</f>
        <v>#REF!</v>
      </c>
      <c r="M609" s="73" t="e">
        <f>'Date Calcs'!#REF!</f>
        <v>#REF!</v>
      </c>
      <c r="N609" s="73" t="e">
        <f>IF(VLOOKUP(A609,'Actual Dates'!A4:AF760,27,),'Actual Dates'!#REF!,"")</f>
        <v>#REF!</v>
      </c>
      <c r="O609" s="74" t="e">
        <f t="shared" si="210"/>
        <v>#REF!</v>
      </c>
      <c r="P609" s="75" t="e">
        <f t="shared" si="211"/>
        <v>#REF!</v>
      </c>
      <c r="Q609" s="75" t="e">
        <f t="shared" si="212"/>
        <v>#REF!</v>
      </c>
      <c r="R609" s="132"/>
      <c r="S609" s="133"/>
    </row>
    <row r="610" spans="1:19" x14ac:dyDescent="0.25">
      <c r="A610" s="70" t="e">
        <f>'Date Calcs'!#REF!</f>
        <v>#REF!</v>
      </c>
      <c r="B610" s="71" t="e">
        <f>'Date Calcs'!#REF!</f>
        <v>#REF!</v>
      </c>
      <c r="C610" s="72" t="e">
        <f>'Date Calcs'!#REF!</f>
        <v>#REF!</v>
      </c>
      <c r="D610" s="73" t="e">
        <f t="shared" si="207"/>
        <v>#REF!</v>
      </c>
      <c r="E610" s="66">
        <v>44633</v>
      </c>
      <c r="F610" s="73" t="e">
        <f>'Date Calcs'!#REF!</f>
        <v>#REF!</v>
      </c>
      <c r="G610" s="73" t="e">
        <f>IF(VLOOKUP(A610,'Actual Dates'!A4:AF738,8,),'Actual Dates'!#REF!,"")</f>
        <v>#REF!</v>
      </c>
      <c r="H610" s="73" t="e">
        <f t="shared" si="208"/>
        <v>#REF!</v>
      </c>
      <c r="I610" s="73" t="e">
        <f>IF(VLOOKUP(A610,'Actual Dates'!A4:AF733,25,),'Actual Dates'!#REF!,"")</f>
        <v>#REF!</v>
      </c>
      <c r="J610" s="73" t="e">
        <f t="shared" si="209"/>
        <v>#REF!</v>
      </c>
      <c r="K610" s="73" t="e">
        <f>IF(VLOOKUP(A610,'Actual Dates'!A4:AF761,26,),'Actual Dates'!#REF!,"")</f>
        <v>#REF!</v>
      </c>
      <c r="L610" s="73" t="e">
        <f>IF(VLOOKUP(A610,'Actual Dates'!A4:AF761,21,),'Actual Dates'!#REF!,"")</f>
        <v>#REF!</v>
      </c>
      <c r="M610" s="73" t="e">
        <f>'Date Calcs'!#REF!</f>
        <v>#REF!</v>
      </c>
      <c r="N610" s="73" t="e">
        <f>IF(VLOOKUP(A610,'Actual Dates'!A4:AF761,27,),'Actual Dates'!#REF!,"")</f>
        <v>#REF!</v>
      </c>
      <c r="O610" s="74" t="e">
        <f t="shared" si="210"/>
        <v>#REF!</v>
      </c>
      <c r="P610" s="75" t="e">
        <f t="shared" si="211"/>
        <v>#REF!</v>
      </c>
      <c r="Q610" s="75" t="e">
        <f t="shared" si="212"/>
        <v>#REF!</v>
      </c>
      <c r="R610" s="132"/>
      <c r="S610" s="133"/>
    </row>
    <row r="611" spans="1:19" x14ac:dyDescent="0.25">
      <c r="A611" s="70" t="e">
        <f>'Date Calcs'!#REF!</f>
        <v>#REF!</v>
      </c>
      <c r="B611" s="71" t="e">
        <f>'Date Calcs'!#REF!</f>
        <v>#REF!</v>
      </c>
      <c r="C611" s="72" t="e">
        <f>'Date Calcs'!#REF!</f>
        <v>#REF!</v>
      </c>
      <c r="D611" s="73" t="e">
        <f t="shared" si="207"/>
        <v>#REF!</v>
      </c>
      <c r="E611" s="66">
        <v>44634</v>
      </c>
      <c r="F611" s="73" t="e">
        <f>'Date Calcs'!#REF!</f>
        <v>#REF!</v>
      </c>
      <c r="G611" s="73" t="e">
        <f>IF(VLOOKUP(A611,'Actual Dates'!A4:AF739,8,),'Actual Dates'!#REF!,"")</f>
        <v>#REF!</v>
      </c>
      <c r="H611" s="73" t="e">
        <f t="shared" si="208"/>
        <v>#REF!</v>
      </c>
      <c r="I611" s="73" t="e">
        <f>IF(VLOOKUP(A611,'Actual Dates'!A4:AF734,25,),'Actual Dates'!#REF!,"")</f>
        <v>#REF!</v>
      </c>
      <c r="J611" s="73" t="e">
        <f t="shared" si="209"/>
        <v>#REF!</v>
      </c>
      <c r="K611" s="73" t="e">
        <f>IF(VLOOKUP(A611,'Actual Dates'!A4:AF762,26,),'Actual Dates'!#REF!,"")</f>
        <v>#REF!</v>
      </c>
      <c r="L611" s="73" t="e">
        <f>IF(VLOOKUP(A611,'Actual Dates'!A4:AF762,21,),'Actual Dates'!#REF!,"")</f>
        <v>#REF!</v>
      </c>
      <c r="M611" s="73" t="e">
        <f>'Date Calcs'!#REF!</f>
        <v>#REF!</v>
      </c>
      <c r="N611" s="73" t="e">
        <f>IF(VLOOKUP(A611,'Actual Dates'!A4:AF762,27,),'Actual Dates'!#REF!,"")</f>
        <v>#REF!</v>
      </c>
      <c r="O611" s="74" t="e">
        <f t="shared" si="210"/>
        <v>#REF!</v>
      </c>
      <c r="P611" s="75" t="e">
        <f t="shared" si="211"/>
        <v>#REF!</v>
      </c>
      <c r="Q611" s="75" t="e">
        <f t="shared" si="212"/>
        <v>#REF!</v>
      </c>
      <c r="R611" s="132"/>
      <c r="S611" s="133"/>
    </row>
    <row r="612" spans="1:19" x14ac:dyDescent="0.25">
      <c r="A612" s="70" t="e">
        <f>'Date Calcs'!#REF!</f>
        <v>#REF!</v>
      </c>
      <c r="B612" s="71" t="e">
        <f>'Date Calcs'!#REF!</f>
        <v>#REF!</v>
      </c>
      <c r="C612" s="72" t="e">
        <f>'Date Calcs'!#REF!</f>
        <v>#REF!</v>
      </c>
      <c r="D612" s="73" t="e">
        <f t="shared" si="207"/>
        <v>#REF!</v>
      </c>
      <c r="E612" s="66">
        <v>44635</v>
      </c>
      <c r="F612" s="73" t="e">
        <f>'Date Calcs'!#REF!</f>
        <v>#REF!</v>
      </c>
      <c r="G612" s="73" t="e">
        <f>IF(VLOOKUP(A612,'Actual Dates'!A4:AF740,8,),'Actual Dates'!#REF!,"")</f>
        <v>#REF!</v>
      </c>
      <c r="H612" s="73" t="e">
        <f t="shared" si="208"/>
        <v>#REF!</v>
      </c>
      <c r="I612" s="73" t="e">
        <f>IF(VLOOKUP(A612,'Actual Dates'!A4:AF735,25,),'Actual Dates'!#REF!,"")</f>
        <v>#REF!</v>
      </c>
      <c r="J612" s="73" t="e">
        <f t="shared" si="209"/>
        <v>#REF!</v>
      </c>
      <c r="K612" s="73" t="e">
        <f>IF(VLOOKUP(A612,'Actual Dates'!A4:AF763,26,),'Actual Dates'!#REF!,"")</f>
        <v>#REF!</v>
      </c>
      <c r="L612" s="73" t="e">
        <f>IF(VLOOKUP(A612,'Actual Dates'!A4:AF763,21,),'Actual Dates'!#REF!,"")</f>
        <v>#REF!</v>
      </c>
      <c r="M612" s="73" t="e">
        <f>'Date Calcs'!#REF!</f>
        <v>#REF!</v>
      </c>
      <c r="N612" s="73" t="e">
        <f>IF(VLOOKUP(A612,'Actual Dates'!A4:AF763,27,),'Actual Dates'!#REF!,"")</f>
        <v>#REF!</v>
      </c>
      <c r="O612" s="74" t="e">
        <f t="shared" si="210"/>
        <v>#REF!</v>
      </c>
      <c r="P612" s="75" t="e">
        <f t="shared" si="211"/>
        <v>#REF!</v>
      </c>
      <c r="Q612" s="75" t="e">
        <f t="shared" si="212"/>
        <v>#REF!</v>
      </c>
      <c r="R612" s="132"/>
      <c r="S612" s="133"/>
    </row>
    <row r="613" spans="1:19" x14ac:dyDescent="0.25">
      <c r="A613" s="70" t="e">
        <f>'Date Calcs'!#REF!</f>
        <v>#REF!</v>
      </c>
      <c r="B613" s="71" t="e">
        <f>'Date Calcs'!#REF!</f>
        <v>#REF!</v>
      </c>
      <c r="C613" s="72" t="e">
        <f>'Date Calcs'!#REF!</f>
        <v>#REF!</v>
      </c>
      <c r="D613" s="73" t="e">
        <f t="shared" si="207"/>
        <v>#REF!</v>
      </c>
      <c r="E613" s="66">
        <v>44636</v>
      </c>
      <c r="F613" s="73" t="e">
        <f>'Date Calcs'!#REF!</f>
        <v>#REF!</v>
      </c>
      <c r="G613" s="73" t="e">
        <f>IF(VLOOKUP(A613,'Actual Dates'!A4:AF741,8,),'Actual Dates'!#REF!,"")</f>
        <v>#REF!</v>
      </c>
      <c r="H613" s="73" t="e">
        <f t="shared" si="208"/>
        <v>#REF!</v>
      </c>
      <c r="I613" s="73" t="e">
        <f>IF(VLOOKUP(A613,'Actual Dates'!A4:AF736,25,),'Actual Dates'!#REF!,"")</f>
        <v>#REF!</v>
      </c>
      <c r="J613" s="73" t="e">
        <f t="shared" si="209"/>
        <v>#REF!</v>
      </c>
      <c r="K613" s="73" t="e">
        <f>IF(VLOOKUP(A613,'Actual Dates'!A4:AF764,26,),'Actual Dates'!#REF!,"")</f>
        <v>#REF!</v>
      </c>
      <c r="L613" s="73" t="e">
        <f>IF(VLOOKUP(A613,'Actual Dates'!A4:AF764,21,),'Actual Dates'!#REF!,"")</f>
        <v>#REF!</v>
      </c>
      <c r="M613" s="73" t="e">
        <f>'Date Calcs'!#REF!</f>
        <v>#REF!</v>
      </c>
      <c r="N613" s="73" t="e">
        <f>IF(VLOOKUP(A613,'Actual Dates'!A4:AF764,27,),'Actual Dates'!#REF!,"")</f>
        <v>#REF!</v>
      </c>
      <c r="O613" s="74" t="e">
        <f t="shared" si="210"/>
        <v>#REF!</v>
      </c>
      <c r="P613" s="75" t="e">
        <f t="shared" si="211"/>
        <v>#REF!</v>
      </c>
      <c r="Q613" s="75" t="e">
        <f t="shared" si="212"/>
        <v>#REF!</v>
      </c>
      <c r="R613" s="132"/>
      <c r="S613" s="133"/>
    </row>
    <row r="614" spans="1:19" x14ac:dyDescent="0.25">
      <c r="A614" s="70" t="e">
        <f>'Date Calcs'!#REF!</f>
        <v>#REF!</v>
      </c>
      <c r="B614" s="71" t="e">
        <f>'Date Calcs'!#REF!</f>
        <v>#REF!</v>
      </c>
      <c r="C614" s="72" t="e">
        <f>'Date Calcs'!#REF!</f>
        <v>#REF!</v>
      </c>
      <c r="D614" s="73" t="e">
        <f t="shared" si="207"/>
        <v>#REF!</v>
      </c>
      <c r="E614" s="66">
        <v>44637</v>
      </c>
      <c r="F614" s="73" t="e">
        <f>'Date Calcs'!#REF!</f>
        <v>#REF!</v>
      </c>
      <c r="G614" s="73" t="e">
        <f>IF(VLOOKUP(A614,'Actual Dates'!A4:AF742,8,),'Actual Dates'!#REF!,"")</f>
        <v>#REF!</v>
      </c>
      <c r="H614" s="73" t="e">
        <f t="shared" si="208"/>
        <v>#REF!</v>
      </c>
      <c r="I614" s="73" t="e">
        <f>IF(VLOOKUP(A614,'Actual Dates'!A4:AF737,25,),'Actual Dates'!#REF!,"")</f>
        <v>#REF!</v>
      </c>
      <c r="J614" s="73" t="e">
        <f t="shared" si="209"/>
        <v>#REF!</v>
      </c>
      <c r="K614" s="73" t="e">
        <f>IF(VLOOKUP(A614,'Actual Dates'!A4:AF765,26,),'Actual Dates'!#REF!,"")</f>
        <v>#REF!</v>
      </c>
      <c r="L614" s="73" t="e">
        <f>IF(VLOOKUP(A614,'Actual Dates'!A4:AF765,21,),'Actual Dates'!#REF!,"")</f>
        <v>#REF!</v>
      </c>
      <c r="M614" s="73" t="e">
        <f>'Date Calcs'!#REF!</f>
        <v>#REF!</v>
      </c>
      <c r="N614" s="73" t="e">
        <f>IF(VLOOKUP(A614,'Actual Dates'!A4:AF765,27,),'Actual Dates'!#REF!,"")</f>
        <v>#REF!</v>
      </c>
      <c r="O614" s="74" t="e">
        <f t="shared" si="210"/>
        <v>#REF!</v>
      </c>
      <c r="P614" s="75" t="e">
        <f t="shared" si="211"/>
        <v>#REF!</v>
      </c>
      <c r="Q614" s="75" t="e">
        <f t="shared" si="212"/>
        <v>#REF!</v>
      </c>
      <c r="R614" s="132"/>
      <c r="S614" s="133"/>
    </row>
    <row r="615" spans="1:19" x14ac:dyDescent="0.25">
      <c r="A615" s="70" t="e">
        <f>'Date Calcs'!#REF!</f>
        <v>#REF!</v>
      </c>
      <c r="B615" s="71" t="e">
        <f>'Date Calcs'!#REF!</f>
        <v>#REF!</v>
      </c>
      <c r="C615" s="72" t="e">
        <f>'Date Calcs'!#REF!</f>
        <v>#REF!</v>
      </c>
      <c r="D615" s="73" t="e">
        <f t="shared" si="207"/>
        <v>#REF!</v>
      </c>
      <c r="E615" s="66">
        <v>44638</v>
      </c>
      <c r="F615" s="73" t="e">
        <f>'Date Calcs'!#REF!</f>
        <v>#REF!</v>
      </c>
      <c r="G615" s="73" t="e">
        <f>IF(VLOOKUP(A615,'Actual Dates'!A4:AF743,8,),'Actual Dates'!#REF!,"")</f>
        <v>#REF!</v>
      </c>
      <c r="H615" s="73" t="e">
        <f t="shared" si="208"/>
        <v>#REF!</v>
      </c>
      <c r="I615" s="73" t="e">
        <f>IF(VLOOKUP(A615,'Actual Dates'!A4:AF738,25,),'Actual Dates'!#REF!,"")</f>
        <v>#REF!</v>
      </c>
      <c r="J615" s="73" t="e">
        <f t="shared" si="209"/>
        <v>#REF!</v>
      </c>
      <c r="K615" s="73" t="e">
        <f>IF(VLOOKUP(A615,'Actual Dates'!A4:AF766,26,),'Actual Dates'!#REF!,"")</f>
        <v>#REF!</v>
      </c>
      <c r="L615" s="73" t="e">
        <f>IF(VLOOKUP(A615,'Actual Dates'!A4:AF766,21,),'Actual Dates'!#REF!,"")</f>
        <v>#REF!</v>
      </c>
      <c r="M615" s="73" t="e">
        <f>'Date Calcs'!#REF!</f>
        <v>#REF!</v>
      </c>
      <c r="N615" s="73" t="e">
        <f>IF(VLOOKUP(A615,'Actual Dates'!A4:AF766,27,),'Actual Dates'!#REF!,"")</f>
        <v>#REF!</v>
      </c>
      <c r="O615" s="74" t="e">
        <f t="shared" si="210"/>
        <v>#REF!</v>
      </c>
      <c r="P615" s="75" t="e">
        <f t="shared" si="211"/>
        <v>#REF!</v>
      </c>
      <c r="Q615" s="75" t="e">
        <f t="shared" si="212"/>
        <v>#REF!</v>
      </c>
      <c r="R615" s="132"/>
      <c r="S615" s="133"/>
    </row>
    <row r="616" spans="1:19" x14ac:dyDescent="0.25">
      <c r="A616" s="70" t="e">
        <f>'Date Calcs'!#REF!</f>
        <v>#REF!</v>
      </c>
      <c r="B616" s="71" t="e">
        <f>'Date Calcs'!#REF!</f>
        <v>#REF!</v>
      </c>
      <c r="C616" s="72" t="e">
        <f>'Date Calcs'!#REF!</f>
        <v>#REF!</v>
      </c>
      <c r="D616" s="73" t="e">
        <f t="shared" si="207"/>
        <v>#REF!</v>
      </c>
      <c r="E616" s="66">
        <v>44639</v>
      </c>
      <c r="F616" s="73" t="e">
        <f>'Date Calcs'!#REF!</f>
        <v>#REF!</v>
      </c>
      <c r="G616" s="73" t="e">
        <f>IF(VLOOKUP(A616,'Actual Dates'!A4:AF744,8,),'Actual Dates'!#REF!,"")</f>
        <v>#REF!</v>
      </c>
      <c r="H616" s="73" t="e">
        <f t="shared" si="208"/>
        <v>#REF!</v>
      </c>
      <c r="I616" s="73" t="e">
        <f>IF(VLOOKUP(A616,'Actual Dates'!A4:AF739,25,),'Actual Dates'!#REF!,"")</f>
        <v>#REF!</v>
      </c>
      <c r="J616" s="73" t="e">
        <f t="shared" si="209"/>
        <v>#REF!</v>
      </c>
      <c r="K616" s="73" t="e">
        <f>IF(VLOOKUP(A616,'Actual Dates'!A4:AF767,26,),'Actual Dates'!#REF!,"")</f>
        <v>#REF!</v>
      </c>
      <c r="L616" s="73" t="e">
        <f>IF(VLOOKUP(A616,'Actual Dates'!A4:AF767,21,),'Actual Dates'!#REF!,"")</f>
        <v>#REF!</v>
      </c>
      <c r="M616" s="73" t="e">
        <f>'Date Calcs'!#REF!</f>
        <v>#REF!</v>
      </c>
      <c r="N616" s="73" t="e">
        <f>IF(VLOOKUP(A616,'Actual Dates'!A4:AF767,27,),'Actual Dates'!#REF!,"")</f>
        <v>#REF!</v>
      </c>
      <c r="O616" s="74" t="e">
        <f t="shared" si="210"/>
        <v>#REF!</v>
      </c>
      <c r="P616" s="75" t="e">
        <f t="shared" si="211"/>
        <v>#REF!</v>
      </c>
      <c r="Q616" s="75" t="e">
        <f t="shared" si="212"/>
        <v>#REF!</v>
      </c>
      <c r="R616" s="132"/>
      <c r="S616" s="133"/>
    </row>
    <row r="617" spans="1:19" x14ac:dyDescent="0.25">
      <c r="A617" s="70" t="e">
        <f>'Date Calcs'!#REF!</f>
        <v>#REF!</v>
      </c>
      <c r="B617" s="71" t="e">
        <f>'Date Calcs'!#REF!</f>
        <v>#REF!</v>
      </c>
      <c r="C617" s="72" t="e">
        <f>'Date Calcs'!#REF!</f>
        <v>#REF!</v>
      </c>
      <c r="D617" s="73" t="e">
        <f t="shared" si="207"/>
        <v>#REF!</v>
      </c>
      <c r="E617" s="66">
        <v>44640</v>
      </c>
      <c r="F617" s="73" t="e">
        <f>'Date Calcs'!#REF!</f>
        <v>#REF!</v>
      </c>
      <c r="G617" s="73" t="e">
        <f>IF(VLOOKUP(A617,'Actual Dates'!A4:AF745,8,),'Actual Dates'!#REF!,"")</f>
        <v>#REF!</v>
      </c>
      <c r="H617" s="73" t="e">
        <f t="shared" si="208"/>
        <v>#REF!</v>
      </c>
      <c r="I617" s="73" t="e">
        <f>IF(VLOOKUP(A617,'Actual Dates'!A4:AF740,25,),'Actual Dates'!#REF!,"")</f>
        <v>#REF!</v>
      </c>
      <c r="J617" s="73" t="e">
        <f t="shared" si="209"/>
        <v>#REF!</v>
      </c>
      <c r="K617" s="73" t="e">
        <f>IF(VLOOKUP(A617,'Actual Dates'!A4:AF768,26,),'Actual Dates'!#REF!,"")</f>
        <v>#REF!</v>
      </c>
      <c r="L617" s="73" t="e">
        <f>IF(VLOOKUP(A617,'Actual Dates'!A4:AF768,21,),'Actual Dates'!#REF!,"")</f>
        <v>#REF!</v>
      </c>
      <c r="M617" s="73" t="e">
        <f>'Date Calcs'!#REF!</f>
        <v>#REF!</v>
      </c>
      <c r="N617" s="73" t="e">
        <f>IF(VLOOKUP(A617,'Actual Dates'!A4:AF768,27,),'Actual Dates'!#REF!,"")</f>
        <v>#REF!</v>
      </c>
      <c r="O617" s="74" t="e">
        <f t="shared" si="210"/>
        <v>#REF!</v>
      </c>
      <c r="P617" s="75" t="e">
        <f t="shared" si="211"/>
        <v>#REF!</v>
      </c>
      <c r="Q617" s="75" t="e">
        <f t="shared" si="212"/>
        <v>#REF!</v>
      </c>
      <c r="R617" s="132"/>
      <c r="S617" s="133"/>
    </row>
    <row r="618" spans="1:19" x14ac:dyDescent="0.25">
      <c r="A618" s="70" t="e">
        <f>'Date Calcs'!#REF!</f>
        <v>#REF!</v>
      </c>
      <c r="B618" s="71" t="e">
        <f>'Date Calcs'!#REF!</f>
        <v>#REF!</v>
      </c>
      <c r="C618" s="72" t="e">
        <f>'Date Calcs'!#REF!</f>
        <v>#REF!</v>
      </c>
      <c r="D618" s="73" t="e">
        <f t="shared" si="207"/>
        <v>#REF!</v>
      </c>
      <c r="E618" s="66">
        <v>44641</v>
      </c>
      <c r="F618" s="73" t="e">
        <f>'Date Calcs'!#REF!</f>
        <v>#REF!</v>
      </c>
      <c r="G618" s="73" t="e">
        <f>IF(VLOOKUP(A618,'Actual Dates'!A4:AF746,8,),'Actual Dates'!#REF!,"")</f>
        <v>#REF!</v>
      </c>
      <c r="H618" s="73" t="e">
        <f t="shared" si="208"/>
        <v>#REF!</v>
      </c>
      <c r="I618" s="73" t="e">
        <f>IF(VLOOKUP(A618,'Actual Dates'!A4:AF741,25,),'Actual Dates'!#REF!,"")</f>
        <v>#REF!</v>
      </c>
      <c r="J618" s="73" t="e">
        <f t="shared" si="209"/>
        <v>#REF!</v>
      </c>
      <c r="K618" s="73" t="e">
        <f>IF(VLOOKUP(A618,'Actual Dates'!A4:AF769,26,),'Actual Dates'!#REF!,"")</f>
        <v>#REF!</v>
      </c>
      <c r="L618" s="73" t="e">
        <f>IF(VLOOKUP(A618,'Actual Dates'!A4:AF769,21,),'Actual Dates'!#REF!,"")</f>
        <v>#REF!</v>
      </c>
      <c r="M618" s="73" t="e">
        <f>'Date Calcs'!#REF!</f>
        <v>#REF!</v>
      </c>
      <c r="N618" s="73" t="e">
        <f>IF(VLOOKUP(A618,'Actual Dates'!A4:AF769,27,),'Actual Dates'!#REF!,"")</f>
        <v>#REF!</v>
      </c>
      <c r="O618" s="74" t="e">
        <f t="shared" si="210"/>
        <v>#REF!</v>
      </c>
      <c r="P618" s="75" t="e">
        <f t="shared" si="211"/>
        <v>#REF!</v>
      </c>
      <c r="Q618" s="75" t="e">
        <f t="shared" si="212"/>
        <v>#REF!</v>
      </c>
      <c r="R618" s="132"/>
      <c r="S618" s="133"/>
    </row>
    <row r="619" spans="1:19" x14ac:dyDescent="0.25">
      <c r="A619" s="70" t="e">
        <f>'Date Calcs'!#REF!</f>
        <v>#REF!</v>
      </c>
      <c r="B619" s="71" t="e">
        <f>'Date Calcs'!#REF!</f>
        <v>#REF!</v>
      </c>
      <c r="C619" s="72" t="e">
        <f>'Date Calcs'!#REF!</f>
        <v>#REF!</v>
      </c>
      <c r="D619" s="73" t="e">
        <f t="shared" si="207"/>
        <v>#REF!</v>
      </c>
      <c r="E619" s="66">
        <v>44642</v>
      </c>
      <c r="F619" s="73" t="e">
        <f>'Date Calcs'!#REF!</f>
        <v>#REF!</v>
      </c>
      <c r="G619" s="73" t="e">
        <f>IF(VLOOKUP(A619,'Actual Dates'!A4:AF747,8,),'Actual Dates'!#REF!,"")</f>
        <v>#REF!</v>
      </c>
      <c r="H619" s="73" t="e">
        <f t="shared" si="208"/>
        <v>#REF!</v>
      </c>
      <c r="I619" s="73" t="e">
        <f>IF(VLOOKUP(A619,'Actual Dates'!A4:AF742,25,),'Actual Dates'!#REF!,"")</f>
        <v>#REF!</v>
      </c>
      <c r="J619" s="73" t="e">
        <f t="shared" si="209"/>
        <v>#REF!</v>
      </c>
      <c r="K619" s="73" t="e">
        <f>IF(VLOOKUP(A619,'Actual Dates'!A4:AF770,26,),'Actual Dates'!#REF!,"")</f>
        <v>#REF!</v>
      </c>
      <c r="L619" s="73" t="e">
        <f>IF(VLOOKUP(A619,'Actual Dates'!A4:AF770,21,),'Actual Dates'!#REF!,"")</f>
        <v>#REF!</v>
      </c>
      <c r="M619" s="73" t="e">
        <f>'Date Calcs'!#REF!</f>
        <v>#REF!</v>
      </c>
      <c r="N619" s="73" t="e">
        <f>IF(VLOOKUP(A619,'Actual Dates'!A4:AF770,27,),'Actual Dates'!#REF!,"")</f>
        <v>#REF!</v>
      </c>
      <c r="O619" s="74" t="e">
        <f t="shared" si="210"/>
        <v>#REF!</v>
      </c>
      <c r="P619" s="75" t="e">
        <f t="shared" si="211"/>
        <v>#REF!</v>
      </c>
      <c r="Q619" s="75" t="e">
        <f t="shared" si="212"/>
        <v>#REF!</v>
      </c>
      <c r="R619" s="132"/>
      <c r="S619" s="133"/>
    </row>
    <row r="620" spans="1:19" x14ac:dyDescent="0.25">
      <c r="A620" s="70" t="str">
        <f>'Date Calcs'!A5</f>
        <v>24-046</v>
      </c>
      <c r="B620" s="71" t="str">
        <f>'Date Calcs'!B5</f>
        <v>SYMS Engineering</v>
      </c>
      <c r="C620" s="72">
        <f>'Date Calcs'!C5</f>
        <v>45519</v>
      </c>
      <c r="D620" s="73">
        <f t="shared" si="207"/>
        <v>45539</v>
      </c>
      <c r="E620" s="66">
        <v>44643</v>
      </c>
      <c r="F620" s="73">
        <f>'Date Calcs'!H5</f>
        <v>45540</v>
      </c>
      <c r="G620" s="73" t="e">
        <f>IF(VLOOKUP(A620,'Actual Dates'!A4:AF748,8,),'Actual Dates'!#REF!,"")</f>
        <v>#REF!</v>
      </c>
      <c r="H620" s="73" t="e">
        <f t="shared" si="208"/>
        <v>#REF!</v>
      </c>
      <c r="I620" s="73" t="e">
        <f>IF(VLOOKUP(A620,'Actual Dates'!A4:AF743,25,),'Actual Dates'!#REF!,"")</f>
        <v>#REF!</v>
      </c>
      <c r="J620" s="73" t="e">
        <f t="shared" si="209"/>
        <v>#REF!</v>
      </c>
      <c r="K620" s="73" t="e">
        <f>IF(VLOOKUP(A620,'Actual Dates'!A4:AF771,26,),'Actual Dates'!#REF!,"")</f>
        <v>#REF!</v>
      </c>
      <c r="L620" s="73" t="e">
        <f>IF(VLOOKUP(A620,'Actual Dates'!A4:AF771,21,),'Actual Dates'!#REF!,"")</f>
        <v>#REF!</v>
      </c>
      <c r="M620" s="73">
        <f>'Date Calcs'!AE5</f>
        <v>45901</v>
      </c>
      <c r="N620" s="73" t="e">
        <f>IF(VLOOKUP(A620,'Actual Dates'!A4:AF771,27,),'Actual Dates'!#REF!,"")</f>
        <v>#REF!</v>
      </c>
      <c r="O620" s="74" t="e">
        <f t="shared" si="210"/>
        <v>#REF!</v>
      </c>
      <c r="P620" s="75" t="e">
        <f t="shared" si="211"/>
        <v>#REF!</v>
      </c>
      <c r="Q620" s="75" t="e">
        <f t="shared" si="212"/>
        <v>#REF!</v>
      </c>
      <c r="R620" s="132"/>
      <c r="S620" s="133"/>
    </row>
    <row r="621" spans="1:19" x14ac:dyDescent="0.25">
      <c r="A621" s="70" t="e">
        <f>'Date Calcs'!#REF!</f>
        <v>#REF!</v>
      </c>
      <c r="B621" s="71" t="e">
        <f>'Date Calcs'!#REF!</f>
        <v>#REF!</v>
      </c>
      <c r="C621" s="72" t="e">
        <f>'Date Calcs'!#REF!</f>
        <v>#REF!</v>
      </c>
      <c r="D621" s="73" t="e">
        <f t="shared" si="207"/>
        <v>#REF!</v>
      </c>
      <c r="E621" s="66">
        <v>44644</v>
      </c>
      <c r="F621" s="73" t="e">
        <f>'Date Calcs'!#REF!</f>
        <v>#REF!</v>
      </c>
      <c r="G621" s="73" t="e">
        <f>IF(VLOOKUP(A621,'Actual Dates'!A4:AF749,8,),'Actual Dates'!#REF!,"")</f>
        <v>#REF!</v>
      </c>
      <c r="H621" s="73" t="e">
        <f t="shared" si="208"/>
        <v>#REF!</v>
      </c>
      <c r="I621" s="73" t="e">
        <f>IF(VLOOKUP(A621,'Actual Dates'!A4:AF744,25,),'Actual Dates'!#REF!,"")</f>
        <v>#REF!</v>
      </c>
      <c r="J621" s="73" t="e">
        <f t="shared" si="209"/>
        <v>#REF!</v>
      </c>
      <c r="K621" s="73" t="e">
        <f>IF(VLOOKUP(A621,'Actual Dates'!A4:AF772,26,),'Actual Dates'!#REF!,"")</f>
        <v>#REF!</v>
      </c>
      <c r="L621" s="73" t="e">
        <f>IF(VLOOKUP(A621,'Actual Dates'!A4:AF772,21,),'Actual Dates'!#REF!,"")</f>
        <v>#REF!</v>
      </c>
      <c r="M621" s="73" t="e">
        <f>'Date Calcs'!#REF!</f>
        <v>#REF!</v>
      </c>
      <c r="N621" s="73" t="e">
        <f>IF(VLOOKUP(A621,'Actual Dates'!A4:AF772,27,),'Actual Dates'!#REF!,"")</f>
        <v>#REF!</v>
      </c>
      <c r="O621" s="74" t="e">
        <f t="shared" si="210"/>
        <v>#REF!</v>
      </c>
      <c r="P621" s="75" t="e">
        <f t="shared" si="211"/>
        <v>#REF!</v>
      </c>
      <c r="Q621" s="75" t="e">
        <f t="shared" si="212"/>
        <v>#REF!</v>
      </c>
      <c r="R621" s="132"/>
      <c r="S621" s="133"/>
    </row>
    <row r="622" spans="1:19" x14ac:dyDescent="0.25">
      <c r="A622" s="70" t="e">
        <f>'Date Calcs'!#REF!</f>
        <v>#REF!</v>
      </c>
      <c r="B622" s="71" t="e">
        <f>'Date Calcs'!#REF!</f>
        <v>#REF!</v>
      </c>
      <c r="C622" s="72" t="e">
        <f>'Date Calcs'!#REF!</f>
        <v>#REF!</v>
      </c>
      <c r="D622" s="73" t="e">
        <f t="shared" si="207"/>
        <v>#REF!</v>
      </c>
      <c r="E622" s="66">
        <v>44645</v>
      </c>
      <c r="F622" s="73" t="e">
        <f>'Date Calcs'!#REF!</f>
        <v>#REF!</v>
      </c>
      <c r="G622" s="73" t="e">
        <f>IF(VLOOKUP(A622,'Actual Dates'!A4:AF750,8,),'Actual Dates'!#REF!,"")</f>
        <v>#REF!</v>
      </c>
      <c r="H622" s="73" t="e">
        <f t="shared" si="208"/>
        <v>#REF!</v>
      </c>
      <c r="I622" s="73" t="e">
        <f>IF(VLOOKUP(A622,'Actual Dates'!A4:AF745,25,),'Actual Dates'!#REF!,"")</f>
        <v>#REF!</v>
      </c>
      <c r="J622" s="73" t="e">
        <f t="shared" si="209"/>
        <v>#REF!</v>
      </c>
      <c r="K622" s="73" t="e">
        <f>IF(VLOOKUP(A622,'Actual Dates'!A4:AF773,26,),'Actual Dates'!#REF!,"")</f>
        <v>#REF!</v>
      </c>
      <c r="L622" s="73" t="e">
        <f>IF(VLOOKUP(A622,'Actual Dates'!A4:AF773,21,),'Actual Dates'!#REF!,"")</f>
        <v>#REF!</v>
      </c>
      <c r="M622" s="73" t="e">
        <f>'Date Calcs'!#REF!</f>
        <v>#REF!</v>
      </c>
      <c r="N622" s="73" t="e">
        <f>IF(VLOOKUP(A622,'Actual Dates'!A4:AF773,27,),'Actual Dates'!#REF!,"")</f>
        <v>#REF!</v>
      </c>
      <c r="O622" s="74" t="e">
        <f t="shared" si="210"/>
        <v>#REF!</v>
      </c>
      <c r="P622" s="75" t="e">
        <f t="shared" si="211"/>
        <v>#REF!</v>
      </c>
      <c r="Q622" s="75" t="e">
        <f t="shared" si="212"/>
        <v>#REF!</v>
      </c>
      <c r="R622" s="132"/>
      <c r="S622" s="133"/>
    </row>
    <row r="623" spans="1:19" x14ac:dyDescent="0.25">
      <c r="A623" s="70" t="e">
        <f>'Date Calcs'!#REF!</f>
        <v>#REF!</v>
      </c>
      <c r="B623" s="71" t="e">
        <f>'Date Calcs'!#REF!</f>
        <v>#REF!</v>
      </c>
      <c r="C623" s="72" t="e">
        <f>'Date Calcs'!#REF!</f>
        <v>#REF!</v>
      </c>
      <c r="D623" s="73" t="e">
        <f t="shared" si="207"/>
        <v>#REF!</v>
      </c>
      <c r="E623" s="66">
        <v>44646</v>
      </c>
      <c r="F623" s="73" t="e">
        <f>'Date Calcs'!#REF!</f>
        <v>#REF!</v>
      </c>
      <c r="G623" s="73" t="e">
        <f>IF(VLOOKUP(A623,'Actual Dates'!A4:AF751,8,),'Actual Dates'!#REF!,"")</f>
        <v>#REF!</v>
      </c>
      <c r="H623" s="73" t="e">
        <f t="shared" si="208"/>
        <v>#REF!</v>
      </c>
      <c r="I623" s="73" t="e">
        <f>IF(VLOOKUP(A623,'Actual Dates'!A4:AF746,25,),'Actual Dates'!#REF!,"")</f>
        <v>#REF!</v>
      </c>
      <c r="J623" s="73" t="e">
        <f t="shared" si="209"/>
        <v>#REF!</v>
      </c>
      <c r="K623" s="73" t="e">
        <f>IF(VLOOKUP(A623,'Actual Dates'!A4:AF774,26,),'Actual Dates'!#REF!,"")</f>
        <v>#REF!</v>
      </c>
      <c r="L623" s="73" t="e">
        <f>IF(VLOOKUP(A623,'Actual Dates'!A4:AF774,21,),'Actual Dates'!#REF!,"")</f>
        <v>#REF!</v>
      </c>
      <c r="M623" s="73" t="e">
        <f>'Date Calcs'!#REF!</f>
        <v>#REF!</v>
      </c>
      <c r="N623" s="73" t="e">
        <f>IF(VLOOKUP(A623,'Actual Dates'!A4:AF774,27,),'Actual Dates'!#REF!,"")</f>
        <v>#REF!</v>
      </c>
      <c r="O623" s="74" t="e">
        <f t="shared" si="210"/>
        <v>#REF!</v>
      </c>
      <c r="P623" s="75" t="e">
        <f t="shared" si="211"/>
        <v>#REF!</v>
      </c>
      <c r="Q623" s="75" t="e">
        <f t="shared" si="212"/>
        <v>#REF!</v>
      </c>
      <c r="R623" s="132"/>
      <c r="S623" s="133"/>
    </row>
    <row r="624" spans="1:19" x14ac:dyDescent="0.25">
      <c r="A624" s="70" t="e">
        <f>'Date Calcs'!#REF!</f>
        <v>#REF!</v>
      </c>
      <c r="B624" s="71" t="e">
        <f>'Date Calcs'!#REF!</f>
        <v>#REF!</v>
      </c>
      <c r="C624" s="72" t="e">
        <f>'Date Calcs'!#REF!</f>
        <v>#REF!</v>
      </c>
      <c r="D624" s="73" t="e">
        <f t="shared" si="207"/>
        <v>#REF!</v>
      </c>
      <c r="E624" s="66">
        <v>44647</v>
      </c>
      <c r="F624" s="73" t="e">
        <f>'Date Calcs'!#REF!</f>
        <v>#REF!</v>
      </c>
      <c r="G624" s="73" t="e">
        <f>IF(VLOOKUP(A624,'Actual Dates'!A4:AF752,8,),'Actual Dates'!H4,"")</f>
        <v>#REF!</v>
      </c>
      <c r="H624" s="73" t="e">
        <f t="shared" si="208"/>
        <v>#REF!</v>
      </c>
      <c r="I624" s="73" t="e">
        <f>IF(VLOOKUP(A624,'Actual Dates'!A4:AF747,25,),'Actual Dates'!AA4,"")</f>
        <v>#REF!</v>
      </c>
      <c r="J624" s="73" t="e">
        <f t="shared" si="209"/>
        <v>#REF!</v>
      </c>
      <c r="K624" s="73" t="e">
        <f>IF(VLOOKUP(A624,'Actual Dates'!A4:AF775,26,),'Actual Dates'!AB4,"")</f>
        <v>#REF!</v>
      </c>
      <c r="L624" s="73" t="e">
        <f>IF(VLOOKUP(A624,'Actual Dates'!A4:AF775,21,),'Actual Dates'!U4,"")</f>
        <v>#REF!</v>
      </c>
      <c r="M624" s="73" t="e">
        <f>'Date Calcs'!#REF!</f>
        <v>#REF!</v>
      </c>
      <c r="N624" s="73" t="e">
        <f>IF(VLOOKUP(A624,'Actual Dates'!A4:AF775,27,),'Actual Dates'!AE4,"")</f>
        <v>#REF!</v>
      </c>
      <c r="O624" s="74" t="e">
        <f t="shared" si="210"/>
        <v>#REF!</v>
      </c>
      <c r="P624" s="75" t="e">
        <f t="shared" si="211"/>
        <v>#REF!</v>
      </c>
      <c r="Q624" s="75" t="e">
        <f t="shared" si="212"/>
        <v>#REF!</v>
      </c>
      <c r="R624" s="132"/>
      <c r="S624" s="133"/>
    </row>
    <row r="625" spans="1:19" x14ac:dyDescent="0.25">
      <c r="A625" s="70" t="e">
        <f>'Date Calcs'!#REF!</f>
        <v>#REF!</v>
      </c>
      <c r="B625" s="71" t="e">
        <f>'Date Calcs'!#REF!</f>
        <v>#REF!</v>
      </c>
      <c r="C625" s="72" t="e">
        <f>'Date Calcs'!#REF!</f>
        <v>#REF!</v>
      </c>
      <c r="D625" s="73" t="e">
        <f t="shared" si="207"/>
        <v>#REF!</v>
      </c>
      <c r="E625" s="66">
        <v>44648</v>
      </c>
      <c r="F625" s="73" t="e">
        <f>'Date Calcs'!#REF!</f>
        <v>#REF!</v>
      </c>
      <c r="G625" s="73" t="e">
        <f>IF(VLOOKUP(A625,'Actual Dates'!A4:AF753,8,),'Actual Dates'!#REF!,"")</f>
        <v>#REF!</v>
      </c>
      <c r="H625" s="73" t="e">
        <f t="shared" si="208"/>
        <v>#REF!</v>
      </c>
      <c r="I625" s="73" t="e">
        <f>IF(VLOOKUP(A625,'Actual Dates'!A4:AF748,25,),'Actual Dates'!#REF!,"")</f>
        <v>#REF!</v>
      </c>
      <c r="J625" s="73" t="e">
        <f t="shared" si="209"/>
        <v>#REF!</v>
      </c>
      <c r="K625" s="73" t="e">
        <f>IF(VLOOKUP(A625,'Actual Dates'!A4:AF776,26,),'Actual Dates'!#REF!,"")</f>
        <v>#REF!</v>
      </c>
      <c r="L625" s="73" t="e">
        <f>IF(VLOOKUP(A625,'Actual Dates'!A4:AF776,21,),'Actual Dates'!#REF!,"")</f>
        <v>#REF!</v>
      </c>
      <c r="M625" s="73" t="e">
        <f>'Date Calcs'!#REF!</f>
        <v>#REF!</v>
      </c>
      <c r="N625" s="73" t="e">
        <f>IF(VLOOKUP(A625,'Actual Dates'!A4:AF776,27,),'Actual Dates'!#REF!,"")</f>
        <v>#REF!</v>
      </c>
      <c r="O625" s="74" t="e">
        <f t="shared" si="210"/>
        <v>#REF!</v>
      </c>
      <c r="P625" s="75" t="e">
        <f t="shared" si="211"/>
        <v>#REF!</v>
      </c>
      <c r="Q625" s="75" t="e">
        <f t="shared" si="212"/>
        <v>#REF!</v>
      </c>
      <c r="R625" s="132"/>
      <c r="S625" s="133"/>
    </row>
    <row r="626" spans="1:19" x14ac:dyDescent="0.25">
      <c r="A626" s="70" t="e">
        <f>'Date Calcs'!#REF!</f>
        <v>#REF!</v>
      </c>
      <c r="B626" s="71" t="e">
        <f>'Date Calcs'!#REF!</f>
        <v>#REF!</v>
      </c>
      <c r="C626" s="72" t="e">
        <f>'Date Calcs'!#REF!</f>
        <v>#REF!</v>
      </c>
      <c r="D626" s="73" t="e">
        <f t="shared" si="207"/>
        <v>#REF!</v>
      </c>
      <c r="E626" s="66">
        <v>44649</v>
      </c>
      <c r="F626" s="73" t="e">
        <f>'Date Calcs'!#REF!</f>
        <v>#REF!</v>
      </c>
      <c r="G626" s="73" t="e">
        <f>IF(VLOOKUP(A626,'Actual Dates'!A4:AF754,8,),'Actual Dates'!#REF!,"")</f>
        <v>#REF!</v>
      </c>
      <c r="H626" s="73" t="e">
        <f t="shared" si="208"/>
        <v>#REF!</v>
      </c>
      <c r="I626" s="73" t="e">
        <f>IF(VLOOKUP(A626,'Actual Dates'!A4:AF749,25,),'Actual Dates'!#REF!,"")</f>
        <v>#REF!</v>
      </c>
      <c r="J626" s="73" t="e">
        <f t="shared" si="209"/>
        <v>#REF!</v>
      </c>
      <c r="K626" s="73" t="e">
        <f>IF(VLOOKUP(A626,'Actual Dates'!A4:AF777,26,),'Actual Dates'!#REF!,"")</f>
        <v>#REF!</v>
      </c>
      <c r="L626" s="73" t="e">
        <f>IF(VLOOKUP(A626,'Actual Dates'!A4:AF777,21,),'Actual Dates'!#REF!,"")</f>
        <v>#REF!</v>
      </c>
      <c r="M626" s="73" t="e">
        <f>'Date Calcs'!#REF!</f>
        <v>#REF!</v>
      </c>
      <c r="N626" s="73" t="e">
        <f>IF(VLOOKUP(A626,'Actual Dates'!A4:AF777,27,),'Actual Dates'!#REF!,"")</f>
        <v>#REF!</v>
      </c>
      <c r="O626" s="74" t="e">
        <f t="shared" si="210"/>
        <v>#REF!</v>
      </c>
      <c r="P626" s="75" t="e">
        <f t="shared" si="211"/>
        <v>#REF!</v>
      </c>
      <c r="Q626" s="75" t="e">
        <f t="shared" si="212"/>
        <v>#REF!</v>
      </c>
      <c r="R626" s="132"/>
      <c r="S626" s="133"/>
    </row>
    <row r="627" spans="1:19" x14ac:dyDescent="0.25">
      <c r="A627" s="70" t="e">
        <f>'Date Calcs'!#REF!</f>
        <v>#REF!</v>
      </c>
      <c r="B627" s="71" t="e">
        <f>'Date Calcs'!#REF!</f>
        <v>#REF!</v>
      </c>
      <c r="C627" s="72" t="e">
        <f>'Date Calcs'!#REF!</f>
        <v>#REF!</v>
      </c>
      <c r="D627" s="73" t="e">
        <f t="shared" si="207"/>
        <v>#REF!</v>
      </c>
      <c r="E627" s="66">
        <v>44650</v>
      </c>
      <c r="F627" s="73" t="e">
        <f>'Date Calcs'!#REF!</f>
        <v>#REF!</v>
      </c>
      <c r="G627" s="73" t="e">
        <f>IF(VLOOKUP(A627,'Actual Dates'!A4:AF755,8,),'Actual Dates'!#REF!,"")</f>
        <v>#REF!</v>
      </c>
      <c r="H627" s="73" t="e">
        <f t="shared" si="208"/>
        <v>#REF!</v>
      </c>
      <c r="I627" s="73" t="e">
        <f>IF(VLOOKUP(A627,'Actual Dates'!A4:AF750,25,),'Actual Dates'!#REF!,"")</f>
        <v>#REF!</v>
      </c>
      <c r="J627" s="73" t="e">
        <f t="shared" si="209"/>
        <v>#REF!</v>
      </c>
      <c r="K627" s="73" t="e">
        <f>IF(VLOOKUP(A627,'Actual Dates'!A4:AF778,26,),'Actual Dates'!#REF!,"")</f>
        <v>#REF!</v>
      </c>
      <c r="L627" s="73" t="e">
        <f>IF(VLOOKUP(A627,'Actual Dates'!A4:AF778,21,),'Actual Dates'!#REF!,"")</f>
        <v>#REF!</v>
      </c>
      <c r="M627" s="73" t="e">
        <f>'Date Calcs'!#REF!</f>
        <v>#REF!</v>
      </c>
      <c r="N627" s="73" t="e">
        <f>IF(VLOOKUP(A627,'Actual Dates'!A4:AF778,27,),'Actual Dates'!#REF!,"")</f>
        <v>#REF!</v>
      </c>
      <c r="O627" s="74" t="e">
        <f t="shared" si="210"/>
        <v>#REF!</v>
      </c>
      <c r="P627" s="75" t="e">
        <f t="shared" si="211"/>
        <v>#REF!</v>
      </c>
      <c r="Q627" s="75" t="e">
        <f t="shared" si="212"/>
        <v>#REF!</v>
      </c>
      <c r="R627" s="132"/>
      <c r="S627" s="133"/>
    </row>
    <row r="628" spans="1:19" x14ac:dyDescent="0.25">
      <c r="A628" s="70" t="e">
        <f>'Date Calcs'!#REF!</f>
        <v>#REF!</v>
      </c>
      <c r="B628" s="71" t="e">
        <f>'Date Calcs'!#REF!</f>
        <v>#REF!</v>
      </c>
      <c r="C628" s="72" t="e">
        <f>'Date Calcs'!#REF!</f>
        <v>#REF!</v>
      </c>
      <c r="D628" s="73" t="e">
        <f t="shared" si="207"/>
        <v>#REF!</v>
      </c>
      <c r="E628" s="66">
        <v>44651</v>
      </c>
      <c r="F628" s="73" t="e">
        <f>'Date Calcs'!#REF!</f>
        <v>#REF!</v>
      </c>
      <c r="G628" s="73" t="e">
        <f>IF(VLOOKUP(A628,'Actual Dates'!A4:AF756,8,),'Actual Dates'!#REF!,"")</f>
        <v>#REF!</v>
      </c>
      <c r="H628" s="73" t="e">
        <f t="shared" si="208"/>
        <v>#REF!</v>
      </c>
      <c r="I628" s="73" t="e">
        <f>IF(VLOOKUP(A628,'Actual Dates'!A4:AF751,25,),'Actual Dates'!#REF!,"")</f>
        <v>#REF!</v>
      </c>
      <c r="J628" s="73" t="e">
        <f t="shared" si="209"/>
        <v>#REF!</v>
      </c>
      <c r="K628" s="73" t="e">
        <f>IF(VLOOKUP(A628,'Actual Dates'!A4:AF779,26,),'Actual Dates'!#REF!,"")</f>
        <v>#REF!</v>
      </c>
      <c r="L628" s="73" t="e">
        <f>IF(VLOOKUP(A628,'Actual Dates'!A4:AF779,21,),'Actual Dates'!#REF!,"")</f>
        <v>#REF!</v>
      </c>
      <c r="M628" s="73" t="e">
        <f>'Date Calcs'!#REF!</f>
        <v>#REF!</v>
      </c>
      <c r="N628" s="73" t="e">
        <f>IF(VLOOKUP(A628,'Actual Dates'!A4:AF779,27,),'Actual Dates'!#REF!,"")</f>
        <v>#REF!</v>
      </c>
      <c r="O628" s="74" t="e">
        <f t="shared" si="210"/>
        <v>#REF!</v>
      </c>
      <c r="P628" s="75" t="e">
        <f t="shared" si="211"/>
        <v>#REF!</v>
      </c>
      <c r="Q628" s="75" t="e">
        <f t="shared" si="212"/>
        <v>#REF!</v>
      </c>
      <c r="R628" s="132"/>
      <c r="S628" s="133"/>
    </row>
    <row r="629" spans="1:19" x14ac:dyDescent="0.25">
      <c r="A629" s="70" t="e">
        <f>'Date Calcs'!#REF!</f>
        <v>#REF!</v>
      </c>
      <c r="B629" s="71" t="e">
        <f>'Date Calcs'!#REF!</f>
        <v>#REF!</v>
      </c>
      <c r="C629" s="72" t="e">
        <f>'Date Calcs'!#REF!</f>
        <v>#REF!</v>
      </c>
      <c r="D629" s="73" t="e">
        <f t="shared" si="207"/>
        <v>#REF!</v>
      </c>
      <c r="E629" s="66">
        <v>44652</v>
      </c>
      <c r="F629" s="73" t="e">
        <f>'Date Calcs'!#REF!</f>
        <v>#REF!</v>
      </c>
      <c r="G629" s="73" t="e">
        <f>IF(VLOOKUP(A629,'Actual Dates'!A4:AF757,8,),'Actual Dates'!#REF!,"")</f>
        <v>#REF!</v>
      </c>
      <c r="H629" s="73" t="e">
        <f t="shared" si="208"/>
        <v>#REF!</v>
      </c>
      <c r="I629" s="73" t="e">
        <f>IF(VLOOKUP(A629,'Actual Dates'!A4:AF752,25,),'Actual Dates'!#REF!,"")</f>
        <v>#REF!</v>
      </c>
      <c r="J629" s="73" t="e">
        <f t="shared" si="209"/>
        <v>#REF!</v>
      </c>
      <c r="K629" s="73" t="e">
        <f>IF(VLOOKUP(A629,'Actual Dates'!A4:AF780,26,),'Actual Dates'!#REF!,"")</f>
        <v>#REF!</v>
      </c>
      <c r="L629" s="73" t="e">
        <f>IF(VLOOKUP(A629,'Actual Dates'!A4:AF780,21,),'Actual Dates'!#REF!,"")</f>
        <v>#REF!</v>
      </c>
      <c r="M629" s="73" t="e">
        <f>'Date Calcs'!#REF!</f>
        <v>#REF!</v>
      </c>
      <c r="N629" s="73" t="e">
        <f>IF(VLOOKUP(A629,'Actual Dates'!A4:AF780,27,),'Actual Dates'!#REF!,"")</f>
        <v>#REF!</v>
      </c>
      <c r="O629" s="74" t="e">
        <f t="shared" si="210"/>
        <v>#REF!</v>
      </c>
      <c r="P629" s="75" t="e">
        <f t="shared" si="211"/>
        <v>#REF!</v>
      </c>
      <c r="Q629" s="75" t="e">
        <f t="shared" si="212"/>
        <v>#REF!</v>
      </c>
      <c r="R629" s="132"/>
      <c r="S629" s="133"/>
    </row>
    <row r="630" spans="1:19" x14ac:dyDescent="0.25">
      <c r="A630" s="70" t="e">
        <f>'Date Calcs'!#REF!</f>
        <v>#REF!</v>
      </c>
      <c r="B630" s="71" t="e">
        <f>'Date Calcs'!#REF!</f>
        <v>#REF!</v>
      </c>
      <c r="C630" s="72" t="e">
        <f>'Date Calcs'!#REF!</f>
        <v>#REF!</v>
      </c>
      <c r="D630" s="73" t="e">
        <f t="shared" si="207"/>
        <v>#REF!</v>
      </c>
      <c r="E630" s="66">
        <v>44653</v>
      </c>
      <c r="F630" s="73" t="e">
        <f>'Date Calcs'!#REF!</f>
        <v>#REF!</v>
      </c>
      <c r="G630" s="73" t="e">
        <f>IF(VLOOKUP(A630,'Actual Dates'!A4:AF758,8,),'Actual Dates'!#REF!,"")</f>
        <v>#REF!</v>
      </c>
      <c r="H630" s="73" t="e">
        <f t="shared" si="208"/>
        <v>#REF!</v>
      </c>
      <c r="I630" s="73" t="e">
        <f>IF(VLOOKUP(A630,'Actual Dates'!A4:AF753,25,),'Actual Dates'!#REF!,"")</f>
        <v>#REF!</v>
      </c>
      <c r="J630" s="73" t="e">
        <f t="shared" si="209"/>
        <v>#REF!</v>
      </c>
      <c r="K630" s="73" t="e">
        <f>IF(VLOOKUP(A630,'Actual Dates'!A4:AF781,26,),'Actual Dates'!#REF!,"")</f>
        <v>#REF!</v>
      </c>
      <c r="L630" s="73" t="e">
        <f>IF(VLOOKUP(A630,'Actual Dates'!A4:AF781,21,),'Actual Dates'!#REF!,"")</f>
        <v>#REF!</v>
      </c>
      <c r="M630" s="73" t="e">
        <f>'Date Calcs'!#REF!</f>
        <v>#REF!</v>
      </c>
      <c r="N630" s="73" t="e">
        <f>IF(VLOOKUP(A630,'Actual Dates'!A4:AF781,27,),'Actual Dates'!#REF!,"")</f>
        <v>#REF!</v>
      </c>
      <c r="O630" s="74" t="e">
        <f t="shared" si="210"/>
        <v>#REF!</v>
      </c>
      <c r="P630" s="75" t="e">
        <f t="shared" si="211"/>
        <v>#REF!</v>
      </c>
      <c r="Q630" s="75" t="e">
        <f t="shared" si="212"/>
        <v>#REF!</v>
      </c>
      <c r="R630" s="132"/>
      <c r="S630" s="133"/>
    </row>
    <row r="631" spans="1:19" x14ac:dyDescent="0.25">
      <c r="A631" s="70" t="e">
        <f>'Date Calcs'!#REF!</f>
        <v>#REF!</v>
      </c>
      <c r="B631" s="71" t="e">
        <f>'Date Calcs'!#REF!</f>
        <v>#REF!</v>
      </c>
      <c r="C631" s="72" t="e">
        <f>'Date Calcs'!#REF!</f>
        <v>#REF!</v>
      </c>
      <c r="D631" s="73" t="e">
        <f t="shared" si="207"/>
        <v>#REF!</v>
      </c>
      <c r="E631" s="66">
        <v>44654</v>
      </c>
      <c r="F631" s="73" t="e">
        <f>'Date Calcs'!#REF!</f>
        <v>#REF!</v>
      </c>
      <c r="G631" s="73" t="e">
        <f>IF(VLOOKUP(A631,'Actual Dates'!A4:AF759,8,),'Actual Dates'!#REF!,"")</f>
        <v>#REF!</v>
      </c>
      <c r="H631" s="73" t="e">
        <f t="shared" si="208"/>
        <v>#REF!</v>
      </c>
      <c r="I631" s="73" t="e">
        <f>IF(VLOOKUP(A631,'Actual Dates'!A4:AF754,25,),'Actual Dates'!#REF!,"")</f>
        <v>#REF!</v>
      </c>
      <c r="J631" s="73" t="e">
        <f t="shared" si="209"/>
        <v>#REF!</v>
      </c>
      <c r="K631" s="73" t="e">
        <f>IF(VLOOKUP(A631,'Actual Dates'!A4:AF782,26,),'Actual Dates'!#REF!,"")</f>
        <v>#REF!</v>
      </c>
      <c r="L631" s="73" t="e">
        <f>IF(VLOOKUP(A631,'Actual Dates'!A4:AF782,21,),'Actual Dates'!#REF!,"")</f>
        <v>#REF!</v>
      </c>
      <c r="M631" s="73" t="e">
        <f>'Date Calcs'!#REF!</f>
        <v>#REF!</v>
      </c>
      <c r="N631" s="73" t="e">
        <f>IF(VLOOKUP(A631,'Actual Dates'!A4:AF782,27,),'Actual Dates'!#REF!,"")</f>
        <v>#REF!</v>
      </c>
      <c r="O631" s="74" t="e">
        <f t="shared" si="210"/>
        <v>#REF!</v>
      </c>
      <c r="P631" s="75" t="e">
        <f t="shared" si="211"/>
        <v>#REF!</v>
      </c>
      <c r="Q631" s="75" t="e">
        <f t="shared" si="212"/>
        <v>#REF!</v>
      </c>
      <c r="R631" s="132"/>
      <c r="S631" s="133"/>
    </row>
    <row r="632" spans="1:19" x14ac:dyDescent="0.25">
      <c r="A632" s="70" t="e">
        <f>'Date Calcs'!#REF!</f>
        <v>#REF!</v>
      </c>
      <c r="B632" s="71" t="e">
        <f>'Date Calcs'!#REF!</f>
        <v>#REF!</v>
      </c>
      <c r="C632" s="72" t="e">
        <f>'Date Calcs'!#REF!</f>
        <v>#REF!</v>
      </c>
      <c r="D632" s="73" t="e">
        <f t="shared" si="207"/>
        <v>#REF!</v>
      </c>
      <c r="E632" s="66">
        <v>44655</v>
      </c>
      <c r="F632" s="73" t="e">
        <f>'Date Calcs'!#REF!</f>
        <v>#REF!</v>
      </c>
      <c r="G632" s="73" t="e">
        <f>IF(VLOOKUP(A632,'Actual Dates'!A4:AF760,8,),'Actual Dates'!#REF!,"")</f>
        <v>#REF!</v>
      </c>
      <c r="H632" s="73" t="e">
        <f t="shared" si="208"/>
        <v>#REF!</v>
      </c>
      <c r="I632" s="73" t="e">
        <f>IF(VLOOKUP(A632,'Actual Dates'!A4:AF755,25,),'Actual Dates'!#REF!,"")</f>
        <v>#REF!</v>
      </c>
      <c r="J632" s="73" t="e">
        <f t="shared" si="209"/>
        <v>#REF!</v>
      </c>
      <c r="K632" s="73" t="e">
        <f>IF(VLOOKUP(A632,'Actual Dates'!A4:AF783,26,),'Actual Dates'!#REF!,"")</f>
        <v>#REF!</v>
      </c>
      <c r="L632" s="73" t="e">
        <f>IF(VLOOKUP(A632,'Actual Dates'!A4:AF783,21,),'Actual Dates'!#REF!,"")</f>
        <v>#REF!</v>
      </c>
      <c r="M632" s="73" t="e">
        <f>'Date Calcs'!#REF!</f>
        <v>#REF!</v>
      </c>
      <c r="N632" s="73" t="e">
        <f>IF(VLOOKUP(A632,'Actual Dates'!A4:AF783,27,),'Actual Dates'!#REF!,"")</f>
        <v>#REF!</v>
      </c>
      <c r="O632" s="74" t="e">
        <f t="shared" si="210"/>
        <v>#REF!</v>
      </c>
      <c r="P632" s="75" t="e">
        <f t="shared" si="211"/>
        <v>#REF!</v>
      </c>
      <c r="Q632" s="75" t="e">
        <f t="shared" si="212"/>
        <v>#REF!</v>
      </c>
      <c r="R632" s="132"/>
      <c r="S632" s="133"/>
    </row>
    <row r="633" spans="1:19" x14ac:dyDescent="0.25">
      <c r="A633" s="70" t="e">
        <f>'Date Calcs'!#REF!</f>
        <v>#REF!</v>
      </c>
      <c r="B633" s="71" t="e">
        <f>'Date Calcs'!#REF!</f>
        <v>#REF!</v>
      </c>
      <c r="C633" s="72" t="e">
        <f>'Date Calcs'!#REF!</f>
        <v>#REF!</v>
      </c>
      <c r="D633" s="73" t="e">
        <f t="shared" si="207"/>
        <v>#REF!</v>
      </c>
      <c r="E633" s="66">
        <v>44656</v>
      </c>
      <c r="F633" s="73" t="e">
        <f>'Date Calcs'!#REF!</f>
        <v>#REF!</v>
      </c>
      <c r="G633" s="73" t="e">
        <f>IF(VLOOKUP(A633,'Actual Dates'!A4:AF761,8,),'Actual Dates'!#REF!,"")</f>
        <v>#REF!</v>
      </c>
      <c r="H633" s="73" t="e">
        <f t="shared" si="208"/>
        <v>#REF!</v>
      </c>
      <c r="I633" s="73" t="e">
        <f>IF(VLOOKUP(A633,'Actual Dates'!A4:AF756,25,),'Actual Dates'!#REF!,"")</f>
        <v>#REF!</v>
      </c>
      <c r="J633" s="73" t="e">
        <f t="shared" si="209"/>
        <v>#REF!</v>
      </c>
      <c r="K633" s="73" t="e">
        <f>IF(VLOOKUP(A633,'Actual Dates'!A4:AF784,26,),'Actual Dates'!#REF!,"")</f>
        <v>#REF!</v>
      </c>
      <c r="L633" s="73" t="e">
        <f>IF(VLOOKUP(A633,'Actual Dates'!A4:AF784,21,),'Actual Dates'!#REF!,"")</f>
        <v>#REF!</v>
      </c>
      <c r="M633" s="73" t="e">
        <f>'Date Calcs'!#REF!</f>
        <v>#REF!</v>
      </c>
      <c r="N633" s="73" t="e">
        <f>IF(VLOOKUP(A633,'Actual Dates'!A4:AF784,27,),'Actual Dates'!#REF!,"")</f>
        <v>#REF!</v>
      </c>
      <c r="O633" s="74" t="e">
        <f t="shared" si="210"/>
        <v>#REF!</v>
      </c>
      <c r="P633" s="75" t="e">
        <f t="shared" si="211"/>
        <v>#REF!</v>
      </c>
      <c r="Q633" s="75" t="e">
        <f t="shared" si="212"/>
        <v>#REF!</v>
      </c>
      <c r="R633" s="132"/>
      <c r="S633" s="133"/>
    </row>
    <row r="634" spans="1:19" x14ac:dyDescent="0.25">
      <c r="A634" s="70" t="e">
        <f>'Date Calcs'!#REF!</f>
        <v>#REF!</v>
      </c>
      <c r="B634" s="71" t="e">
        <f>'Date Calcs'!#REF!</f>
        <v>#REF!</v>
      </c>
      <c r="C634" s="72" t="e">
        <f>'Date Calcs'!#REF!</f>
        <v>#REF!</v>
      </c>
      <c r="D634" s="73" t="e">
        <f t="shared" si="207"/>
        <v>#REF!</v>
      </c>
      <c r="E634" s="66">
        <v>44657</v>
      </c>
      <c r="F634" s="73" t="e">
        <f>'Date Calcs'!#REF!</f>
        <v>#REF!</v>
      </c>
      <c r="G634" s="73" t="e">
        <f>IF(VLOOKUP(A634,'Actual Dates'!A4:AF762,8,),'Actual Dates'!#REF!,"")</f>
        <v>#REF!</v>
      </c>
      <c r="H634" s="73" t="e">
        <f t="shared" si="208"/>
        <v>#REF!</v>
      </c>
      <c r="I634" s="73" t="e">
        <f>IF(VLOOKUP(A634,'Actual Dates'!A4:AF757,25,),'Actual Dates'!#REF!,"")</f>
        <v>#REF!</v>
      </c>
      <c r="J634" s="73" t="e">
        <f t="shared" si="209"/>
        <v>#REF!</v>
      </c>
      <c r="K634" s="73" t="e">
        <f>IF(VLOOKUP(A634,'Actual Dates'!A4:AF785,26,),'Actual Dates'!#REF!,"")</f>
        <v>#REF!</v>
      </c>
      <c r="L634" s="73" t="e">
        <f>IF(VLOOKUP(A634,'Actual Dates'!A4:AF785,21,),'Actual Dates'!#REF!,"")</f>
        <v>#REF!</v>
      </c>
      <c r="M634" s="73" t="e">
        <f>'Date Calcs'!#REF!</f>
        <v>#REF!</v>
      </c>
      <c r="N634" s="73" t="e">
        <f>IF(VLOOKUP(A634,'Actual Dates'!A4:AF785,27,),'Actual Dates'!#REF!,"")</f>
        <v>#REF!</v>
      </c>
      <c r="O634" s="74" t="e">
        <f t="shared" si="210"/>
        <v>#REF!</v>
      </c>
      <c r="P634" s="75" t="e">
        <f t="shared" si="211"/>
        <v>#REF!</v>
      </c>
      <c r="Q634" s="75" t="e">
        <f t="shared" si="212"/>
        <v>#REF!</v>
      </c>
      <c r="R634" s="132"/>
      <c r="S634" s="133"/>
    </row>
    <row r="635" spans="1:19" x14ac:dyDescent="0.25">
      <c r="A635" s="70" t="e">
        <f>'Date Calcs'!#REF!</f>
        <v>#REF!</v>
      </c>
      <c r="B635" s="71" t="e">
        <f>'Date Calcs'!#REF!</f>
        <v>#REF!</v>
      </c>
      <c r="C635" s="72" t="e">
        <f>'Date Calcs'!#REF!</f>
        <v>#REF!</v>
      </c>
      <c r="D635" s="73" t="e">
        <f t="shared" si="207"/>
        <v>#REF!</v>
      </c>
      <c r="E635" s="66">
        <v>44658</v>
      </c>
      <c r="F635" s="73" t="e">
        <f>'Date Calcs'!#REF!</f>
        <v>#REF!</v>
      </c>
      <c r="G635" s="73" t="e">
        <f>IF(VLOOKUP(A635,'Actual Dates'!A4:AF763,8,),'Actual Dates'!#REF!,"")</f>
        <v>#REF!</v>
      </c>
      <c r="H635" s="73" t="e">
        <f t="shared" si="208"/>
        <v>#REF!</v>
      </c>
      <c r="I635" s="73" t="e">
        <f>IF(VLOOKUP(A635,'Actual Dates'!A4:AF758,25,),'Actual Dates'!#REF!,"")</f>
        <v>#REF!</v>
      </c>
      <c r="J635" s="73" t="e">
        <f t="shared" si="209"/>
        <v>#REF!</v>
      </c>
      <c r="K635" s="73" t="e">
        <f>IF(VLOOKUP(A635,'Actual Dates'!A4:AF786,26,),'Actual Dates'!#REF!,"")</f>
        <v>#REF!</v>
      </c>
      <c r="L635" s="73" t="e">
        <f>IF(VLOOKUP(A635,'Actual Dates'!A4:AF786,21,),'Actual Dates'!#REF!,"")</f>
        <v>#REF!</v>
      </c>
      <c r="M635" s="73" t="e">
        <f>'Date Calcs'!#REF!</f>
        <v>#REF!</v>
      </c>
      <c r="N635" s="73" t="e">
        <f>IF(VLOOKUP(A635,'Actual Dates'!A4:AF786,27,),'Actual Dates'!#REF!,"")</f>
        <v>#REF!</v>
      </c>
      <c r="O635" s="74" t="e">
        <f t="shared" si="210"/>
        <v>#REF!</v>
      </c>
      <c r="P635" s="75" t="e">
        <f t="shared" si="211"/>
        <v>#REF!</v>
      </c>
      <c r="Q635" s="75" t="e">
        <f t="shared" si="212"/>
        <v>#REF!</v>
      </c>
      <c r="R635" s="132"/>
      <c r="S635" s="133"/>
    </row>
    <row r="636" spans="1:19" x14ac:dyDescent="0.25">
      <c r="A636" s="70" t="e">
        <f>'Date Calcs'!#REF!</f>
        <v>#REF!</v>
      </c>
      <c r="B636" s="71" t="e">
        <f>'Date Calcs'!#REF!</f>
        <v>#REF!</v>
      </c>
      <c r="C636" s="72" t="e">
        <f>'Date Calcs'!#REF!</f>
        <v>#REF!</v>
      </c>
      <c r="D636" s="73" t="e">
        <f t="shared" si="207"/>
        <v>#REF!</v>
      </c>
      <c r="E636" s="66">
        <v>44659</v>
      </c>
      <c r="F636" s="73" t="e">
        <f>'Date Calcs'!#REF!</f>
        <v>#REF!</v>
      </c>
      <c r="G636" s="73" t="e">
        <f>IF(VLOOKUP(A636,'Actual Dates'!A4:AF764,8,),'Actual Dates'!#REF!,"")</f>
        <v>#REF!</v>
      </c>
      <c r="H636" s="73" t="e">
        <f t="shared" si="208"/>
        <v>#REF!</v>
      </c>
      <c r="I636" s="73" t="e">
        <f>IF(VLOOKUP(A636,'Actual Dates'!A4:AF759,25,),'Actual Dates'!#REF!,"")</f>
        <v>#REF!</v>
      </c>
      <c r="J636" s="73" t="e">
        <f t="shared" si="209"/>
        <v>#REF!</v>
      </c>
      <c r="K636" s="73" t="e">
        <f>IF(VLOOKUP(A636,'Actual Dates'!A4:AF787,26,),'Actual Dates'!#REF!,"")</f>
        <v>#REF!</v>
      </c>
      <c r="L636" s="73" t="e">
        <f>IF(VLOOKUP(A636,'Actual Dates'!A4:AF787,21,),'Actual Dates'!#REF!,"")</f>
        <v>#REF!</v>
      </c>
      <c r="M636" s="73" t="e">
        <f>'Date Calcs'!#REF!</f>
        <v>#REF!</v>
      </c>
      <c r="N636" s="73" t="e">
        <f>IF(VLOOKUP(A636,'Actual Dates'!A4:AF787,27,),'Actual Dates'!#REF!,"")</f>
        <v>#REF!</v>
      </c>
      <c r="O636" s="74" t="e">
        <f t="shared" si="210"/>
        <v>#REF!</v>
      </c>
      <c r="P636" s="75" t="e">
        <f t="shared" si="211"/>
        <v>#REF!</v>
      </c>
      <c r="Q636" s="75" t="e">
        <f t="shared" si="212"/>
        <v>#REF!</v>
      </c>
      <c r="R636" s="132"/>
      <c r="S636" s="133"/>
    </row>
    <row r="637" spans="1:19" x14ac:dyDescent="0.25">
      <c r="A637" s="70" t="e">
        <f>'Date Calcs'!#REF!</f>
        <v>#REF!</v>
      </c>
      <c r="B637" s="71" t="e">
        <f>'Date Calcs'!#REF!</f>
        <v>#REF!</v>
      </c>
      <c r="C637" s="72" t="e">
        <f>'Date Calcs'!#REF!</f>
        <v>#REF!</v>
      </c>
      <c r="D637" s="73" t="e">
        <f t="shared" si="207"/>
        <v>#REF!</v>
      </c>
      <c r="E637" s="66">
        <v>44660</v>
      </c>
      <c r="F637" s="73" t="e">
        <f>'Date Calcs'!#REF!</f>
        <v>#REF!</v>
      </c>
      <c r="G637" s="73" t="e">
        <f>IF(VLOOKUP(A637,'Actual Dates'!A4:AF765,8,),'Actual Dates'!#REF!,"")</f>
        <v>#REF!</v>
      </c>
      <c r="H637" s="73" t="e">
        <f t="shared" si="208"/>
        <v>#REF!</v>
      </c>
      <c r="I637" s="73" t="e">
        <f>IF(VLOOKUP(A637,'Actual Dates'!A4:AF760,25,),'Actual Dates'!#REF!,"")</f>
        <v>#REF!</v>
      </c>
      <c r="J637" s="73" t="e">
        <f t="shared" si="209"/>
        <v>#REF!</v>
      </c>
      <c r="K637" s="73" t="e">
        <f>IF(VLOOKUP(A637,'Actual Dates'!A4:AF788,26,),'Actual Dates'!#REF!,"")</f>
        <v>#REF!</v>
      </c>
      <c r="L637" s="73" t="e">
        <f>IF(VLOOKUP(A637,'Actual Dates'!A4:AF788,21,),'Actual Dates'!#REF!,"")</f>
        <v>#REF!</v>
      </c>
      <c r="M637" s="73" t="e">
        <f>'Date Calcs'!#REF!</f>
        <v>#REF!</v>
      </c>
      <c r="N637" s="73" t="e">
        <f>IF(VLOOKUP(A637,'Actual Dates'!A4:AF788,27,),'Actual Dates'!#REF!,"")</f>
        <v>#REF!</v>
      </c>
      <c r="O637" s="74" t="e">
        <f t="shared" si="210"/>
        <v>#REF!</v>
      </c>
      <c r="P637" s="75" t="e">
        <f t="shared" si="211"/>
        <v>#REF!</v>
      </c>
      <c r="Q637" s="75" t="e">
        <f t="shared" si="212"/>
        <v>#REF!</v>
      </c>
      <c r="R637" s="132"/>
      <c r="S637" s="133"/>
    </row>
    <row r="638" spans="1:19" x14ac:dyDescent="0.25">
      <c r="A638" s="70" t="e">
        <f>'Date Calcs'!#REF!</f>
        <v>#REF!</v>
      </c>
      <c r="B638" s="71" t="e">
        <f>'Date Calcs'!#REF!</f>
        <v>#REF!</v>
      </c>
      <c r="C638" s="72" t="e">
        <f>'Date Calcs'!#REF!</f>
        <v>#REF!</v>
      </c>
      <c r="D638" s="73" t="e">
        <f t="shared" si="207"/>
        <v>#REF!</v>
      </c>
      <c r="E638" s="66">
        <v>44661</v>
      </c>
      <c r="F638" s="73" t="e">
        <f>'Date Calcs'!#REF!</f>
        <v>#REF!</v>
      </c>
      <c r="G638" s="73" t="e">
        <f>IF(VLOOKUP(A638,'Actual Dates'!A4:AF766,8,),'Actual Dates'!#REF!,"")</f>
        <v>#REF!</v>
      </c>
      <c r="H638" s="73" t="e">
        <f t="shared" si="208"/>
        <v>#REF!</v>
      </c>
      <c r="I638" s="73" t="e">
        <f>IF(VLOOKUP(A638,'Actual Dates'!A4:AF761,25,),'Actual Dates'!#REF!,"")</f>
        <v>#REF!</v>
      </c>
      <c r="J638" s="73" t="e">
        <f t="shared" si="209"/>
        <v>#REF!</v>
      </c>
      <c r="K638" s="73" t="e">
        <f>IF(VLOOKUP(A638,'Actual Dates'!A4:AF789,26,),'Actual Dates'!#REF!,"")</f>
        <v>#REF!</v>
      </c>
      <c r="L638" s="73" t="e">
        <f>IF(VLOOKUP(A638,'Actual Dates'!A4:AF789,21,),'Actual Dates'!#REF!,"")</f>
        <v>#REF!</v>
      </c>
      <c r="M638" s="73" t="e">
        <f>'Date Calcs'!#REF!</f>
        <v>#REF!</v>
      </c>
      <c r="N638" s="73" t="e">
        <f>IF(VLOOKUP(A638,'Actual Dates'!A4:AF789,27,),'Actual Dates'!#REF!,"")</f>
        <v>#REF!</v>
      </c>
      <c r="O638" s="74" t="e">
        <f t="shared" si="210"/>
        <v>#REF!</v>
      </c>
      <c r="P638" s="75" t="e">
        <f t="shared" si="211"/>
        <v>#REF!</v>
      </c>
      <c r="Q638" s="75" t="e">
        <f t="shared" si="212"/>
        <v>#REF!</v>
      </c>
      <c r="R638" s="132"/>
      <c r="S638" s="133"/>
    </row>
    <row r="639" spans="1:19" x14ac:dyDescent="0.25">
      <c r="A639" s="70" t="e">
        <f>'Date Calcs'!#REF!</f>
        <v>#REF!</v>
      </c>
      <c r="B639" s="71" t="e">
        <f>'Date Calcs'!#REF!</f>
        <v>#REF!</v>
      </c>
      <c r="C639" s="72" t="e">
        <f>'Date Calcs'!#REF!</f>
        <v>#REF!</v>
      </c>
      <c r="D639" s="73" t="e">
        <f t="shared" si="207"/>
        <v>#REF!</v>
      </c>
      <c r="E639" s="66">
        <v>44662</v>
      </c>
      <c r="F639" s="73" t="e">
        <f>'Date Calcs'!#REF!</f>
        <v>#REF!</v>
      </c>
      <c r="G639" s="73" t="e">
        <f>IF(VLOOKUP(A639,'Actual Dates'!A4:AF767,8,),'Actual Dates'!#REF!,"")</f>
        <v>#REF!</v>
      </c>
      <c r="H639" s="73" t="e">
        <f t="shared" si="208"/>
        <v>#REF!</v>
      </c>
      <c r="I639" s="73" t="e">
        <f>IF(VLOOKUP(A639,'Actual Dates'!A4:AF762,25,),'Actual Dates'!#REF!,"")</f>
        <v>#REF!</v>
      </c>
      <c r="J639" s="73" t="e">
        <f t="shared" si="209"/>
        <v>#REF!</v>
      </c>
      <c r="K639" s="73" t="e">
        <f>IF(VLOOKUP(A639,'Actual Dates'!A4:AF790,26,),'Actual Dates'!#REF!,"")</f>
        <v>#REF!</v>
      </c>
      <c r="L639" s="73" t="e">
        <f>IF(VLOOKUP(A639,'Actual Dates'!A4:AF790,21,),'Actual Dates'!#REF!,"")</f>
        <v>#REF!</v>
      </c>
      <c r="M639" s="73" t="e">
        <f>'Date Calcs'!#REF!</f>
        <v>#REF!</v>
      </c>
      <c r="N639" s="73" t="e">
        <f>IF(VLOOKUP(A639,'Actual Dates'!A4:AF790,27,),'Actual Dates'!#REF!,"")</f>
        <v>#REF!</v>
      </c>
      <c r="O639" s="74" t="e">
        <f t="shared" si="210"/>
        <v>#REF!</v>
      </c>
      <c r="P639" s="75" t="e">
        <f t="shared" si="211"/>
        <v>#REF!</v>
      </c>
      <c r="Q639" s="75" t="e">
        <f t="shared" si="212"/>
        <v>#REF!</v>
      </c>
      <c r="R639" s="132"/>
      <c r="S639" s="133"/>
    </row>
    <row r="640" spans="1:19" x14ac:dyDescent="0.25">
      <c r="A640" s="70" t="e">
        <f>'Date Calcs'!#REF!</f>
        <v>#REF!</v>
      </c>
      <c r="B640" s="71" t="e">
        <f>'Date Calcs'!#REF!</f>
        <v>#REF!</v>
      </c>
      <c r="C640" s="72" t="e">
        <f>'Date Calcs'!#REF!</f>
        <v>#REF!</v>
      </c>
      <c r="D640" s="73" t="e">
        <f t="shared" si="207"/>
        <v>#REF!</v>
      </c>
      <c r="E640" s="66">
        <v>44663</v>
      </c>
      <c r="F640" s="73" t="e">
        <f>'Date Calcs'!#REF!</f>
        <v>#REF!</v>
      </c>
      <c r="G640" s="73" t="e">
        <f>IF(VLOOKUP(A640,'Actual Dates'!A4:AF768,8,),'Actual Dates'!#REF!,"")</f>
        <v>#REF!</v>
      </c>
      <c r="H640" s="73" t="e">
        <f t="shared" si="208"/>
        <v>#REF!</v>
      </c>
      <c r="I640" s="73" t="e">
        <f>IF(VLOOKUP(A640,'Actual Dates'!A4:AF763,25,),'Actual Dates'!#REF!,"")</f>
        <v>#REF!</v>
      </c>
      <c r="J640" s="73" t="e">
        <f t="shared" si="209"/>
        <v>#REF!</v>
      </c>
      <c r="K640" s="73" t="e">
        <f>IF(VLOOKUP(A640,'Actual Dates'!A4:AF791,26,),'Actual Dates'!#REF!,"")</f>
        <v>#REF!</v>
      </c>
      <c r="L640" s="73" t="e">
        <f>IF(VLOOKUP(A640,'Actual Dates'!A4:AF791,21,),'Actual Dates'!#REF!,"")</f>
        <v>#REF!</v>
      </c>
      <c r="M640" s="73" t="e">
        <f>'Date Calcs'!#REF!</f>
        <v>#REF!</v>
      </c>
      <c r="N640" s="73" t="e">
        <f>IF(VLOOKUP(A640,'Actual Dates'!A4:AF791,27,),'Actual Dates'!#REF!,"")</f>
        <v>#REF!</v>
      </c>
      <c r="O640" s="74" t="e">
        <f t="shared" si="210"/>
        <v>#REF!</v>
      </c>
      <c r="P640" s="75" t="e">
        <f t="shared" si="211"/>
        <v>#REF!</v>
      </c>
      <c r="Q640" s="75" t="e">
        <f t="shared" si="212"/>
        <v>#REF!</v>
      </c>
      <c r="R640" s="132"/>
      <c r="S640" s="133"/>
    </row>
    <row r="641" spans="1:19" x14ac:dyDescent="0.25">
      <c r="A641" s="70" t="e">
        <f>'Date Calcs'!#REF!</f>
        <v>#REF!</v>
      </c>
      <c r="B641" s="71" t="e">
        <f>'Date Calcs'!#REF!</f>
        <v>#REF!</v>
      </c>
      <c r="C641" s="72" t="e">
        <f>'Date Calcs'!#REF!</f>
        <v>#REF!</v>
      </c>
      <c r="D641" s="73" t="e">
        <f t="shared" si="207"/>
        <v>#REF!</v>
      </c>
      <c r="E641" s="66">
        <v>44664</v>
      </c>
      <c r="F641" s="73" t="e">
        <f>'Date Calcs'!#REF!</f>
        <v>#REF!</v>
      </c>
      <c r="G641" s="73" t="e">
        <f>IF(VLOOKUP(A641,'Actual Dates'!A4:AF769,8,),'Actual Dates'!#REF!,"")</f>
        <v>#REF!</v>
      </c>
      <c r="H641" s="73" t="e">
        <f t="shared" si="208"/>
        <v>#REF!</v>
      </c>
      <c r="I641" s="73" t="e">
        <f>IF(VLOOKUP(A641,'Actual Dates'!A4:AF764,25,),'Actual Dates'!#REF!,"")</f>
        <v>#REF!</v>
      </c>
      <c r="J641" s="73" t="e">
        <f t="shared" si="209"/>
        <v>#REF!</v>
      </c>
      <c r="K641" s="73" t="e">
        <f>IF(VLOOKUP(A641,'Actual Dates'!A4:AF792,26,),'Actual Dates'!#REF!,"")</f>
        <v>#REF!</v>
      </c>
      <c r="L641" s="73" t="e">
        <f>IF(VLOOKUP(A641,'Actual Dates'!A4:AF792,21,),'Actual Dates'!#REF!,"")</f>
        <v>#REF!</v>
      </c>
      <c r="M641" s="73" t="e">
        <f>'Date Calcs'!#REF!</f>
        <v>#REF!</v>
      </c>
      <c r="N641" s="73" t="e">
        <f>IF(VLOOKUP(A641,'Actual Dates'!A4:AF792,27,),'Actual Dates'!#REF!,"")</f>
        <v>#REF!</v>
      </c>
      <c r="O641" s="74" t="e">
        <f t="shared" si="210"/>
        <v>#REF!</v>
      </c>
      <c r="P641" s="75" t="e">
        <f t="shared" si="211"/>
        <v>#REF!</v>
      </c>
      <c r="Q641" s="75" t="e">
        <f t="shared" si="212"/>
        <v>#REF!</v>
      </c>
      <c r="R641" s="132"/>
      <c r="S641" s="133"/>
    </row>
    <row r="642" spans="1:19" x14ac:dyDescent="0.25">
      <c r="A642" s="70" t="e">
        <f>'Date Calcs'!#REF!</f>
        <v>#REF!</v>
      </c>
      <c r="B642" s="71" t="e">
        <f>'Date Calcs'!#REF!</f>
        <v>#REF!</v>
      </c>
      <c r="C642" s="72" t="e">
        <f>'Date Calcs'!#REF!</f>
        <v>#REF!</v>
      </c>
      <c r="D642" s="73" t="e">
        <f t="shared" si="207"/>
        <v>#REF!</v>
      </c>
      <c r="E642" s="66">
        <v>44665</v>
      </c>
      <c r="F642" s="73" t="e">
        <f>'Date Calcs'!#REF!</f>
        <v>#REF!</v>
      </c>
      <c r="G642" s="73" t="e">
        <f>IF(VLOOKUP(A642,'Actual Dates'!A4:AF770,8,),'Actual Dates'!#REF!,"")</f>
        <v>#REF!</v>
      </c>
      <c r="H642" s="73" t="e">
        <f t="shared" si="208"/>
        <v>#REF!</v>
      </c>
      <c r="I642" s="73" t="e">
        <f>IF(VLOOKUP(A642,'Actual Dates'!A4:AF765,25,),'Actual Dates'!#REF!,"")</f>
        <v>#REF!</v>
      </c>
      <c r="J642" s="73" t="e">
        <f t="shared" si="209"/>
        <v>#REF!</v>
      </c>
      <c r="K642" s="73" t="e">
        <f>IF(VLOOKUP(A642,'Actual Dates'!A4:AF793,26,),'Actual Dates'!#REF!,"")</f>
        <v>#REF!</v>
      </c>
      <c r="L642" s="73" t="e">
        <f>IF(VLOOKUP(A642,'Actual Dates'!A4:AF793,21,),'Actual Dates'!#REF!,"")</f>
        <v>#REF!</v>
      </c>
      <c r="M642" s="73" t="e">
        <f>'Date Calcs'!#REF!</f>
        <v>#REF!</v>
      </c>
      <c r="N642" s="73" t="e">
        <f>IF(VLOOKUP(A642,'Actual Dates'!A4:AF793,27,),'Actual Dates'!#REF!,"")</f>
        <v>#REF!</v>
      </c>
      <c r="O642" s="74" t="e">
        <f t="shared" si="210"/>
        <v>#REF!</v>
      </c>
      <c r="P642" s="75" t="e">
        <f t="shared" si="211"/>
        <v>#REF!</v>
      </c>
      <c r="Q642" s="75" t="e">
        <f t="shared" si="212"/>
        <v>#REF!</v>
      </c>
      <c r="R642" s="132"/>
      <c r="S642" s="133"/>
    </row>
    <row r="643" spans="1:19" x14ac:dyDescent="0.25">
      <c r="A643" s="70" t="e">
        <f>'Date Calcs'!#REF!</f>
        <v>#REF!</v>
      </c>
      <c r="B643" s="71" t="e">
        <f>'Date Calcs'!#REF!</f>
        <v>#REF!</v>
      </c>
      <c r="C643" s="72" t="e">
        <f>'Date Calcs'!#REF!</f>
        <v>#REF!</v>
      </c>
      <c r="D643" s="73" t="e">
        <f t="shared" si="207"/>
        <v>#REF!</v>
      </c>
      <c r="E643" s="66">
        <v>44666</v>
      </c>
      <c r="F643" s="73" t="e">
        <f>'Date Calcs'!#REF!</f>
        <v>#REF!</v>
      </c>
      <c r="G643" s="73" t="e">
        <f>IF(VLOOKUP(A643,'Actual Dates'!A4:AF771,8,),'Actual Dates'!#REF!,"")</f>
        <v>#REF!</v>
      </c>
      <c r="H643" s="73" t="e">
        <f t="shared" si="208"/>
        <v>#REF!</v>
      </c>
      <c r="I643" s="73" t="e">
        <f>IF(VLOOKUP(A643,'Actual Dates'!A4:AF766,25,),'Actual Dates'!#REF!,"")</f>
        <v>#REF!</v>
      </c>
      <c r="J643" s="73" t="e">
        <f t="shared" si="209"/>
        <v>#REF!</v>
      </c>
      <c r="K643" s="73" t="e">
        <f>IF(VLOOKUP(A643,'Actual Dates'!A4:AF794,26,),'Actual Dates'!#REF!,"")</f>
        <v>#REF!</v>
      </c>
      <c r="L643" s="73" t="e">
        <f>IF(VLOOKUP(A643,'Actual Dates'!A4:AF794,21,),'Actual Dates'!#REF!,"")</f>
        <v>#REF!</v>
      </c>
      <c r="M643" s="73" t="e">
        <f>'Date Calcs'!#REF!</f>
        <v>#REF!</v>
      </c>
      <c r="N643" s="73" t="e">
        <f>IF(VLOOKUP(A643,'Actual Dates'!A4:AF794,27,),'Actual Dates'!#REF!,"")</f>
        <v>#REF!</v>
      </c>
      <c r="O643" s="74" t="e">
        <f t="shared" si="210"/>
        <v>#REF!</v>
      </c>
      <c r="P643" s="75" t="e">
        <f t="shared" si="211"/>
        <v>#REF!</v>
      </c>
      <c r="Q643" s="75" t="e">
        <f t="shared" si="212"/>
        <v>#REF!</v>
      </c>
      <c r="R643" s="132"/>
      <c r="S643" s="133"/>
    </row>
    <row r="644" spans="1:19" x14ac:dyDescent="0.25">
      <c r="A644" s="70" t="e">
        <f>'Date Calcs'!#REF!</f>
        <v>#REF!</v>
      </c>
      <c r="B644" s="71" t="e">
        <f>'Date Calcs'!#REF!</f>
        <v>#REF!</v>
      </c>
      <c r="C644" s="72" t="e">
        <f>'Date Calcs'!#REF!</f>
        <v>#REF!</v>
      </c>
      <c r="D644" s="73" t="e">
        <f t="shared" si="207"/>
        <v>#REF!</v>
      </c>
      <c r="E644" s="66">
        <v>44667</v>
      </c>
      <c r="F644" s="73" t="e">
        <f>'Date Calcs'!#REF!</f>
        <v>#REF!</v>
      </c>
      <c r="G644" s="73" t="e">
        <f>IF(VLOOKUP(A644,'Actual Dates'!A4:AF772,8,),'Actual Dates'!#REF!,"")</f>
        <v>#REF!</v>
      </c>
      <c r="H644" s="73" t="e">
        <f t="shared" si="208"/>
        <v>#REF!</v>
      </c>
      <c r="I644" s="73" t="e">
        <f>IF(VLOOKUP(A644,'Actual Dates'!A4:AF767,25,),'Actual Dates'!#REF!,"")</f>
        <v>#REF!</v>
      </c>
      <c r="J644" s="73" t="e">
        <f t="shared" si="209"/>
        <v>#REF!</v>
      </c>
      <c r="K644" s="73" t="e">
        <f>IF(VLOOKUP(A644,'Actual Dates'!A4:AF795,26,),'Actual Dates'!#REF!,"")</f>
        <v>#REF!</v>
      </c>
      <c r="L644" s="73" t="e">
        <f>IF(VLOOKUP(A644,'Actual Dates'!A4:AF795,21,),'Actual Dates'!#REF!,"")</f>
        <v>#REF!</v>
      </c>
      <c r="M644" s="73" t="e">
        <f>'Date Calcs'!#REF!</f>
        <v>#REF!</v>
      </c>
      <c r="N644" s="73" t="e">
        <f>IF(VLOOKUP(A644,'Actual Dates'!A4:AF795,27,),'Actual Dates'!#REF!,"")</f>
        <v>#REF!</v>
      </c>
      <c r="O644" s="74" t="e">
        <f t="shared" si="210"/>
        <v>#REF!</v>
      </c>
      <c r="P644" s="75" t="e">
        <f t="shared" si="211"/>
        <v>#REF!</v>
      </c>
      <c r="Q644" s="75" t="e">
        <f t="shared" si="212"/>
        <v>#REF!</v>
      </c>
      <c r="R644" s="132"/>
      <c r="S644" s="133"/>
    </row>
    <row r="645" spans="1:19" x14ac:dyDescent="0.25">
      <c r="A645" s="70" t="e">
        <f>'Date Calcs'!#REF!</f>
        <v>#REF!</v>
      </c>
      <c r="B645" s="71" t="e">
        <f>'Date Calcs'!#REF!</f>
        <v>#REF!</v>
      </c>
      <c r="C645" s="72" t="e">
        <f>'Date Calcs'!#REF!</f>
        <v>#REF!</v>
      </c>
      <c r="D645" s="73" t="e">
        <f t="shared" si="207"/>
        <v>#REF!</v>
      </c>
      <c r="E645" s="66">
        <v>44668</v>
      </c>
      <c r="F645" s="73" t="e">
        <f>'Date Calcs'!#REF!</f>
        <v>#REF!</v>
      </c>
      <c r="G645" s="73" t="e">
        <f>IF(VLOOKUP(A645,'Actual Dates'!A4:AF773,8,),'Actual Dates'!#REF!,"")</f>
        <v>#REF!</v>
      </c>
      <c r="H645" s="73" t="e">
        <f t="shared" si="208"/>
        <v>#REF!</v>
      </c>
      <c r="I645" s="73" t="e">
        <f>IF(VLOOKUP(A645,'Actual Dates'!A4:AF768,25,),'Actual Dates'!#REF!,"")</f>
        <v>#REF!</v>
      </c>
      <c r="J645" s="73" t="e">
        <f t="shared" si="209"/>
        <v>#REF!</v>
      </c>
      <c r="K645" s="73" t="e">
        <f>IF(VLOOKUP(A645,'Actual Dates'!A4:AF796,26,),'Actual Dates'!#REF!,"")</f>
        <v>#REF!</v>
      </c>
      <c r="L645" s="73" t="e">
        <f>IF(VLOOKUP(A645,'Actual Dates'!A4:AF796,21,),'Actual Dates'!#REF!,"")</f>
        <v>#REF!</v>
      </c>
      <c r="M645" s="73" t="e">
        <f>'Date Calcs'!#REF!</f>
        <v>#REF!</v>
      </c>
      <c r="N645" s="73" t="e">
        <f>IF(VLOOKUP(A645,'Actual Dates'!A4:AF796,27,),'Actual Dates'!#REF!,"")</f>
        <v>#REF!</v>
      </c>
      <c r="O645" s="74" t="e">
        <f t="shared" si="210"/>
        <v>#REF!</v>
      </c>
      <c r="P645" s="75" t="e">
        <f t="shared" si="211"/>
        <v>#REF!</v>
      </c>
      <c r="Q645" s="75" t="e">
        <f t="shared" si="212"/>
        <v>#REF!</v>
      </c>
      <c r="R645" s="132"/>
      <c r="S645" s="133"/>
    </row>
    <row r="646" spans="1:19" x14ac:dyDescent="0.25">
      <c r="A646" s="70" t="str">
        <f>'Date Calcs'!A6</f>
        <v>25-010</v>
      </c>
      <c r="B646" s="71" t="str">
        <f>'Date Calcs'!B6</f>
        <v>Kimberly Clark</v>
      </c>
      <c r="C646" s="72">
        <f>'Date Calcs'!C6</f>
        <v>45685</v>
      </c>
      <c r="D646" s="73">
        <f t="shared" si="207"/>
        <v>45719</v>
      </c>
      <c r="E646" s="66">
        <v>44669</v>
      </c>
      <c r="F646" s="73">
        <f>'Date Calcs'!H6</f>
        <v>45720</v>
      </c>
      <c r="G646" s="73" t="e">
        <f>IF(VLOOKUP(A646,'Actual Dates'!A4:AF774,8,),'Actual Dates'!#REF!,"")</f>
        <v>#REF!</v>
      </c>
      <c r="H646" s="73" t="e">
        <f t="shared" si="208"/>
        <v>#REF!</v>
      </c>
      <c r="I646" s="73" t="e">
        <f>IF(VLOOKUP(A646,'Actual Dates'!A4:AF769,25,),'Actual Dates'!#REF!,"")</f>
        <v>#REF!</v>
      </c>
      <c r="J646" s="73" t="e">
        <f t="shared" si="209"/>
        <v>#REF!</v>
      </c>
      <c r="K646" s="73" t="e">
        <f>IF(VLOOKUP(A646,'Actual Dates'!A4:AF797,26,),'Actual Dates'!#REF!,"")</f>
        <v>#REF!</v>
      </c>
      <c r="L646" s="73" t="e">
        <f>IF(VLOOKUP(A646,'Actual Dates'!A4:AF797,21,),'Actual Dates'!#REF!,"")</f>
        <v>#REF!</v>
      </c>
      <c r="M646" s="73">
        <f>'Date Calcs'!AE6</f>
        <v>45914</v>
      </c>
      <c r="N646" s="73" t="e">
        <f>IF(VLOOKUP(A646,'Actual Dates'!A4:AF797,27,),'Actual Dates'!#REF!,"")</f>
        <v>#REF!</v>
      </c>
      <c r="O646" s="74" t="e">
        <f t="shared" si="210"/>
        <v>#REF!</v>
      </c>
      <c r="P646" s="75" t="e">
        <f t="shared" si="211"/>
        <v>#REF!</v>
      </c>
      <c r="Q646" s="75" t="e">
        <f t="shared" si="212"/>
        <v>#REF!</v>
      </c>
      <c r="R646" s="132"/>
      <c r="S646" s="133"/>
    </row>
    <row r="647" spans="1:19" x14ac:dyDescent="0.25">
      <c r="A647" s="70" t="str">
        <f>'Date Calcs'!A7</f>
        <v>25-011</v>
      </c>
      <c r="B647" s="71" t="str">
        <f>'Date Calcs'!B7</f>
        <v>Kimberly Clark</v>
      </c>
      <c r="C647" s="72">
        <f>'Date Calcs'!C7</f>
        <v>45685</v>
      </c>
      <c r="D647" s="73">
        <f t="shared" si="207"/>
        <v>45719</v>
      </c>
      <c r="E647" s="66">
        <v>44670</v>
      </c>
      <c r="F647" s="73">
        <f>'Date Calcs'!H7</f>
        <v>45720</v>
      </c>
      <c r="G647" s="73" t="e">
        <f>IF(VLOOKUP(A647,'Actual Dates'!A4:AF775,8,),'Actual Dates'!#REF!,"")</f>
        <v>#REF!</v>
      </c>
      <c r="H647" s="73" t="e">
        <f t="shared" si="208"/>
        <v>#REF!</v>
      </c>
      <c r="I647" s="73" t="e">
        <f>IF(VLOOKUP(A647,'Actual Dates'!A4:AF770,25,),'Actual Dates'!#REF!,"")</f>
        <v>#REF!</v>
      </c>
      <c r="J647" s="73" t="e">
        <f t="shared" si="209"/>
        <v>#REF!</v>
      </c>
      <c r="K647" s="73" t="str">
        <f>IF(VLOOKUP(A647,'Actual Dates'!A4:AF798,26,),'Actual Dates'!#REF!,"")</f>
        <v/>
      </c>
      <c r="L647" s="73" t="e">
        <f>IF(VLOOKUP(A647,'Actual Dates'!A4:AF798,21,),'Actual Dates'!#REF!,"")</f>
        <v>#REF!</v>
      </c>
      <c r="M647" s="73">
        <f>'Date Calcs'!AE7</f>
        <v>45921</v>
      </c>
      <c r="N647" s="73" t="e">
        <f>IF(VLOOKUP(A647,'Actual Dates'!A4:AF798,27,),'Actual Dates'!#REF!,"")</f>
        <v>#REF!</v>
      </c>
      <c r="O647" s="74" t="e">
        <f t="shared" si="210"/>
        <v>#REF!</v>
      </c>
      <c r="P647" s="75" t="e">
        <f t="shared" si="211"/>
        <v>#REF!</v>
      </c>
      <c r="Q647" s="75" t="e">
        <f t="shared" si="212"/>
        <v>#REF!</v>
      </c>
      <c r="R647" s="132"/>
      <c r="S647" s="133"/>
    </row>
    <row r="648" spans="1:19" x14ac:dyDescent="0.25">
      <c r="A648" s="70" t="str">
        <f>'Date Calcs'!A8</f>
        <v>25-012</v>
      </c>
      <c r="B648" s="71" t="str">
        <f>'Date Calcs'!B8</f>
        <v>Kimberly Clark</v>
      </c>
      <c r="C648" s="72">
        <f>'Date Calcs'!C8</f>
        <v>45685</v>
      </c>
      <c r="D648" s="73">
        <f t="shared" si="207"/>
        <v>45719</v>
      </c>
      <c r="E648" s="66">
        <v>44671</v>
      </c>
      <c r="F648" s="73">
        <f>'Date Calcs'!H8</f>
        <v>45720</v>
      </c>
      <c r="G648" s="73" t="e">
        <f>IF(VLOOKUP(A648,'Actual Dates'!A4:AF776,8,),'Actual Dates'!#REF!,"")</f>
        <v>#REF!</v>
      </c>
      <c r="H648" s="73" t="e">
        <f t="shared" si="208"/>
        <v>#REF!</v>
      </c>
      <c r="I648" s="73" t="e">
        <f>IF(VLOOKUP(A648,'Actual Dates'!A4:AF771,25,),'Actual Dates'!#REF!,"")</f>
        <v>#REF!</v>
      </c>
      <c r="J648" s="73" t="e">
        <f t="shared" si="209"/>
        <v>#REF!</v>
      </c>
      <c r="K648" s="73" t="e">
        <f>IF(VLOOKUP(A648,'Actual Dates'!A4:AF799,26,),'Actual Dates'!#REF!,"")</f>
        <v>#REF!</v>
      </c>
      <c r="L648" s="73" t="e">
        <f>IF(VLOOKUP(A648,'Actual Dates'!A4:AF799,21,),'Actual Dates'!#REF!,"")</f>
        <v>#REF!</v>
      </c>
      <c r="M648" s="73">
        <f>'Date Calcs'!AE8</f>
        <v>45921</v>
      </c>
      <c r="N648" s="73" t="e">
        <f>IF(VLOOKUP(A648,'Actual Dates'!A4:AF799,27,),'Actual Dates'!#REF!,"")</f>
        <v>#REF!</v>
      </c>
      <c r="O648" s="74" t="e">
        <f t="shared" si="210"/>
        <v>#REF!</v>
      </c>
      <c r="P648" s="75" t="e">
        <f t="shared" si="211"/>
        <v>#REF!</v>
      </c>
      <c r="Q648" s="75" t="e">
        <f t="shared" si="212"/>
        <v>#REF!</v>
      </c>
      <c r="R648" s="132"/>
      <c r="S648" s="133"/>
    </row>
    <row r="649" spans="1:19" x14ac:dyDescent="0.25">
      <c r="A649" s="70" t="str">
        <f>'Date Calcs'!A9</f>
        <v>25-013</v>
      </c>
      <c r="B649" s="71" t="str">
        <f>'Date Calcs'!B9</f>
        <v>Kimberly Clark</v>
      </c>
      <c r="C649" s="72">
        <f>'Date Calcs'!C9</f>
        <v>45685</v>
      </c>
      <c r="D649" s="73">
        <f t="shared" ref="D649:D712" si="213">WORKDAY(F649,-1,)</f>
        <v>45719</v>
      </c>
      <c r="E649" s="66">
        <v>44672</v>
      </c>
      <c r="F649" s="73">
        <f>'Date Calcs'!H9</f>
        <v>45720</v>
      </c>
      <c r="G649" s="73" t="e">
        <f>IF(VLOOKUP(A649,'Actual Dates'!A4:AF777,8,),'Actual Dates'!#REF!,"")</f>
        <v>#REF!</v>
      </c>
      <c r="H649" s="73" t="e">
        <f t="shared" ref="H649:H712" si="214">WORKDAY(L649,3,)</f>
        <v>#REF!</v>
      </c>
      <c r="I649" s="73" t="e">
        <f>IF(VLOOKUP(A649,'Actual Dates'!A4:AF772,25,),'Actual Dates'!#REF!,"")</f>
        <v>#REF!</v>
      </c>
      <c r="J649" s="73" t="e">
        <f t="shared" ref="J649:J712" si="215">WORKDAY(L649,4,)</f>
        <v>#REF!</v>
      </c>
      <c r="K649" s="73" t="e">
        <f>IF(VLOOKUP(A649,'Actual Dates'!A4:AF800,26,),'Actual Dates'!#REF!,"")</f>
        <v>#REF!</v>
      </c>
      <c r="L649" s="73" t="e">
        <f>IF(VLOOKUP(A649,'Actual Dates'!A4:AF800,21,),'Actual Dates'!#REF!,"")</f>
        <v>#REF!</v>
      </c>
      <c r="M649" s="73">
        <f>'Date Calcs'!AE9</f>
        <v>45830</v>
      </c>
      <c r="N649" s="73" t="e">
        <f>IF(VLOOKUP(A649,'Actual Dates'!A4:AF800,27,),'Actual Dates'!#REF!,"")</f>
        <v>#REF!</v>
      </c>
      <c r="O649" s="74" t="e">
        <f t="shared" ref="O649:O712" si="216">N649-C649</f>
        <v>#REF!</v>
      </c>
      <c r="P649" s="75" t="e">
        <f t="shared" ref="P649:P712" si="217">F649-G649</f>
        <v>#REF!</v>
      </c>
      <c r="Q649" s="75" t="e">
        <f t="shared" ref="Q649:Q712" si="218">M649-N649</f>
        <v>#REF!</v>
      </c>
      <c r="R649" s="132"/>
      <c r="S649" s="133"/>
    </row>
    <row r="650" spans="1:19" x14ac:dyDescent="0.25">
      <c r="A650" s="70" t="str">
        <f>'Date Calcs'!A10</f>
        <v>25-014</v>
      </c>
      <c r="B650" s="71" t="str">
        <f>'Date Calcs'!B10</f>
        <v>Kimberly Clark</v>
      </c>
      <c r="C650" s="72">
        <f>'Date Calcs'!C10</f>
        <v>45685</v>
      </c>
      <c r="D650" s="73">
        <f t="shared" si="213"/>
        <v>45719</v>
      </c>
      <c r="E650" s="66">
        <v>44673</v>
      </c>
      <c r="F650" s="73">
        <f>'Date Calcs'!H10</f>
        <v>45720</v>
      </c>
      <c r="G650" s="73">
        <f>IF(VLOOKUP(A650,'Actual Dates'!A4:AF778,8,),'Actual Dates'!H5,"")</f>
        <v>45805</v>
      </c>
      <c r="H650" s="73">
        <f t="shared" si="214"/>
        <v>45902</v>
      </c>
      <c r="I650" s="73">
        <f>IF(VLOOKUP(A650,'Actual Dates'!A4:AF773,25,),'Actual Dates'!AA5,"")</f>
        <v>45866</v>
      </c>
      <c r="J650" s="73">
        <f t="shared" si="215"/>
        <v>45903</v>
      </c>
      <c r="K650" s="73" t="str">
        <f>IF(VLOOKUP(A650,'Actual Dates'!A4:AF801,26,),'Actual Dates'!AB5,"")</f>
        <v/>
      </c>
      <c r="L650" s="73">
        <f>IF(VLOOKUP(A650,'Actual Dates'!A4:AF801,21,),'Actual Dates'!U5,"")</f>
        <v>45897</v>
      </c>
      <c r="M650" s="73">
        <f>'Date Calcs'!AE10</f>
        <v>45815</v>
      </c>
      <c r="N650" s="73">
        <f>IF(VLOOKUP(A650,'Actual Dates'!A4:AF801,27,),'Actual Dates'!AE5,"")</f>
        <v>46039</v>
      </c>
      <c r="O650" s="74">
        <f t="shared" si="216"/>
        <v>354</v>
      </c>
      <c r="P650" s="75">
        <f t="shared" si="217"/>
        <v>-85</v>
      </c>
      <c r="Q650" s="75">
        <f t="shared" si="218"/>
        <v>-224</v>
      </c>
      <c r="R650" s="132"/>
      <c r="S650" s="133"/>
    </row>
    <row r="651" spans="1:19" x14ac:dyDescent="0.25">
      <c r="A651" s="70" t="str">
        <f>'Date Calcs'!A11</f>
        <v>25-015</v>
      </c>
      <c r="B651" s="71" t="str">
        <f>'Date Calcs'!B11</f>
        <v>Kimberly Clark</v>
      </c>
      <c r="C651" s="72">
        <f>'Date Calcs'!C11</f>
        <v>45685</v>
      </c>
      <c r="D651" s="73">
        <f t="shared" si="213"/>
        <v>45719</v>
      </c>
      <c r="E651" s="66">
        <v>44674</v>
      </c>
      <c r="F651" s="73">
        <f>'Date Calcs'!H11</f>
        <v>45720</v>
      </c>
      <c r="G651" s="73">
        <f>IF(VLOOKUP(A651,'Actual Dates'!A4:AF779,8,),'Actual Dates'!H6,"")</f>
        <v>45772</v>
      </c>
      <c r="H651" s="73">
        <f t="shared" si="214"/>
        <v>45909</v>
      </c>
      <c r="I651" s="73">
        <f>IF(VLOOKUP(A651,'Actual Dates'!A4:AF774,25,),'Actual Dates'!AA6,"")</f>
        <v>45835</v>
      </c>
      <c r="J651" s="73">
        <f t="shared" si="215"/>
        <v>45910</v>
      </c>
      <c r="K651" s="73" t="str">
        <f>IF(VLOOKUP(A651,'Actual Dates'!A4:AF802,26,),'Actual Dates'!AB6,"")</f>
        <v/>
      </c>
      <c r="L651" s="73">
        <f>IF(VLOOKUP(A651,'Actual Dates'!A4:AF802,21,),'Actual Dates'!U6,"")</f>
        <v>45904</v>
      </c>
      <c r="M651" s="73">
        <f>'Date Calcs'!AE11</f>
        <v>45815</v>
      </c>
      <c r="N651" s="73">
        <f>IF(VLOOKUP(A651,'Actual Dates'!A4:AF802,27,),'Actual Dates'!AE6,"")</f>
        <v>0</v>
      </c>
      <c r="O651" s="74">
        <f t="shared" si="216"/>
        <v>-45685</v>
      </c>
      <c r="P651" s="75">
        <f t="shared" si="217"/>
        <v>-52</v>
      </c>
      <c r="Q651" s="75">
        <f t="shared" si="218"/>
        <v>45815</v>
      </c>
      <c r="R651" s="132"/>
      <c r="S651" s="133"/>
    </row>
    <row r="652" spans="1:19" x14ac:dyDescent="0.25">
      <c r="A652" s="70" t="str">
        <f>'Date Calcs'!A12</f>
        <v>25-016</v>
      </c>
      <c r="B652" s="71" t="str">
        <f>'Date Calcs'!B12</f>
        <v>Kimberly Clark</v>
      </c>
      <c r="C652" s="72">
        <f>'Date Calcs'!C12</f>
        <v>45685</v>
      </c>
      <c r="D652" s="73">
        <f t="shared" si="213"/>
        <v>45719</v>
      </c>
      <c r="E652" s="66">
        <v>44675</v>
      </c>
      <c r="F652" s="73">
        <f>'Date Calcs'!H12</f>
        <v>45720</v>
      </c>
      <c r="G652" s="73">
        <f>IF(VLOOKUP(A652,'Actual Dates'!A4:AF780,8,),'Actual Dates'!H7,"")</f>
        <v>45772</v>
      </c>
      <c r="H652" s="73">
        <f t="shared" si="214"/>
        <v>45909</v>
      </c>
      <c r="I652" s="73">
        <f>IF(VLOOKUP(A652,'Actual Dates'!A4:AF775,25,),'Actual Dates'!AA7,"")</f>
        <v>45839</v>
      </c>
      <c r="J652" s="73">
        <f t="shared" si="215"/>
        <v>45910</v>
      </c>
      <c r="K652" s="73">
        <f>IF(VLOOKUP(A652,'Actual Dates'!A4:AF803,26,),'Actual Dates'!AB7,"")</f>
        <v>45664</v>
      </c>
      <c r="L652" s="73">
        <f>IF(VLOOKUP(A652,'Actual Dates'!A4:AF803,21,),'Actual Dates'!U7,"")</f>
        <v>45904</v>
      </c>
      <c r="M652" s="73">
        <f>'Date Calcs'!AE12</f>
        <v>45815</v>
      </c>
      <c r="N652" s="73">
        <f>IF(VLOOKUP(A652,'Actual Dates'!A4:AF803,27,),'Actual Dates'!AE7,"")</f>
        <v>46030</v>
      </c>
      <c r="O652" s="74">
        <f t="shared" si="216"/>
        <v>345</v>
      </c>
      <c r="P652" s="75">
        <f t="shared" si="217"/>
        <v>-52</v>
      </c>
      <c r="Q652" s="75">
        <f t="shared" si="218"/>
        <v>-215</v>
      </c>
      <c r="R652" s="132"/>
      <c r="S652" s="133"/>
    </row>
    <row r="653" spans="1:19" x14ac:dyDescent="0.25">
      <c r="A653" s="70" t="str">
        <f>'Date Calcs'!A13</f>
        <v>25-017</v>
      </c>
      <c r="B653" s="71" t="str">
        <f>'Date Calcs'!B13</f>
        <v>Kimberly Clark</v>
      </c>
      <c r="C653" s="72">
        <f>'Date Calcs'!C13</f>
        <v>45685</v>
      </c>
      <c r="D653" s="73">
        <f t="shared" si="213"/>
        <v>45719</v>
      </c>
      <c r="E653" s="66">
        <v>44676</v>
      </c>
      <c r="F653" s="73">
        <f>'Date Calcs'!H13</f>
        <v>45720</v>
      </c>
      <c r="G653" s="73">
        <f>IF(VLOOKUP(A653,'Actual Dates'!A4:AF781,8,),'Actual Dates'!H8,"")</f>
        <v>45741</v>
      </c>
      <c r="H653" s="73">
        <f t="shared" si="214"/>
        <v>45817</v>
      </c>
      <c r="I653" s="73">
        <f>IF(VLOOKUP(A653,'Actual Dates'!A4:AF776,25,),'Actual Dates'!AA8,"")</f>
        <v>45840</v>
      </c>
      <c r="J653" s="73">
        <f t="shared" si="215"/>
        <v>45818</v>
      </c>
      <c r="K653" s="73" t="str">
        <f>IF(VLOOKUP(A653,'Actual Dates'!A4:AF804,26,),'Actual Dates'!AB8,"")</f>
        <v/>
      </c>
      <c r="L653" s="73">
        <f>IF(VLOOKUP(A653,'Actual Dates'!A4:AF804,21,),'Actual Dates'!U8,"")</f>
        <v>45812</v>
      </c>
      <c r="M653" s="73">
        <f>'Date Calcs'!AE13</f>
        <v>45778</v>
      </c>
      <c r="N653" s="73">
        <f>IF(VLOOKUP(A653,'Actual Dates'!A4:AF804,27,),'Actual Dates'!AE8,"")</f>
        <v>45957</v>
      </c>
      <c r="O653" s="74">
        <f t="shared" si="216"/>
        <v>272</v>
      </c>
      <c r="P653" s="75">
        <f t="shared" si="217"/>
        <v>-21</v>
      </c>
      <c r="Q653" s="75">
        <f t="shared" si="218"/>
        <v>-179</v>
      </c>
      <c r="R653" s="132"/>
      <c r="S653" s="133"/>
    </row>
    <row r="654" spans="1:19" x14ac:dyDescent="0.25">
      <c r="A654" s="70" t="str">
        <f>'Date Calcs'!A14</f>
        <v>25-018</v>
      </c>
      <c r="B654" s="71" t="str">
        <f>'Date Calcs'!B14</f>
        <v>Kimberly Clark</v>
      </c>
      <c r="C654" s="72">
        <f>'Date Calcs'!C14</f>
        <v>45685</v>
      </c>
      <c r="D654" s="73">
        <f t="shared" si="213"/>
        <v>45719</v>
      </c>
      <c r="E654" s="66">
        <v>44677</v>
      </c>
      <c r="F654" s="73">
        <f>'Date Calcs'!H14</f>
        <v>45720</v>
      </c>
      <c r="G654" s="73">
        <f>IF(VLOOKUP(A654,'Actual Dates'!A4:AF782,8,),'Actual Dates'!H9,"")</f>
        <v>45749</v>
      </c>
      <c r="H654" s="73">
        <f t="shared" si="214"/>
        <v>45810</v>
      </c>
      <c r="I654" s="73">
        <f>IF(VLOOKUP(A654,'Actual Dates'!A4:AF777,25,),'Actual Dates'!AA9,"")</f>
        <v>45840</v>
      </c>
      <c r="J654" s="73">
        <f t="shared" si="215"/>
        <v>45811</v>
      </c>
      <c r="K654" s="73">
        <f>IF(VLOOKUP(A654,'Actual Dates'!A4:AF805,26,),'Actual Dates'!AB9,"")</f>
        <v>45903</v>
      </c>
      <c r="L654" s="73">
        <f>IF(VLOOKUP(A654,'Actual Dates'!A4:AF805,21,),'Actual Dates'!U9,"")</f>
        <v>45805</v>
      </c>
      <c r="M654" s="73">
        <f>'Date Calcs'!AE14</f>
        <v>45914</v>
      </c>
      <c r="N654" s="73">
        <f>IF(VLOOKUP(A654,'Actual Dates'!A4:AF805,27,),'Actual Dates'!AE9,"")</f>
        <v>45903</v>
      </c>
      <c r="O654" s="74">
        <f t="shared" si="216"/>
        <v>218</v>
      </c>
      <c r="P654" s="75">
        <f t="shared" si="217"/>
        <v>-29</v>
      </c>
      <c r="Q654" s="75">
        <f t="shared" si="218"/>
        <v>11</v>
      </c>
      <c r="R654" s="132"/>
      <c r="S654" s="133"/>
    </row>
    <row r="655" spans="1:19" x14ac:dyDescent="0.25">
      <c r="A655" s="70" t="str">
        <f>'Date Calcs'!A15</f>
        <v>25-019</v>
      </c>
      <c r="B655" s="71" t="str">
        <f>'Date Calcs'!B15</f>
        <v>Kimberly Clark</v>
      </c>
      <c r="C655" s="72">
        <f>'Date Calcs'!C15</f>
        <v>45685</v>
      </c>
      <c r="D655" s="73">
        <f t="shared" si="213"/>
        <v>45719</v>
      </c>
      <c r="E655" s="66">
        <v>44678</v>
      </c>
      <c r="F655" s="73">
        <f>'Date Calcs'!H15</f>
        <v>45720</v>
      </c>
      <c r="G655" s="73">
        <f>IF(VLOOKUP(A655,'Actual Dates'!A4:AF783,8,),'Actual Dates'!H10,"")</f>
        <v>45749</v>
      </c>
      <c r="H655" s="73">
        <f t="shared" si="214"/>
        <v>45810</v>
      </c>
      <c r="I655" s="73">
        <f>IF(VLOOKUP(A655,'Actual Dates'!A4:AF778,25,),'Actual Dates'!AA10,"")</f>
        <v>45855</v>
      </c>
      <c r="J655" s="73">
        <f t="shared" si="215"/>
        <v>45811</v>
      </c>
      <c r="K655" s="73">
        <f>IF(VLOOKUP(A655,'Actual Dates'!A4:AF806,26,),'Actual Dates'!AB10,"")</f>
        <v>45896</v>
      </c>
      <c r="L655" s="73">
        <f>IF(VLOOKUP(A655,'Actual Dates'!A4:AF806,21,),'Actual Dates'!U10,"")</f>
        <v>45805</v>
      </c>
      <c r="M655" s="73">
        <f>'Date Calcs'!AE15</f>
        <v>45921</v>
      </c>
      <c r="N655" s="73">
        <f>IF(VLOOKUP(A655,'Actual Dates'!A4:AF806,27,),'Actual Dates'!AE10,"")</f>
        <v>45896</v>
      </c>
      <c r="O655" s="74">
        <f t="shared" si="216"/>
        <v>211</v>
      </c>
      <c r="P655" s="75">
        <f t="shared" si="217"/>
        <v>-29</v>
      </c>
      <c r="Q655" s="75">
        <f t="shared" si="218"/>
        <v>25</v>
      </c>
      <c r="R655" s="132"/>
      <c r="S655" s="133"/>
    </row>
    <row r="656" spans="1:19" x14ac:dyDescent="0.25">
      <c r="A656" s="70" t="str">
        <f>'Date Calcs'!A16</f>
        <v>25-020</v>
      </c>
      <c r="B656" s="71" t="str">
        <f>'Date Calcs'!B16</f>
        <v>Kimberly Clark</v>
      </c>
      <c r="C656" s="72">
        <f>'Date Calcs'!C16</f>
        <v>45685</v>
      </c>
      <c r="D656" s="73">
        <f t="shared" si="213"/>
        <v>45719</v>
      </c>
      <c r="E656" s="66">
        <v>44679</v>
      </c>
      <c r="F656" s="73">
        <f>'Date Calcs'!H16</f>
        <v>45720</v>
      </c>
      <c r="G656" s="73">
        <f>IF(VLOOKUP(A656,'Actual Dates'!A4:AF784,8,),'Actual Dates'!H11,"")</f>
        <v>45749</v>
      </c>
      <c r="H656" s="73">
        <f t="shared" si="214"/>
        <v>45810</v>
      </c>
      <c r="I656" s="73">
        <f>IF(VLOOKUP(A656,'Actual Dates'!A4:AF779,25,),'Actual Dates'!AA11,"")</f>
        <v>45860</v>
      </c>
      <c r="J656" s="73">
        <f t="shared" si="215"/>
        <v>45811</v>
      </c>
      <c r="K656" s="73" t="str">
        <f>IF(VLOOKUP(A656,'Actual Dates'!A4:AF807,26,),'Actual Dates'!AB11,"")</f>
        <v/>
      </c>
      <c r="L656" s="73">
        <f>IF(VLOOKUP(A656,'Actual Dates'!A4:AF807,21,),'Actual Dates'!U11,"")</f>
        <v>45805</v>
      </c>
      <c r="M656" s="73">
        <f>'Date Calcs'!AE16</f>
        <v>45914</v>
      </c>
      <c r="N656" s="73">
        <f>IF(VLOOKUP(A656,'Actual Dates'!A4:AF807,27,),'Actual Dates'!AE11,"")</f>
        <v>45995</v>
      </c>
      <c r="O656" s="74">
        <f t="shared" si="216"/>
        <v>310</v>
      </c>
      <c r="P656" s="75">
        <f t="shared" si="217"/>
        <v>-29</v>
      </c>
      <c r="Q656" s="75">
        <f t="shared" si="218"/>
        <v>-81</v>
      </c>
      <c r="R656" s="132"/>
      <c r="S656" s="133"/>
    </row>
    <row r="657" spans="1:19" x14ac:dyDescent="0.25">
      <c r="A657" s="70" t="str">
        <f>'Date Calcs'!A17</f>
        <v>25-021</v>
      </c>
      <c r="B657" s="71" t="str">
        <f>'Date Calcs'!B17</f>
        <v>Kimberly Clark</v>
      </c>
      <c r="C657" s="72">
        <f>'Date Calcs'!C17</f>
        <v>45685</v>
      </c>
      <c r="D657" s="73">
        <f t="shared" si="213"/>
        <v>45719</v>
      </c>
      <c r="E657" s="66">
        <v>44680</v>
      </c>
      <c r="F657" s="73">
        <f>'Date Calcs'!H17</f>
        <v>45720</v>
      </c>
      <c r="G657" s="73">
        <f>IF(VLOOKUP(A657,'Actual Dates'!A4:AF785,8,),'Actual Dates'!H12,"")</f>
        <v>45726</v>
      </c>
      <c r="H657" s="73">
        <f t="shared" si="214"/>
        <v>45772</v>
      </c>
      <c r="I657" s="73">
        <f>IF(VLOOKUP(A657,'Actual Dates'!A4:AF780,25,),'Actual Dates'!AA12,"")</f>
        <v>45861</v>
      </c>
      <c r="J657" s="73">
        <f t="shared" si="215"/>
        <v>45775</v>
      </c>
      <c r="K657" s="73">
        <f>IF(VLOOKUP(A657,'Actual Dates'!A4:AF808,26,),'Actual Dates'!AB12,"")</f>
        <v>45930</v>
      </c>
      <c r="L657" s="73">
        <f>IF(VLOOKUP(A657,'Actual Dates'!A4:AF808,21,),'Actual Dates'!U12,"")</f>
        <v>45769</v>
      </c>
      <c r="M657" s="73">
        <f>'Date Calcs'!AE17</f>
        <v>45921</v>
      </c>
      <c r="N657" s="73">
        <f>IF(VLOOKUP(A657,'Actual Dates'!A4:AF808,27,),'Actual Dates'!AE12,"")</f>
        <v>45930</v>
      </c>
      <c r="O657" s="74">
        <f t="shared" si="216"/>
        <v>245</v>
      </c>
      <c r="P657" s="75">
        <f t="shared" si="217"/>
        <v>-6</v>
      </c>
      <c r="Q657" s="75">
        <f t="shared" si="218"/>
        <v>-9</v>
      </c>
      <c r="R657" s="132"/>
      <c r="S657" s="133"/>
    </row>
    <row r="658" spans="1:19" x14ac:dyDescent="0.25">
      <c r="A658" s="70" t="str">
        <f>'Date Calcs'!A18</f>
        <v>25-023</v>
      </c>
      <c r="B658" s="71" t="str">
        <f>'Date Calcs'!B18</f>
        <v>Andritz</v>
      </c>
      <c r="C658" s="72">
        <f>'Date Calcs'!C18</f>
        <v>45687</v>
      </c>
      <c r="D658" s="73">
        <f t="shared" si="213"/>
        <v>45700</v>
      </c>
      <c r="E658" s="66">
        <v>44681</v>
      </c>
      <c r="F658" s="73">
        <f>'Date Calcs'!H18</f>
        <v>45701</v>
      </c>
      <c r="G658" s="73">
        <f>IF(VLOOKUP(A658,'Actual Dates'!A4:AF786,8,),'Actual Dates'!H13,"")</f>
        <v>45798</v>
      </c>
      <c r="H658" s="73">
        <f t="shared" si="214"/>
        <v>45910</v>
      </c>
      <c r="I658" s="73">
        <f>IF(VLOOKUP(A658,'Actual Dates'!A4:AF781,25,),'Actual Dates'!AA13,"")</f>
        <v>45919</v>
      </c>
      <c r="J658" s="73">
        <f t="shared" si="215"/>
        <v>45911</v>
      </c>
      <c r="K658" s="73" t="str">
        <f>IF(VLOOKUP(A658,'Actual Dates'!A4:AF809,26,),'Actual Dates'!AB13,"")</f>
        <v/>
      </c>
      <c r="L658" s="73">
        <f>IF(VLOOKUP(A658,'Actual Dates'!A4:AF809,21,),'Actual Dates'!U13,"")</f>
        <v>45905</v>
      </c>
      <c r="M658" s="73">
        <f>'Date Calcs'!AE18</f>
        <v>45750</v>
      </c>
      <c r="N658" s="73">
        <f>IF(VLOOKUP(A658,'Actual Dates'!A4:AF809,27,),'Actual Dates'!AE13,"")</f>
        <v>45954</v>
      </c>
      <c r="O658" s="74">
        <f t="shared" si="216"/>
        <v>267</v>
      </c>
      <c r="P658" s="75">
        <f t="shared" si="217"/>
        <v>-97</v>
      </c>
      <c r="Q658" s="75">
        <f t="shared" si="218"/>
        <v>-204</v>
      </c>
      <c r="R658" s="132"/>
      <c r="S658" s="133"/>
    </row>
    <row r="659" spans="1:19" x14ac:dyDescent="0.25">
      <c r="A659" s="70" t="str">
        <f>'Date Calcs'!A19</f>
        <v>25-024</v>
      </c>
      <c r="B659" s="71" t="str">
        <f>'Date Calcs'!B19</f>
        <v>Andritz</v>
      </c>
      <c r="C659" s="72">
        <f>'Date Calcs'!C19</f>
        <v>45687</v>
      </c>
      <c r="D659" s="73">
        <f t="shared" si="213"/>
        <v>45700</v>
      </c>
      <c r="E659" s="66">
        <v>44682</v>
      </c>
      <c r="F659" s="73">
        <f>'Date Calcs'!H19</f>
        <v>45701</v>
      </c>
      <c r="G659" s="73">
        <f>IF(VLOOKUP(A659,'Actual Dates'!A4:AF787,8,),'Actual Dates'!H14,"")</f>
        <v>45790</v>
      </c>
      <c r="H659" s="73">
        <f t="shared" si="214"/>
        <v>45910</v>
      </c>
      <c r="I659" s="73">
        <f>IF(VLOOKUP(A659,'Actual Dates'!A4:AF782,25,),'Actual Dates'!AA14,"")</f>
        <v>45917</v>
      </c>
      <c r="J659" s="73">
        <f t="shared" si="215"/>
        <v>45911</v>
      </c>
      <c r="K659" s="73" t="str">
        <f>IF(VLOOKUP(A659,'Actual Dates'!A4:AF810,26,),'Actual Dates'!AB14,"")</f>
        <v/>
      </c>
      <c r="L659" s="73">
        <f>IF(VLOOKUP(A659,'Actual Dates'!A4:AF810,21,),'Actual Dates'!U14,"")</f>
        <v>45905</v>
      </c>
      <c r="M659" s="73">
        <f>'Date Calcs'!AE19</f>
        <v>45750</v>
      </c>
      <c r="N659" s="73">
        <f>IF(VLOOKUP(A659,'Actual Dates'!A4:AF810,27,),'Actual Dates'!AE14,"")</f>
        <v>45995</v>
      </c>
      <c r="O659" s="74">
        <f t="shared" si="216"/>
        <v>308</v>
      </c>
      <c r="P659" s="75">
        <f t="shared" si="217"/>
        <v>-89</v>
      </c>
      <c r="Q659" s="75">
        <f t="shared" si="218"/>
        <v>-245</v>
      </c>
      <c r="R659" s="132"/>
      <c r="S659" s="133"/>
    </row>
    <row r="660" spans="1:19" x14ac:dyDescent="0.25">
      <c r="A660" s="70" t="str">
        <f>'Date Calcs'!A20</f>
        <v>25-025</v>
      </c>
      <c r="B660" s="71" t="str">
        <f>'Date Calcs'!B20</f>
        <v>Irving Tissue</v>
      </c>
      <c r="C660" s="72">
        <f>'Date Calcs'!C20</f>
        <v>45693</v>
      </c>
      <c r="D660" s="73">
        <f t="shared" si="213"/>
        <v>45720</v>
      </c>
      <c r="E660" s="66">
        <v>44683</v>
      </c>
      <c r="F660" s="73">
        <f>'Date Calcs'!H20</f>
        <v>45721</v>
      </c>
      <c r="G660" s="73">
        <f>IF(VLOOKUP(A660,'Actual Dates'!A4:AF788,8,),'Actual Dates'!H15,"")</f>
        <v>45741</v>
      </c>
      <c r="H660" s="73">
        <f t="shared" si="214"/>
        <v>45898</v>
      </c>
      <c r="I660" s="73">
        <f>IF(VLOOKUP(A660,'Actual Dates'!A4:AF783,25,),'Actual Dates'!AA15,"")</f>
        <v>45888</v>
      </c>
      <c r="J660" s="73">
        <f t="shared" si="215"/>
        <v>45901</v>
      </c>
      <c r="K660" s="73" t="str">
        <f>IF(VLOOKUP(A660,'Actual Dates'!A4:AF811,26,),'Actual Dates'!AB15,"")</f>
        <v/>
      </c>
      <c r="L660" s="73">
        <f>IF(VLOOKUP(A660,'Actual Dates'!A4:AF811,21,),'Actual Dates'!U15,"")</f>
        <v>45895</v>
      </c>
      <c r="M660" s="73">
        <f>'Date Calcs'!AE20</f>
        <v>45823</v>
      </c>
      <c r="N660" s="73">
        <f>IF(VLOOKUP(A660,'Actual Dates'!A4:AF811,27,),'Actual Dates'!AE15,"")</f>
        <v>45904</v>
      </c>
      <c r="O660" s="74">
        <f t="shared" si="216"/>
        <v>211</v>
      </c>
      <c r="P660" s="75">
        <f t="shared" si="217"/>
        <v>-20</v>
      </c>
      <c r="Q660" s="75">
        <f t="shared" si="218"/>
        <v>-81</v>
      </c>
      <c r="R660" s="132"/>
      <c r="S660" s="133"/>
    </row>
    <row r="661" spans="1:19" x14ac:dyDescent="0.25">
      <c r="A661" s="70" t="str">
        <f>'Date Calcs'!A21</f>
        <v>25-026</v>
      </c>
      <c r="B661" s="71" t="str">
        <f>'Date Calcs'!B21</f>
        <v>Irving Tissue</v>
      </c>
      <c r="C661" s="72">
        <f>'Date Calcs'!C21</f>
        <v>45693</v>
      </c>
      <c r="D661" s="73">
        <f t="shared" si="213"/>
        <v>45720</v>
      </c>
      <c r="E661" s="66">
        <v>44684</v>
      </c>
      <c r="F661" s="73">
        <f>'Date Calcs'!H21</f>
        <v>45721</v>
      </c>
      <c r="G661" s="73">
        <f>IF(VLOOKUP(A661,'Actual Dates'!A4:AF789,8,),'Actual Dates'!H16,"")</f>
        <v>45790</v>
      </c>
      <c r="H661" s="73">
        <f t="shared" si="214"/>
        <v>45905</v>
      </c>
      <c r="I661" s="73">
        <f>IF(VLOOKUP(A661,'Actual Dates'!A4:AF784,25,),'Actual Dates'!AA16,"")</f>
        <v>45911</v>
      </c>
      <c r="J661" s="73">
        <f t="shared" si="215"/>
        <v>45908</v>
      </c>
      <c r="K661" s="73" t="str">
        <f>IF(VLOOKUP(A661,'Actual Dates'!A4:AF812,26,),'Actual Dates'!AB16,"")</f>
        <v/>
      </c>
      <c r="L661" s="73">
        <f>IF(VLOOKUP(A661,'Actual Dates'!A4:AF812,21,),'Actual Dates'!U16,"")</f>
        <v>45902</v>
      </c>
      <c r="M661" s="73">
        <f>'Date Calcs'!AE21</f>
        <v>45814</v>
      </c>
      <c r="N661" s="73">
        <f>IF(VLOOKUP(A661,'Actual Dates'!A4:AF812,27,),'Actual Dates'!AE16,"")</f>
        <v>45918</v>
      </c>
      <c r="O661" s="74">
        <f t="shared" si="216"/>
        <v>225</v>
      </c>
      <c r="P661" s="75">
        <f t="shared" si="217"/>
        <v>-69</v>
      </c>
      <c r="Q661" s="75">
        <f t="shared" si="218"/>
        <v>-104</v>
      </c>
      <c r="R661" s="132"/>
      <c r="S661" s="133"/>
    </row>
    <row r="662" spans="1:19" x14ac:dyDescent="0.25">
      <c r="A662" s="70" t="str">
        <f>'Date Calcs'!A22</f>
        <v>25-027</v>
      </c>
      <c r="B662" s="71" t="str">
        <f>'Date Calcs'!B22</f>
        <v>Irving Tissue</v>
      </c>
      <c r="C662" s="72">
        <f>'Date Calcs'!C22</f>
        <v>45693</v>
      </c>
      <c r="D662" s="73">
        <f t="shared" si="213"/>
        <v>45720</v>
      </c>
      <c r="E662" s="66">
        <v>44685</v>
      </c>
      <c r="F662" s="73">
        <f>'Date Calcs'!H22</f>
        <v>45721</v>
      </c>
      <c r="G662" s="73">
        <f>IF(VLOOKUP(A662,'Actual Dates'!A4:AF790,8,),'Actual Dates'!H17,"")</f>
        <v>45700</v>
      </c>
      <c r="H662" s="73">
        <f t="shared" si="214"/>
        <v>45729</v>
      </c>
      <c r="I662" s="73">
        <f>IF(VLOOKUP(A662,'Actual Dates'!A4:AF785,25,),'Actual Dates'!AA17,"")</f>
        <v>45734</v>
      </c>
      <c r="J662" s="73">
        <f t="shared" si="215"/>
        <v>45730</v>
      </c>
      <c r="K662" s="73" t="str">
        <f>IF(VLOOKUP(A662,'Actual Dates'!A4:AF813,26,),'Actual Dates'!AB17,"")</f>
        <v/>
      </c>
      <c r="L662" s="73">
        <f>IF(VLOOKUP(A662,'Actual Dates'!A4:AF813,21,),'Actual Dates'!U17,"")</f>
        <v>45726</v>
      </c>
      <c r="M662" s="73">
        <f>'Date Calcs'!AE22</f>
        <v>45814</v>
      </c>
      <c r="N662" s="73">
        <f>IF(VLOOKUP(A662,'Actual Dates'!A4:AF813,27,),'Actual Dates'!AE17,"")</f>
        <v>45735</v>
      </c>
      <c r="O662" s="74">
        <f t="shared" si="216"/>
        <v>42</v>
      </c>
      <c r="P662" s="75">
        <f t="shared" si="217"/>
        <v>21</v>
      </c>
      <c r="Q662" s="75">
        <f t="shared" si="218"/>
        <v>79</v>
      </c>
      <c r="R662" s="132"/>
      <c r="S662" s="133"/>
    </row>
    <row r="663" spans="1:19" x14ac:dyDescent="0.25">
      <c r="A663" s="70" t="str">
        <f>'Date Calcs'!A23</f>
        <v>25-028</v>
      </c>
      <c r="B663" s="71" t="str">
        <f>'Date Calcs'!B23</f>
        <v>Irving Tissue</v>
      </c>
      <c r="C663" s="72">
        <f>'Date Calcs'!C23</f>
        <v>45693</v>
      </c>
      <c r="D663" s="73">
        <f t="shared" si="213"/>
        <v>45720</v>
      </c>
      <c r="E663" s="66">
        <v>44686</v>
      </c>
      <c r="F663" s="73">
        <f>'Date Calcs'!H23</f>
        <v>45721</v>
      </c>
      <c r="G663" s="73">
        <f>IF(VLOOKUP(A663,'Actual Dates'!A4:AF791,8,),'Actual Dates'!H18,"")</f>
        <v>45700</v>
      </c>
      <c r="H663" s="73">
        <f t="shared" si="214"/>
        <v>45729</v>
      </c>
      <c r="I663" s="73">
        <f>IF(VLOOKUP(A663,'Actual Dates'!A4:AF786,25,),'Actual Dates'!AA18,"")</f>
        <v>45734</v>
      </c>
      <c r="J663" s="73">
        <f t="shared" si="215"/>
        <v>45730</v>
      </c>
      <c r="K663" s="73" t="str">
        <f>IF(VLOOKUP(A663,'Actual Dates'!A4:AF814,26,),'Actual Dates'!AB18,"")</f>
        <v/>
      </c>
      <c r="L663" s="73">
        <f>IF(VLOOKUP(A663,'Actual Dates'!A4:AF814,21,),'Actual Dates'!U18,"")</f>
        <v>45726</v>
      </c>
      <c r="M663" s="73">
        <f>'Date Calcs'!AE23</f>
        <v>45814</v>
      </c>
      <c r="N663" s="73">
        <f>IF(VLOOKUP(A663,'Actual Dates'!A4:AF814,27,),'Actual Dates'!AE18,"")</f>
        <v>45735</v>
      </c>
      <c r="O663" s="74">
        <f t="shared" si="216"/>
        <v>42</v>
      </c>
      <c r="P663" s="75">
        <f t="shared" si="217"/>
        <v>21</v>
      </c>
      <c r="Q663" s="75">
        <f t="shared" si="218"/>
        <v>79</v>
      </c>
      <c r="R663" s="132"/>
      <c r="S663" s="133"/>
    </row>
    <row r="664" spans="1:19" x14ac:dyDescent="0.25">
      <c r="A664" s="70" t="str">
        <f>'Date Calcs'!A24</f>
        <v>25-029</v>
      </c>
      <c r="B664" s="71" t="str">
        <f>'Date Calcs'!B24</f>
        <v>Irving Tissue</v>
      </c>
      <c r="C664" s="72">
        <f>'Date Calcs'!C24</f>
        <v>45693</v>
      </c>
      <c r="D664" s="73">
        <f t="shared" si="213"/>
        <v>45720</v>
      </c>
      <c r="E664" s="66">
        <v>44687</v>
      </c>
      <c r="F664" s="73">
        <f>'Date Calcs'!H24</f>
        <v>45721</v>
      </c>
      <c r="G664" s="73">
        <f>IF(VLOOKUP(A664,'Actual Dates'!A4:AF792,8,),'Actual Dates'!H19,"")</f>
        <v>45714</v>
      </c>
      <c r="H664" s="73">
        <f t="shared" si="214"/>
        <v>45810</v>
      </c>
      <c r="I664" s="73">
        <f>IF(VLOOKUP(A664,'Actual Dates'!A4:AF787,25,),'Actual Dates'!AA19,"")</f>
        <v>45805</v>
      </c>
      <c r="J664" s="73">
        <f t="shared" si="215"/>
        <v>45811</v>
      </c>
      <c r="K664" s="73" t="str">
        <f>IF(VLOOKUP(A664,'Actual Dates'!A4:AF815,26,),'Actual Dates'!AB19,"")</f>
        <v/>
      </c>
      <c r="L664" s="73">
        <f>IF(VLOOKUP(A664,'Actual Dates'!A4:AF815,21,),'Actual Dates'!U19,"")</f>
        <v>45805</v>
      </c>
      <c r="M664" s="73">
        <f>'Date Calcs'!AE24</f>
        <v>45814</v>
      </c>
      <c r="N664" s="73">
        <f>IF(VLOOKUP(A664,'Actual Dates'!A4:AF815,27,),'Actual Dates'!AE19,"")</f>
        <v>45821</v>
      </c>
      <c r="O664" s="74">
        <f t="shared" si="216"/>
        <v>128</v>
      </c>
      <c r="P664" s="75">
        <f t="shared" si="217"/>
        <v>7</v>
      </c>
      <c r="Q664" s="75">
        <f t="shared" si="218"/>
        <v>-7</v>
      </c>
      <c r="R664" s="132"/>
      <c r="S664" s="133"/>
    </row>
    <row r="665" spans="1:19" x14ac:dyDescent="0.25">
      <c r="A665" s="70" t="str">
        <f>'Date Calcs'!A25</f>
        <v>25-030</v>
      </c>
      <c r="B665" s="71" t="str">
        <f>'Date Calcs'!B25</f>
        <v>Irving Tissue</v>
      </c>
      <c r="C665" s="72">
        <f>'Date Calcs'!C25</f>
        <v>45693</v>
      </c>
      <c r="D665" s="73">
        <f t="shared" si="213"/>
        <v>45720</v>
      </c>
      <c r="E665" s="66">
        <v>44688</v>
      </c>
      <c r="F665" s="73">
        <f>'Date Calcs'!H25</f>
        <v>45721</v>
      </c>
      <c r="G665" s="73">
        <f>IF(VLOOKUP(A665,'Actual Dates'!A4:AF793,8,),'Actual Dates'!H20,"")</f>
        <v>45714</v>
      </c>
      <c r="H665" s="73">
        <f t="shared" si="214"/>
        <v>45800</v>
      </c>
      <c r="I665" s="73">
        <f>IF(VLOOKUP(A665,'Actual Dates'!A4:AF788,25,),'Actual Dates'!AA20,"")</f>
        <v>45793</v>
      </c>
      <c r="J665" s="73">
        <f t="shared" si="215"/>
        <v>45803</v>
      </c>
      <c r="K665" s="73" t="str">
        <f>IF(VLOOKUP(A665,'Actual Dates'!A4:AF816,26,),'Actual Dates'!AB20,"")</f>
        <v/>
      </c>
      <c r="L665" s="73">
        <f>IF(VLOOKUP(A665,'Actual Dates'!A4:AF816,21,),'Actual Dates'!U20,"")</f>
        <v>45797</v>
      </c>
      <c r="M665" s="73">
        <f>'Date Calcs'!AE25</f>
        <v>45814</v>
      </c>
      <c r="N665" s="73">
        <f>IF(VLOOKUP(A665,'Actual Dates'!A4:AF816,27,),'Actual Dates'!AE20,"")</f>
        <v>45821</v>
      </c>
      <c r="O665" s="74">
        <f t="shared" si="216"/>
        <v>128</v>
      </c>
      <c r="P665" s="75">
        <f t="shared" si="217"/>
        <v>7</v>
      </c>
      <c r="Q665" s="75">
        <f t="shared" si="218"/>
        <v>-7</v>
      </c>
      <c r="R665" s="132"/>
      <c r="S665" s="133"/>
    </row>
    <row r="666" spans="1:19" x14ac:dyDescent="0.25">
      <c r="A666" s="70" t="str">
        <f>'Date Calcs'!A26</f>
        <v>25-031</v>
      </c>
      <c r="B666" s="71" t="str">
        <f>'Date Calcs'!B26</f>
        <v>Irving Tissue</v>
      </c>
      <c r="C666" s="72">
        <f>'Date Calcs'!C26</f>
        <v>45693</v>
      </c>
      <c r="D666" s="73">
        <f t="shared" si="213"/>
        <v>45720</v>
      </c>
      <c r="E666" s="66">
        <v>44689</v>
      </c>
      <c r="F666" s="73">
        <f>'Date Calcs'!H26</f>
        <v>45721</v>
      </c>
      <c r="G666" s="73">
        <f>IF(VLOOKUP(A666,'Actual Dates'!A4:AF794,8,),'Actual Dates'!H21,"")</f>
        <v>45714</v>
      </c>
      <c r="H666" s="73">
        <f t="shared" si="214"/>
        <v>45800</v>
      </c>
      <c r="I666" s="73">
        <f>IF(VLOOKUP(A666,'Actual Dates'!A4:AF789,25,),'Actual Dates'!AA21,"")</f>
        <v>45799</v>
      </c>
      <c r="J666" s="73">
        <f t="shared" si="215"/>
        <v>45803</v>
      </c>
      <c r="K666" s="73" t="str">
        <f>IF(VLOOKUP(A666,'Actual Dates'!A4:AF817,26,),'Actual Dates'!AB21,"")</f>
        <v/>
      </c>
      <c r="L666" s="73">
        <f>IF(VLOOKUP(A666,'Actual Dates'!A4:AF817,21,),'Actual Dates'!U21,"")</f>
        <v>45797</v>
      </c>
      <c r="M666" s="73">
        <f>'Date Calcs'!AE26</f>
        <v>45822</v>
      </c>
      <c r="N666" s="73">
        <f>IF(VLOOKUP(A666,'Actual Dates'!A4:AF817,27,),'Actual Dates'!AE21,"")</f>
        <v>45875</v>
      </c>
      <c r="O666" s="74">
        <f t="shared" si="216"/>
        <v>182</v>
      </c>
      <c r="P666" s="75">
        <f t="shared" si="217"/>
        <v>7</v>
      </c>
      <c r="Q666" s="75">
        <f t="shared" si="218"/>
        <v>-53</v>
      </c>
      <c r="R666" s="132"/>
      <c r="S666" s="133"/>
    </row>
    <row r="667" spans="1:19" x14ac:dyDescent="0.25">
      <c r="A667" s="70" t="str">
        <f>'Date Calcs'!A27</f>
        <v>25-032</v>
      </c>
      <c r="B667" s="71" t="str">
        <f>'Date Calcs'!B27</f>
        <v>Irving Tissue</v>
      </c>
      <c r="C667" s="72">
        <f>'Date Calcs'!C27</f>
        <v>45693</v>
      </c>
      <c r="D667" s="73">
        <f t="shared" si="213"/>
        <v>45720</v>
      </c>
      <c r="E667" s="66">
        <v>44690</v>
      </c>
      <c r="F667" s="73">
        <f>'Date Calcs'!H27</f>
        <v>45721</v>
      </c>
      <c r="G667" s="73">
        <f>IF(VLOOKUP(A667,'Actual Dates'!A4:AF795,8,),'Actual Dates'!H22,"")</f>
        <v>45719</v>
      </c>
      <c r="H667" s="73">
        <f t="shared" si="214"/>
        <v>45800</v>
      </c>
      <c r="I667" s="73">
        <f>IF(VLOOKUP(A667,'Actual Dates'!A4:AF790,25,),'Actual Dates'!AA22,"")</f>
        <v>45799</v>
      </c>
      <c r="J667" s="73">
        <f t="shared" si="215"/>
        <v>45803</v>
      </c>
      <c r="K667" s="73" t="str">
        <f>IF(VLOOKUP(A667,'Actual Dates'!A4:AF818,26,),'Actual Dates'!AB22,"")</f>
        <v/>
      </c>
      <c r="L667" s="73">
        <f>IF(VLOOKUP(A667,'Actual Dates'!A4:AF818,21,),'Actual Dates'!U22,"")</f>
        <v>45797</v>
      </c>
      <c r="M667" s="73">
        <f>'Date Calcs'!AE27</f>
        <v>45822</v>
      </c>
      <c r="N667" s="73">
        <f>IF(VLOOKUP(A667,'Actual Dates'!A4:AF818,27,),'Actual Dates'!AE22,"")</f>
        <v>45875</v>
      </c>
      <c r="O667" s="74">
        <f t="shared" si="216"/>
        <v>182</v>
      </c>
      <c r="P667" s="75">
        <f t="shared" si="217"/>
        <v>2</v>
      </c>
      <c r="Q667" s="75">
        <f t="shared" si="218"/>
        <v>-53</v>
      </c>
      <c r="R667" s="132"/>
      <c r="S667" s="133"/>
    </row>
    <row r="668" spans="1:19" x14ac:dyDescent="0.25">
      <c r="A668" s="70" t="str">
        <f>'Date Calcs'!A28</f>
        <v>25-033</v>
      </c>
      <c r="B668" s="71" t="str">
        <f>'Date Calcs'!B28</f>
        <v>Irving Tissue</v>
      </c>
      <c r="C668" s="72">
        <f>'Date Calcs'!C28</f>
        <v>45693</v>
      </c>
      <c r="D668" s="73">
        <f t="shared" si="213"/>
        <v>45720</v>
      </c>
      <c r="E668" s="66">
        <v>44691</v>
      </c>
      <c r="F668" s="73">
        <f>'Date Calcs'!H28</f>
        <v>45721</v>
      </c>
      <c r="G668" s="73">
        <f>IF(VLOOKUP(A668,'Actual Dates'!A4:AF796,8,),'Actual Dates'!H23,"")</f>
        <v>45719</v>
      </c>
      <c r="H668" s="73">
        <f t="shared" si="214"/>
        <v>45800</v>
      </c>
      <c r="I668" s="73">
        <f>IF(VLOOKUP(A668,'Actual Dates'!A4:AF791,25,),'Actual Dates'!AA23,"")</f>
        <v>45799</v>
      </c>
      <c r="J668" s="73">
        <f t="shared" si="215"/>
        <v>45803</v>
      </c>
      <c r="K668" s="73" t="str">
        <f>IF(VLOOKUP(A668,'Actual Dates'!A4:AF819,26,),'Actual Dates'!AB23,"")</f>
        <v/>
      </c>
      <c r="L668" s="73">
        <f>IF(VLOOKUP(A668,'Actual Dates'!A4:AF819,21,),'Actual Dates'!U23,"")</f>
        <v>45797</v>
      </c>
      <c r="M668" s="73">
        <f>'Date Calcs'!AE28</f>
        <v>45822</v>
      </c>
      <c r="N668" s="73">
        <f>IF(VLOOKUP(A668,'Actual Dates'!A4:AF819,27,),'Actual Dates'!AE23,"")</f>
        <v>45877</v>
      </c>
      <c r="O668" s="74">
        <f t="shared" si="216"/>
        <v>184</v>
      </c>
      <c r="P668" s="75">
        <f t="shared" si="217"/>
        <v>2</v>
      </c>
      <c r="Q668" s="75">
        <f t="shared" si="218"/>
        <v>-55</v>
      </c>
      <c r="R668" s="132"/>
      <c r="S668" s="133"/>
    </row>
    <row r="669" spans="1:19" x14ac:dyDescent="0.25">
      <c r="A669" s="70" t="str">
        <f>'Date Calcs'!A29</f>
        <v>25-034</v>
      </c>
      <c r="B669" s="71" t="str">
        <f>'Date Calcs'!B29</f>
        <v>Irving Tissue</v>
      </c>
      <c r="C669" s="72">
        <f>'Date Calcs'!C29</f>
        <v>45693</v>
      </c>
      <c r="D669" s="73">
        <f t="shared" si="213"/>
        <v>45720</v>
      </c>
      <c r="E669" s="66">
        <v>44692</v>
      </c>
      <c r="F669" s="73">
        <f>'Date Calcs'!H29</f>
        <v>45721</v>
      </c>
      <c r="G669" s="73">
        <f>IF(VLOOKUP(A669,'Actual Dates'!A4:AF797,8,),'Actual Dates'!H24,"")</f>
        <v>45721</v>
      </c>
      <c r="H669" s="73">
        <f t="shared" si="214"/>
        <v>45800</v>
      </c>
      <c r="I669" s="73">
        <f>IF(VLOOKUP(A669,'Actual Dates'!A4:AF792,25,),'Actual Dates'!AA24,"")</f>
        <v>45800</v>
      </c>
      <c r="J669" s="73">
        <f t="shared" si="215"/>
        <v>45803</v>
      </c>
      <c r="K669" s="73" t="str">
        <f>IF(VLOOKUP(A669,'Actual Dates'!A4:AF820,26,),'Actual Dates'!AB24,"")</f>
        <v/>
      </c>
      <c r="L669" s="73">
        <f>IF(VLOOKUP(A669,'Actual Dates'!A4:AF820,21,),'Actual Dates'!U24,"")</f>
        <v>45797</v>
      </c>
      <c r="M669" s="73">
        <f>'Date Calcs'!AE29</f>
        <v>45822</v>
      </c>
      <c r="N669" s="73">
        <f>IF(VLOOKUP(A669,'Actual Dates'!A4:AF820,27,),'Actual Dates'!AE24,"")</f>
        <v>45877</v>
      </c>
      <c r="O669" s="74">
        <f t="shared" si="216"/>
        <v>184</v>
      </c>
      <c r="P669" s="75">
        <f t="shared" si="217"/>
        <v>0</v>
      </c>
      <c r="Q669" s="75">
        <f t="shared" si="218"/>
        <v>-55</v>
      </c>
      <c r="R669" s="132"/>
      <c r="S669" s="133"/>
    </row>
    <row r="670" spans="1:19" x14ac:dyDescent="0.25">
      <c r="A670" s="70" t="str">
        <f>'Date Calcs'!A30</f>
        <v>25-035</v>
      </c>
      <c r="B670" s="71" t="str">
        <f>'Date Calcs'!B30</f>
        <v>Irving Tissue</v>
      </c>
      <c r="C670" s="72">
        <f>'Date Calcs'!C30</f>
        <v>45693</v>
      </c>
      <c r="D670" s="73">
        <f t="shared" si="213"/>
        <v>45720</v>
      </c>
      <c r="E670" s="66">
        <v>44693</v>
      </c>
      <c r="F670" s="73">
        <f>'Date Calcs'!H30</f>
        <v>45721</v>
      </c>
      <c r="G670" s="73">
        <f>IF(VLOOKUP(A670,'Actual Dates'!A4:AF798,8,),'Actual Dates'!H25,"")</f>
        <v>45715</v>
      </c>
      <c r="H670" s="73">
        <f t="shared" si="214"/>
        <v>45810</v>
      </c>
      <c r="I670" s="73">
        <f>IF(VLOOKUP(A670,'Actual Dates'!A4:AF793,25,),'Actual Dates'!AA25,"")</f>
        <v>45810</v>
      </c>
      <c r="J670" s="73">
        <f t="shared" si="215"/>
        <v>45811</v>
      </c>
      <c r="K670" s="73" t="str">
        <f>IF(VLOOKUP(A670,'Actual Dates'!A4:AF821,26,),'Actual Dates'!AB25,"")</f>
        <v/>
      </c>
      <c r="L670" s="73">
        <f>IF(VLOOKUP(A670,'Actual Dates'!A4:AF821,21,),'Actual Dates'!U25,"")</f>
        <v>45805</v>
      </c>
      <c r="M670" s="73">
        <f>'Date Calcs'!AE30</f>
        <v>45822</v>
      </c>
      <c r="N670" s="73">
        <f>IF(VLOOKUP(A670,'Actual Dates'!A4:AF821,27,),'Actual Dates'!AE25,"")</f>
        <v>45882</v>
      </c>
      <c r="O670" s="74">
        <f t="shared" si="216"/>
        <v>189</v>
      </c>
      <c r="P670" s="75">
        <f t="shared" si="217"/>
        <v>6</v>
      </c>
      <c r="Q670" s="75">
        <f t="shared" si="218"/>
        <v>-60</v>
      </c>
      <c r="R670" s="132"/>
      <c r="S670" s="133"/>
    </row>
    <row r="671" spans="1:19" x14ac:dyDescent="0.25">
      <c r="A671" s="70" t="str">
        <f>'Date Calcs'!A31</f>
        <v>25-036</v>
      </c>
      <c r="B671" s="71" t="str">
        <f>'Date Calcs'!B31</f>
        <v>Irving Tissue</v>
      </c>
      <c r="C671" s="72">
        <f>'Date Calcs'!C31</f>
        <v>45693</v>
      </c>
      <c r="D671" s="73">
        <f t="shared" si="213"/>
        <v>45720</v>
      </c>
      <c r="E671" s="66">
        <v>44694</v>
      </c>
      <c r="F671" s="73">
        <f>'Date Calcs'!H31</f>
        <v>45721</v>
      </c>
      <c r="G671" s="73">
        <f>IF(VLOOKUP(A671,'Actual Dates'!A4:AF799,8,),'Actual Dates'!H26,"")</f>
        <v>45715</v>
      </c>
      <c r="H671" s="73">
        <f t="shared" si="214"/>
        <v>45810</v>
      </c>
      <c r="I671" s="73">
        <f>IF(VLOOKUP(A671,'Actual Dates'!A4:AF794,25,),'Actual Dates'!AA26,"")</f>
        <v>45810</v>
      </c>
      <c r="J671" s="73">
        <f t="shared" si="215"/>
        <v>45811</v>
      </c>
      <c r="K671" s="73" t="str">
        <f>IF(VLOOKUP(A671,'Actual Dates'!A4:AF822,26,),'Actual Dates'!AB26,"")</f>
        <v/>
      </c>
      <c r="L671" s="73">
        <f>IF(VLOOKUP(A671,'Actual Dates'!A4:AF822,21,),'Actual Dates'!U26,"")</f>
        <v>45805</v>
      </c>
      <c r="M671" s="73">
        <f>'Date Calcs'!AE31</f>
        <v>45822</v>
      </c>
      <c r="N671" s="73">
        <f>IF(VLOOKUP(A671,'Actual Dates'!A4:AF822,27,),'Actual Dates'!AE26,"")</f>
        <v>45884</v>
      </c>
      <c r="O671" s="74">
        <f t="shared" si="216"/>
        <v>191</v>
      </c>
      <c r="P671" s="75">
        <f t="shared" si="217"/>
        <v>6</v>
      </c>
      <c r="Q671" s="75">
        <f t="shared" si="218"/>
        <v>-62</v>
      </c>
      <c r="R671" s="132"/>
      <c r="S671" s="133"/>
    </row>
    <row r="672" spans="1:19" x14ac:dyDescent="0.25">
      <c r="A672" s="70" t="str">
        <f>'Date Calcs'!A32</f>
        <v>25-037</v>
      </c>
      <c r="B672" s="71" t="str">
        <f>'Date Calcs'!B32</f>
        <v>Irving Tissue</v>
      </c>
      <c r="C672" s="72">
        <f>'Date Calcs'!C32</f>
        <v>45693</v>
      </c>
      <c r="D672" s="73">
        <f t="shared" si="213"/>
        <v>45720</v>
      </c>
      <c r="E672" s="66">
        <v>44695</v>
      </c>
      <c r="F672" s="73">
        <f>'Date Calcs'!H32</f>
        <v>45721</v>
      </c>
      <c r="G672" s="73">
        <f>IF(VLOOKUP(A672,'Actual Dates'!A4:AF800,8,),'Actual Dates'!H27,"")</f>
        <v>45721</v>
      </c>
      <c r="H672" s="73">
        <f t="shared" si="214"/>
        <v>45810</v>
      </c>
      <c r="I672" s="73">
        <f>IF(VLOOKUP(A672,'Actual Dates'!A4:AF795,25,),'Actual Dates'!AA27,"")</f>
        <v>45812</v>
      </c>
      <c r="J672" s="73">
        <f t="shared" si="215"/>
        <v>45811</v>
      </c>
      <c r="K672" s="73" t="str">
        <f>IF(VLOOKUP(A672,'Actual Dates'!A4:AF823,26,),'Actual Dates'!AB27,"")</f>
        <v/>
      </c>
      <c r="L672" s="73">
        <f>IF(VLOOKUP(A672,'Actual Dates'!A4:AF823,21,),'Actual Dates'!U27,"")</f>
        <v>45805</v>
      </c>
      <c r="M672" s="73">
        <f>'Date Calcs'!AE32</f>
        <v>45822</v>
      </c>
      <c r="N672" s="73">
        <f>IF(VLOOKUP(A672,'Actual Dates'!A4:AF823,27,),'Actual Dates'!AE27,"")</f>
        <v>45889</v>
      </c>
      <c r="O672" s="74">
        <f t="shared" si="216"/>
        <v>196</v>
      </c>
      <c r="P672" s="75">
        <f t="shared" si="217"/>
        <v>0</v>
      </c>
      <c r="Q672" s="75">
        <f t="shared" si="218"/>
        <v>-67</v>
      </c>
      <c r="R672" s="132"/>
      <c r="S672" s="133"/>
    </row>
    <row r="673" spans="1:19" x14ac:dyDescent="0.25">
      <c r="A673" s="70" t="str">
        <f>'Date Calcs'!A33</f>
        <v>25-039</v>
      </c>
      <c r="B673" s="71" t="str">
        <f>'Date Calcs'!B33</f>
        <v>Zachry</v>
      </c>
      <c r="C673" s="72">
        <f>'Date Calcs'!C33</f>
        <v>45714</v>
      </c>
      <c r="D673" s="73">
        <f t="shared" si="213"/>
        <v>45734</v>
      </c>
      <c r="E673" s="66">
        <v>44696</v>
      </c>
      <c r="F673" s="73">
        <f>'Date Calcs'!H33</f>
        <v>45735</v>
      </c>
      <c r="G673" s="73">
        <f>IF(VLOOKUP(A673,'Actual Dates'!A4:AF801,8,),'Actual Dates'!H28,"")</f>
        <v>45714</v>
      </c>
      <c r="H673" s="73">
        <f t="shared" si="214"/>
        <v>45810</v>
      </c>
      <c r="I673" s="73">
        <f>IF(VLOOKUP(A673,'Actual Dates'!A4:AF796,25,),'Actual Dates'!AA28,"")</f>
        <v>45814</v>
      </c>
      <c r="J673" s="73">
        <f t="shared" si="215"/>
        <v>45811</v>
      </c>
      <c r="K673" s="73" t="str">
        <f>IF(VLOOKUP(A673,'Actual Dates'!A4:AF824,26,),'Actual Dates'!AB28,"")</f>
        <v/>
      </c>
      <c r="L673" s="73">
        <f>IF(VLOOKUP(A673,'Actual Dates'!A4:AF824,21,),'Actual Dates'!U28,"")</f>
        <v>45805</v>
      </c>
      <c r="M673" s="73">
        <f>'Date Calcs'!AE33</f>
        <v>45802</v>
      </c>
      <c r="N673" s="73">
        <f>IF(VLOOKUP(A673,'Actual Dates'!A4:AF824,27,),'Actual Dates'!AE28,"")</f>
        <v>45840</v>
      </c>
      <c r="O673" s="74">
        <f t="shared" si="216"/>
        <v>126</v>
      </c>
      <c r="P673" s="75">
        <f t="shared" si="217"/>
        <v>21</v>
      </c>
      <c r="Q673" s="75">
        <f t="shared" si="218"/>
        <v>-38</v>
      </c>
      <c r="R673" s="132"/>
      <c r="S673" s="133"/>
    </row>
    <row r="674" spans="1:19" x14ac:dyDescent="0.25">
      <c r="A674" s="70" t="str">
        <f>'Date Calcs'!A34</f>
        <v>25-040</v>
      </c>
      <c r="B674" s="71" t="str">
        <f>'Date Calcs'!B34</f>
        <v>NAK Kiln</v>
      </c>
      <c r="C674" s="72">
        <f>'Date Calcs'!C34</f>
        <v>45721</v>
      </c>
      <c r="D674" s="73">
        <f t="shared" si="213"/>
        <v>45734</v>
      </c>
      <c r="E674" s="66">
        <v>44697</v>
      </c>
      <c r="F674" s="73">
        <f>'Date Calcs'!H34</f>
        <v>45735</v>
      </c>
      <c r="G674" s="73">
        <f>IF(VLOOKUP(A674,'Actual Dates'!A4:AF802,8,),'Actual Dates'!H29,"")</f>
        <v>45721</v>
      </c>
      <c r="H674" s="73">
        <f t="shared" si="214"/>
        <v>45810</v>
      </c>
      <c r="I674" s="73">
        <f>IF(VLOOKUP(A674,'Actual Dates'!A4:AF797,25,),'Actual Dates'!AA29,"")</f>
        <v>45813</v>
      </c>
      <c r="J674" s="73">
        <f t="shared" si="215"/>
        <v>45811</v>
      </c>
      <c r="K674" s="73">
        <f>IF(VLOOKUP(A674,'Actual Dates'!A4:AF825,26,),'Actual Dates'!AB29,"")</f>
        <v>45824</v>
      </c>
      <c r="L674" s="73">
        <f>IF(VLOOKUP(A674,'Actual Dates'!A4:AF825,21,),'Actual Dates'!U29,"")</f>
        <v>45805</v>
      </c>
      <c r="M674" s="73">
        <f>'Date Calcs'!AE34</f>
        <v>45737</v>
      </c>
      <c r="N674" s="73">
        <f>IF(VLOOKUP(A674,'Actual Dates'!A4:AF825,27,),'Actual Dates'!AE29,"")</f>
        <v>45840</v>
      </c>
      <c r="O674" s="74">
        <f t="shared" si="216"/>
        <v>119</v>
      </c>
      <c r="P674" s="75">
        <f t="shared" si="217"/>
        <v>14</v>
      </c>
      <c r="Q674" s="75">
        <f t="shared" si="218"/>
        <v>-103</v>
      </c>
      <c r="R674" s="132"/>
      <c r="S674" s="133"/>
    </row>
    <row r="675" spans="1:19" x14ac:dyDescent="0.25">
      <c r="A675" s="70" t="str">
        <f>'Date Calcs'!A35</f>
        <v>25-042</v>
      </c>
      <c r="B675" s="71" t="str">
        <f>'Date Calcs'!B35</f>
        <v>Andritz</v>
      </c>
      <c r="C675" s="72">
        <f>'Date Calcs'!C35</f>
        <v>45735</v>
      </c>
      <c r="D675" s="73">
        <f t="shared" si="213"/>
        <v>45755</v>
      </c>
      <c r="E675" s="66">
        <v>44698</v>
      </c>
      <c r="F675" s="73">
        <f>'Date Calcs'!H35</f>
        <v>45756</v>
      </c>
      <c r="G675" s="73">
        <f>IF(VLOOKUP(A675,'Actual Dates'!A4:AF803,8,),'Actual Dates'!H30,"")</f>
        <v>45714</v>
      </c>
      <c r="H675" s="73">
        <f t="shared" si="214"/>
        <v>45810</v>
      </c>
      <c r="I675" s="73">
        <f>IF(VLOOKUP(A675,'Actual Dates'!A4:AF798,25,),'Actual Dates'!AA30,"")</f>
        <v>45814</v>
      </c>
      <c r="J675" s="73">
        <f t="shared" si="215"/>
        <v>45811</v>
      </c>
      <c r="K675" s="73" t="str">
        <f>IF(VLOOKUP(A675,'Actual Dates'!A4:AF826,26,),'Actual Dates'!AB30,"")</f>
        <v/>
      </c>
      <c r="L675" s="73">
        <f>IF(VLOOKUP(A675,'Actual Dates'!A4:AF826,21,),'Actual Dates'!U30,"")</f>
        <v>45805</v>
      </c>
      <c r="M675" s="73">
        <f>'Date Calcs'!AE35</f>
        <v>45820</v>
      </c>
      <c r="N675" s="73">
        <f>IF(VLOOKUP(A675,'Actual Dates'!A4:AF826,27,),'Actual Dates'!AE30,"")</f>
        <v>45840</v>
      </c>
      <c r="O675" s="74">
        <f t="shared" si="216"/>
        <v>105</v>
      </c>
      <c r="P675" s="75">
        <f t="shared" si="217"/>
        <v>42</v>
      </c>
      <c r="Q675" s="75">
        <f t="shared" si="218"/>
        <v>-20</v>
      </c>
      <c r="R675" s="132"/>
      <c r="S675" s="133"/>
    </row>
    <row r="676" spans="1:19" x14ac:dyDescent="0.25">
      <c r="A676" s="70" t="str">
        <f>'Date Calcs'!A36</f>
        <v>25-044</v>
      </c>
      <c r="B676" s="71" t="str">
        <f>'Date Calcs'!B36</f>
        <v>Noah Industrial</v>
      </c>
      <c r="C676" s="72">
        <f>'Date Calcs'!C36</f>
        <v>45748</v>
      </c>
      <c r="D676" s="73">
        <f t="shared" si="213"/>
        <v>45775</v>
      </c>
      <c r="E676" s="66">
        <v>44699</v>
      </c>
      <c r="F676" s="73">
        <f>'Date Calcs'!H36</f>
        <v>45776</v>
      </c>
      <c r="G676" s="73">
        <f>IF(VLOOKUP(A676,'Actual Dates'!A4:AF804,8,),'Actual Dates'!H31,"")</f>
        <v>45716</v>
      </c>
      <c r="H676" s="73">
        <f t="shared" si="214"/>
        <v>45810</v>
      </c>
      <c r="I676" s="73">
        <f>IF(VLOOKUP(A676,'Actual Dates'!A4:AF799,25,),'Actual Dates'!AA31,"")</f>
        <v>45806</v>
      </c>
      <c r="J676" s="73">
        <f t="shared" si="215"/>
        <v>45811</v>
      </c>
      <c r="K676" s="73" t="str">
        <f>IF(VLOOKUP(A676,'Actual Dates'!A4:AF827,26,),'Actual Dates'!AB31,"")</f>
        <v/>
      </c>
      <c r="L676" s="73">
        <f>IF(VLOOKUP(A676,'Actual Dates'!A4:AF827,21,),'Actual Dates'!U31,"")</f>
        <v>45805</v>
      </c>
      <c r="M676" s="73">
        <f>'Date Calcs'!AE36</f>
        <v>45830</v>
      </c>
      <c r="N676" s="73">
        <f>IF(VLOOKUP(A676,'Actual Dates'!A4:AF827,27,),'Actual Dates'!AE31,"")</f>
        <v>45826</v>
      </c>
      <c r="O676" s="74">
        <f t="shared" si="216"/>
        <v>78</v>
      </c>
      <c r="P676" s="75">
        <f t="shared" si="217"/>
        <v>60</v>
      </c>
      <c r="Q676" s="75">
        <f t="shared" si="218"/>
        <v>4</v>
      </c>
      <c r="R676" s="132"/>
      <c r="S676" s="133"/>
    </row>
    <row r="677" spans="1:19" x14ac:dyDescent="0.25">
      <c r="A677" s="70" t="str">
        <f>'Date Calcs'!A37</f>
        <v>25-045</v>
      </c>
      <c r="B677" s="71" t="str">
        <f>'Date Calcs'!B37</f>
        <v>ProPipe</v>
      </c>
      <c r="C677" s="72">
        <f>'Date Calcs'!C37</f>
        <v>45752</v>
      </c>
      <c r="D677" s="73">
        <f t="shared" si="213"/>
        <v>45758</v>
      </c>
      <c r="E677" s="66">
        <v>44700</v>
      </c>
      <c r="F677" s="73">
        <f>'Date Calcs'!H37</f>
        <v>45759</v>
      </c>
      <c r="G677" s="73" t="str">
        <f>IF(VLOOKUP(A677,'Actual Dates'!A4:AF805,8,),'Actual Dates'!H32,"")</f>
        <v/>
      </c>
      <c r="H677" s="73" t="e">
        <f t="shared" si="214"/>
        <v>#VALUE!</v>
      </c>
      <c r="I677" s="73" t="e">
        <f>IF(VLOOKUP(A677,'Actual Dates'!A4:AF800,25,),'Actual Dates'!AA32,"")</f>
        <v>#VALUE!</v>
      </c>
      <c r="J677" s="73" t="e">
        <f t="shared" si="215"/>
        <v>#VALUE!</v>
      </c>
      <c r="K677" s="73" t="str">
        <f>IF(VLOOKUP(A677,'Actual Dates'!A4:AF828,26,),'Actual Dates'!AB32,"")</f>
        <v/>
      </c>
      <c r="L677" s="73" t="str">
        <f>IF(VLOOKUP(A677,'Actual Dates'!A4:AF828,21,),'Actual Dates'!U32,"")</f>
        <v/>
      </c>
      <c r="M677" s="73">
        <f>'Date Calcs'!AE37</f>
        <v>45797</v>
      </c>
      <c r="N677" s="73" t="e">
        <f>IF(VLOOKUP(A677,'Actual Dates'!A4:AF828,27,),'Actual Dates'!AE32,"")</f>
        <v>#VALUE!</v>
      </c>
      <c r="O677" s="74" t="e">
        <f t="shared" si="216"/>
        <v>#VALUE!</v>
      </c>
      <c r="P677" s="75" t="e">
        <f t="shared" si="217"/>
        <v>#VALUE!</v>
      </c>
      <c r="Q677" s="75" t="e">
        <f t="shared" si="218"/>
        <v>#VALUE!</v>
      </c>
      <c r="R677" s="132"/>
      <c r="S677" s="133"/>
    </row>
    <row r="678" spans="1:19" x14ac:dyDescent="0.25">
      <c r="A678" s="70" t="str">
        <f>'Date Calcs'!A38</f>
        <v>25-052</v>
      </c>
      <c r="B678" s="71" t="str">
        <f>'Date Calcs'!B38</f>
        <v>Kraton</v>
      </c>
      <c r="C678" s="72">
        <f>'Date Calcs'!C38</f>
        <v>45796</v>
      </c>
      <c r="D678" s="73">
        <f t="shared" si="213"/>
        <v>45814</v>
      </c>
      <c r="E678" s="66">
        <v>44701</v>
      </c>
      <c r="F678" s="73">
        <f>'Date Calcs'!H38</f>
        <v>45817</v>
      </c>
      <c r="G678" s="73">
        <f>IF(VLOOKUP(A678,'Actual Dates'!A4:AF806,8,),'Actual Dates'!H33,"")</f>
        <v>45706</v>
      </c>
      <c r="H678" s="73">
        <f t="shared" si="214"/>
        <v>45734</v>
      </c>
      <c r="I678" s="73">
        <f>IF(VLOOKUP(A678,'Actual Dates'!A4:AF801,25,),'Actual Dates'!AA33,"")</f>
        <v>45916</v>
      </c>
      <c r="J678" s="73">
        <f t="shared" si="215"/>
        <v>45735</v>
      </c>
      <c r="K678" s="73" t="str">
        <f>IF(VLOOKUP(A678,'Actual Dates'!A4:AF829,26,),'Actual Dates'!AB33,"")</f>
        <v/>
      </c>
      <c r="L678" s="73">
        <f>IF(VLOOKUP(A678,'Actual Dates'!A4:AF829,21,),'Actual Dates'!U33,"")</f>
        <v>45729</v>
      </c>
      <c r="M678" s="73">
        <f>'Date Calcs'!AE38</f>
        <v>45884</v>
      </c>
      <c r="N678" s="73">
        <f>IF(VLOOKUP(A678,'Actual Dates'!A4:AF829,27,),'Actual Dates'!AE33,"")</f>
        <v>45917</v>
      </c>
      <c r="O678" s="74">
        <f t="shared" si="216"/>
        <v>121</v>
      </c>
      <c r="P678" s="75">
        <f t="shared" si="217"/>
        <v>111</v>
      </c>
      <c r="Q678" s="75">
        <f t="shared" si="218"/>
        <v>-33</v>
      </c>
      <c r="R678" s="132"/>
      <c r="S678" s="133"/>
    </row>
    <row r="679" spans="1:19" x14ac:dyDescent="0.25">
      <c r="A679" s="70" t="str">
        <f>'Date Calcs'!A39</f>
        <v>25-053</v>
      </c>
      <c r="B679" s="71" t="str">
        <f>'Date Calcs'!B39</f>
        <v>Andritz</v>
      </c>
      <c r="C679" s="72">
        <f>'Date Calcs'!C39</f>
        <v>45810</v>
      </c>
      <c r="D679" s="73">
        <f t="shared" si="213"/>
        <v>46024</v>
      </c>
      <c r="E679" s="66">
        <v>44702</v>
      </c>
      <c r="F679" s="73">
        <f>'Date Calcs'!H39</f>
        <v>46027</v>
      </c>
      <c r="G679" s="73" t="str">
        <f>IF(VLOOKUP(A679,'Actual Dates'!A4:AF807,8,),'Actual Dates'!H34,"")</f>
        <v/>
      </c>
      <c r="H679" s="73" t="e">
        <f t="shared" si="214"/>
        <v>#VALUE!</v>
      </c>
      <c r="I679" s="73">
        <f>IF(VLOOKUP(A679,'Actual Dates'!A4:AF802,25,),'Actual Dates'!AA34,"")</f>
        <v>45806</v>
      </c>
      <c r="J679" s="73" t="e">
        <f t="shared" si="215"/>
        <v>#VALUE!</v>
      </c>
      <c r="K679" s="73">
        <f>IF(VLOOKUP(A679,'Actual Dates'!A4:AF830,26,),'Actual Dates'!AB34,"")</f>
        <v>45828</v>
      </c>
      <c r="L679" s="73" t="str">
        <f>IF(VLOOKUP(A679,'Actual Dates'!A4:AF830,21,),'Actual Dates'!U34,"")</f>
        <v/>
      </c>
      <c r="M679" s="73">
        <f>'Date Calcs'!AE39</f>
        <v>46065</v>
      </c>
      <c r="N679" s="73">
        <f>IF(VLOOKUP(A679,'Actual Dates'!A4:AF830,27,),'Actual Dates'!AE34,"")</f>
        <v>45839</v>
      </c>
      <c r="O679" s="74">
        <f t="shared" si="216"/>
        <v>29</v>
      </c>
      <c r="P679" s="75" t="e">
        <f t="shared" si="217"/>
        <v>#VALUE!</v>
      </c>
      <c r="Q679" s="75">
        <f t="shared" si="218"/>
        <v>226</v>
      </c>
      <c r="R679" s="132"/>
      <c r="S679" s="133"/>
    </row>
    <row r="680" spans="1:19" x14ac:dyDescent="0.25">
      <c r="A680" s="70" t="str">
        <f>'Date Calcs'!A40</f>
        <v>25-054</v>
      </c>
      <c r="B680" s="71" t="str">
        <f>'Date Calcs'!B40</f>
        <v>Chromascape</v>
      </c>
      <c r="C680" s="72">
        <f>'Date Calcs'!C40</f>
        <v>45811</v>
      </c>
      <c r="D680" s="73">
        <f t="shared" si="213"/>
        <v>45838</v>
      </c>
      <c r="E680" s="66">
        <v>44703</v>
      </c>
      <c r="F680" s="73">
        <f>'Date Calcs'!H40</f>
        <v>45839</v>
      </c>
      <c r="G680" s="73">
        <f>IF(VLOOKUP(A680,'Actual Dates'!A4:AF808,8,),'Actual Dates'!H35,"")</f>
        <v>45791</v>
      </c>
      <c r="H680" s="73">
        <f t="shared" si="214"/>
        <v>45812</v>
      </c>
      <c r="I680" s="73">
        <f>IF(VLOOKUP(A680,'Actual Dates'!A4:AF803,25,),'Actual Dates'!AA35,"")</f>
        <v>45825</v>
      </c>
      <c r="J680" s="73">
        <f t="shared" si="215"/>
        <v>45813</v>
      </c>
      <c r="K680" s="73" t="str">
        <f>IF(VLOOKUP(A680,'Actual Dates'!A4:AF831,26,),'Actual Dates'!AB35,"")</f>
        <v/>
      </c>
      <c r="L680" s="73">
        <f>IF(VLOOKUP(A680,'Actual Dates'!A4:AF831,21,),'Actual Dates'!U35,"")</f>
        <v>45807</v>
      </c>
      <c r="M680" s="73">
        <f>'Date Calcs'!AE40</f>
        <v>45872</v>
      </c>
      <c r="N680" s="73">
        <f>IF(VLOOKUP(A680,'Actual Dates'!A4:AF831,27,),'Actual Dates'!AE35,"")</f>
        <v>45833</v>
      </c>
      <c r="O680" s="74">
        <f t="shared" si="216"/>
        <v>22</v>
      </c>
      <c r="P680" s="75">
        <f t="shared" si="217"/>
        <v>48</v>
      </c>
      <c r="Q680" s="75">
        <f t="shared" si="218"/>
        <v>39</v>
      </c>
      <c r="R680" s="132"/>
      <c r="S680" s="133"/>
    </row>
    <row r="681" spans="1:19" x14ac:dyDescent="0.25">
      <c r="A681" s="70" t="str">
        <f>'Date Calcs'!A41</f>
        <v>25-055</v>
      </c>
      <c r="B681" s="71" t="str">
        <f>'Date Calcs'!B41</f>
        <v>Airgas</v>
      </c>
      <c r="C681" s="72">
        <f>'Date Calcs'!C41</f>
        <v>45820</v>
      </c>
      <c r="D681" s="73">
        <f t="shared" si="213"/>
        <v>45931</v>
      </c>
      <c r="E681" s="66">
        <v>44704</v>
      </c>
      <c r="F681" s="73">
        <f>'Date Calcs'!H41</f>
        <v>45932</v>
      </c>
      <c r="G681" s="73">
        <f>IF(VLOOKUP(A681,'Actual Dates'!A4:AF809,8,),'Actual Dates'!H36,"")</f>
        <v>0</v>
      </c>
      <c r="H681" s="73">
        <f t="shared" si="214"/>
        <v>4</v>
      </c>
      <c r="I681" s="73" t="str">
        <f>IF(VLOOKUP(A681,'Actual Dates'!A4:AF804,25,),'Actual Dates'!AA36,"")</f>
        <v>NA</v>
      </c>
      <c r="J681" s="73">
        <f t="shared" si="215"/>
        <v>5</v>
      </c>
      <c r="K681" s="73" t="str">
        <f>IF(VLOOKUP(A681,'Actual Dates'!A4:AF832,26,),'Actual Dates'!AB36,"")</f>
        <v/>
      </c>
      <c r="L681" s="73">
        <f>IF(VLOOKUP(A681,'Actual Dates'!A4:AF832,21,),'Actual Dates'!U36,"")</f>
        <v>0</v>
      </c>
      <c r="M681" s="73">
        <f>'Date Calcs'!AE41</f>
        <v>46025</v>
      </c>
      <c r="N681" s="73">
        <f>IF(VLOOKUP(A681,'Actual Dates'!A4:AF832,27,),'Actual Dates'!AE36,"")</f>
        <v>0</v>
      </c>
      <c r="O681" s="74">
        <f t="shared" si="216"/>
        <v>-45820</v>
      </c>
      <c r="P681" s="75">
        <f t="shared" si="217"/>
        <v>45932</v>
      </c>
      <c r="Q681" s="75">
        <f t="shared" si="218"/>
        <v>46025</v>
      </c>
      <c r="R681" s="132"/>
      <c r="S681" s="133"/>
    </row>
    <row r="682" spans="1:19" x14ac:dyDescent="0.25">
      <c r="A682" s="70" t="str">
        <f>'Date Calcs'!A42</f>
        <v>25-056</v>
      </c>
      <c r="B682" s="71" t="str">
        <f>'Date Calcs'!B42</f>
        <v>Reco</v>
      </c>
      <c r="C682" s="72">
        <f>'Date Calcs'!C42</f>
        <v>45821</v>
      </c>
      <c r="D682" s="73">
        <f t="shared" si="213"/>
        <v>45841</v>
      </c>
      <c r="E682" s="66">
        <v>44705</v>
      </c>
      <c r="F682" s="73">
        <f>'Date Calcs'!H42</f>
        <v>45842</v>
      </c>
      <c r="G682" s="73">
        <f>IF(VLOOKUP(A682,'Actual Dates'!A4:AF810,8,),'Actual Dates'!H37,"")</f>
        <v>45819</v>
      </c>
      <c r="H682" s="73">
        <f t="shared" si="214"/>
        <v>45870</v>
      </c>
      <c r="I682" s="73">
        <f>IF(VLOOKUP(A682,'Actual Dates'!A4:AF805,25,),'Actual Dates'!AA37,"")</f>
        <v>45912</v>
      </c>
      <c r="J682" s="73">
        <f t="shared" si="215"/>
        <v>45873</v>
      </c>
      <c r="K682" s="73" t="str">
        <f>IF(VLOOKUP(A682,'Actual Dates'!A4:AF833,26,),'Actual Dates'!AB37,"")</f>
        <v/>
      </c>
      <c r="L682" s="73">
        <f>IF(VLOOKUP(A682,'Actual Dates'!A4:AF833,21,),'Actual Dates'!U37,"")</f>
        <v>45867</v>
      </c>
      <c r="M682" s="73">
        <f>'Date Calcs'!AE42</f>
        <v>45890</v>
      </c>
      <c r="N682" s="73">
        <f>IF(VLOOKUP(A682,'Actual Dates'!A4:AF833,27,),'Actual Dates'!AE37,"")</f>
        <v>45923</v>
      </c>
      <c r="O682" s="74">
        <f t="shared" si="216"/>
        <v>102</v>
      </c>
      <c r="P682" s="75">
        <f t="shared" si="217"/>
        <v>23</v>
      </c>
      <c r="Q682" s="75">
        <f t="shared" si="218"/>
        <v>-33</v>
      </c>
      <c r="R682" s="132"/>
      <c r="S682" s="133"/>
    </row>
    <row r="683" spans="1:19" x14ac:dyDescent="0.25">
      <c r="A683" s="70" t="str">
        <f>'Date Calcs'!A43</f>
        <v>25-057</v>
      </c>
      <c r="B683" s="71" t="str">
        <f>'Date Calcs'!B43</f>
        <v>Reco</v>
      </c>
      <c r="C683" s="72">
        <f>'Date Calcs'!C43</f>
        <v>45821</v>
      </c>
      <c r="D683" s="73">
        <f t="shared" si="213"/>
        <v>45841</v>
      </c>
      <c r="E683" s="66">
        <v>44706</v>
      </c>
      <c r="F683" s="73">
        <f>'Date Calcs'!H43</f>
        <v>45842</v>
      </c>
      <c r="G683" s="73">
        <f>IF(VLOOKUP(A683,'Actual Dates'!A4:AF811,8,),'Actual Dates'!H38,"")</f>
        <v>0</v>
      </c>
      <c r="H683" s="73">
        <f t="shared" si="214"/>
        <v>4</v>
      </c>
      <c r="I683" s="73">
        <f>IF(VLOOKUP(A683,'Actual Dates'!A4:AF806,25,),'Actual Dates'!AA38,"")</f>
        <v>45894</v>
      </c>
      <c r="J683" s="73">
        <f t="shared" si="215"/>
        <v>5</v>
      </c>
      <c r="K683" s="73" t="str">
        <f>IF(VLOOKUP(A683,'Actual Dates'!A4:AF834,26,),'Actual Dates'!AB38,"")</f>
        <v/>
      </c>
      <c r="L683" s="73">
        <f>IF(VLOOKUP(A683,'Actual Dates'!A4:AF834,21,),'Actual Dates'!U38,"")</f>
        <v>0</v>
      </c>
      <c r="M683" s="73">
        <f>'Date Calcs'!AE43</f>
        <v>45890</v>
      </c>
      <c r="N683" s="73">
        <f>IF(VLOOKUP(A683,'Actual Dates'!A4:AF834,27,),'Actual Dates'!AE38,"")</f>
        <v>45897</v>
      </c>
      <c r="O683" s="74">
        <f t="shared" si="216"/>
        <v>76</v>
      </c>
      <c r="P683" s="75">
        <f t="shared" si="217"/>
        <v>45842</v>
      </c>
      <c r="Q683" s="75">
        <f t="shared" si="218"/>
        <v>-7</v>
      </c>
      <c r="R683" s="132"/>
      <c r="S683" s="133"/>
    </row>
    <row r="684" spans="1:19" x14ac:dyDescent="0.25">
      <c r="A684" s="70" t="str">
        <f>'Date Calcs'!A44</f>
        <v>25-058</v>
      </c>
      <c r="B684" s="71" t="str">
        <f>'Date Calcs'!B44</f>
        <v>Reco</v>
      </c>
      <c r="C684" s="72">
        <f>'Date Calcs'!C44</f>
        <v>45821</v>
      </c>
      <c r="D684" s="73">
        <f t="shared" si="213"/>
        <v>45841</v>
      </c>
      <c r="E684" s="66">
        <v>44707</v>
      </c>
      <c r="F684" s="73">
        <f>'Date Calcs'!H44</f>
        <v>45842</v>
      </c>
      <c r="G684" s="73">
        <f>IF(VLOOKUP(A684,'Actual Dates'!A4:AF812,8,),'Actual Dates'!H39,"")</f>
        <v>45835</v>
      </c>
      <c r="H684" s="73">
        <f t="shared" si="214"/>
        <v>45860</v>
      </c>
      <c r="I684" s="73">
        <f>IF(VLOOKUP(A684,'Actual Dates'!A4:AF807,25,),'Actual Dates'!AA39,"")</f>
        <v>45868</v>
      </c>
      <c r="J684" s="73">
        <f t="shared" si="215"/>
        <v>45861</v>
      </c>
      <c r="K684" s="73" t="str">
        <f>IF(VLOOKUP(A684,'Actual Dates'!A4:AF835,26,),'Actual Dates'!AB39,"")</f>
        <v/>
      </c>
      <c r="L684" s="73">
        <f>IF(VLOOKUP(A684,'Actual Dates'!A4:AF835,21,),'Actual Dates'!U39,"")</f>
        <v>45855</v>
      </c>
      <c r="M684" s="73">
        <f>'Date Calcs'!AE44</f>
        <v>45890</v>
      </c>
      <c r="N684" s="73">
        <f>IF(VLOOKUP(A684,'Actual Dates'!A4:AF835,27,),'Actual Dates'!AE39,"")</f>
        <v>45923</v>
      </c>
      <c r="O684" s="74">
        <f t="shared" si="216"/>
        <v>102</v>
      </c>
      <c r="P684" s="75">
        <f t="shared" si="217"/>
        <v>7</v>
      </c>
      <c r="Q684" s="75">
        <f t="shared" si="218"/>
        <v>-33</v>
      </c>
      <c r="R684" s="132"/>
      <c r="S684" s="133"/>
    </row>
    <row r="685" spans="1:19" x14ac:dyDescent="0.25">
      <c r="A685" s="70" t="str">
        <f>'Date Calcs'!A45</f>
        <v>25-059</v>
      </c>
      <c r="B685" s="71" t="str">
        <f>'Date Calcs'!B45</f>
        <v>Reco</v>
      </c>
      <c r="C685" s="72">
        <f>'Date Calcs'!C45</f>
        <v>45821</v>
      </c>
      <c r="D685" s="73">
        <f t="shared" si="213"/>
        <v>45841</v>
      </c>
      <c r="E685" s="66">
        <v>44708</v>
      </c>
      <c r="F685" s="73">
        <f>'Date Calcs'!H45</f>
        <v>45842</v>
      </c>
      <c r="G685" s="73">
        <f>IF(VLOOKUP(A685,'Actual Dates'!A4:AF813,8,),'Actual Dates'!H40,"")</f>
        <v>45986</v>
      </c>
      <c r="H685" s="73">
        <f t="shared" si="214"/>
        <v>46013</v>
      </c>
      <c r="I685" s="73">
        <f>IF(VLOOKUP(A685,'Actual Dates'!A4:AF808,25,),'Actual Dates'!AA40,"")</f>
        <v>46029</v>
      </c>
      <c r="J685" s="73">
        <f t="shared" si="215"/>
        <v>46014</v>
      </c>
      <c r="K685" s="73" t="str">
        <f>IF(VLOOKUP(A685,'Actual Dates'!A4:AF836,26,),'Actual Dates'!AB40,"")</f>
        <v/>
      </c>
      <c r="L685" s="73">
        <f>IF(VLOOKUP(A685,'Actual Dates'!A4:AF836,21,),'Actual Dates'!U40,"")</f>
        <v>46008</v>
      </c>
      <c r="M685" s="73">
        <f>'Date Calcs'!AE45</f>
        <v>45890</v>
      </c>
      <c r="N685" s="73">
        <v>45923</v>
      </c>
      <c r="O685" s="74">
        <f t="shared" si="216"/>
        <v>102</v>
      </c>
      <c r="P685" s="75">
        <f t="shared" si="217"/>
        <v>-144</v>
      </c>
      <c r="Q685" s="75">
        <f t="shared" si="218"/>
        <v>-33</v>
      </c>
      <c r="R685" s="132"/>
      <c r="S685" s="133"/>
    </row>
    <row r="686" spans="1:19" x14ac:dyDescent="0.25">
      <c r="A686" s="70" t="str">
        <f>'Date Calcs'!A46</f>
        <v>25-060</v>
      </c>
      <c r="B686" s="71" t="str">
        <f>'Date Calcs'!B46</f>
        <v>Reco</v>
      </c>
      <c r="C686" s="72">
        <f>'Date Calcs'!C46</f>
        <v>45821</v>
      </c>
      <c r="D686" s="73">
        <f t="shared" si="213"/>
        <v>45841</v>
      </c>
      <c r="E686" s="66">
        <v>44709</v>
      </c>
      <c r="F686" s="73">
        <f>'Date Calcs'!H46</f>
        <v>45842</v>
      </c>
      <c r="G686" s="73">
        <f>IF(VLOOKUP(A686,'Actual Dates'!A4:AF814,8,),'Actual Dates'!H41,"")</f>
        <v>45847</v>
      </c>
      <c r="H686" s="73">
        <f t="shared" si="214"/>
        <v>45876</v>
      </c>
      <c r="I686" s="73">
        <f>IF(VLOOKUP(A686,'Actual Dates'!A4:AF809,25,),'Actual Dates'!AA41,"")</f>
        <v>45875</v>
      </c>
      <c r="J686" s="73">
        <f t="shared" si="215"/>
        <v>45877</v>
      </c>
      <c r="K686" s="73" t="str">
        <f>IF(VLOOKUP(A686,'Actual Dates'!A4:AF837,26,),'Actual Dates'!AB41,"")</f>
        <v/>
      </c>
      <c r="L686" s="73">
        <f>IF(VLOOKUP(A686,'Actual Dates'!A4:AF837,21,),'Actual Dates'!U41,"")</f>
        <v>45873</v>
      </c>
      <c r="M686" s="73">
        <f>'Date Calcs'!AE46</f>
        <v>45890</v>
      </c>
      <c r="N686" s="73">
        <f>IF(VLOOKUP(A686,'Actual Dates'!A4:AF837,27,),'Actual Dates'!AE41,"")</f>
        <v>45889</v>
      </c>
      <c r="O686" s="74">
        <f t="shared" si="216"/>
        <v>68</v>
      </c>
      <c r="P686" s="75">
        <f t="shared" si="217"/>
        <v>-5</v>
      </c>
      <c r="Q686" s="75">
        <f t="shared" si="218"/>
        <v>1</v>
      </c>
      <c r="R686" s="132"/>
      <c r="S686" s="133"/>
    </row>
    <row r="687" spans="1:19" x14ac:dyDescent="0.25">
      <c r="A687" s="70" t="str">
        <f>'Date Calcs'!A47</f>
        <v>25-061</v>
      </c>
      <c r="B687" s="71" t="str">
        <f>'Date Calcs'!B47</f>
        <v>Reco</v>
      </c>
      <c r="C687" s="72">
        <f>'Date Calcs'!C47</f>
        <v>45821</v>
      </c>
      <c r="D687" s="73">
        <f t="shared" si="213"/>
        <v>45841</v>
      </c>
      <c r="E687" s="66">
        <v>44710</v>
      </c>
      <c r="F687" s="73">
        <f>'Date Calcs'!H47</f>
        <v>45842</v>
      </c>
      <c r="G687" s="73">
        <f>IF(VLOOKUP(A687,'Actual Dates'!A4:AF815,8,),'Actual Dates'!H42,"")</f>
        <v>45847</v>
      </c>
      <c r="H687" s="73">
        <f t="shared" si="214"/>
        <v>45876</v>
      </c>
      <c r="I687" s="73">
        <f>IF(VLOOKUP(A687,'Actual Dates'!A4:AF810,25,),'Actual Dates'!AA42,"")</f>
        <v>45875</v>
      </c>
      <c r="J687" s="73">
        <f t="shared" si="215"/>
        <v>45877</v>
      </c>
      <c r="K687" s="73" t="str">
        <f>IF(VLOOKUP(A687,'Actual Dates'!A4:AF838,26,),'Actual Dates'!AB42,"")</f>
        <v/>
      </c>
      <c r="L687" s="73">
        <f>IF(VLOOKUP(A687,'Actual Dates'!A4:AF838,21,),'Actual Dates'!U42,"")</f>
        <v>45873</v>
      </c>
      <c r="M687" s="73">
        <f>'Date Calcs'!AE47</f>
        <v>45890</v>
      </c>
      <c r="N687" s="73">
        <f>IF(VLOOKUP(A687,'Actual Dates'!A4:AF838,27,),'Actual Dates'!AE42,"")</f>
        <v>45889</v>
      </c>
      <c r="O687" s="74">
        <f t="shared" si="216"/>
        <v>68</v>
      </c>
      <c r="P687" s="75">
        <f t="shared" si="217"/>
        <v>-5</v>
      </c>
      <c r="Q687" s="75">
        <f t="shared" si="218"/>
        <v>1</v>
      </c>
      <c r="R687" s="132"/>
      <c r="S687" s="133"/>
    </row>
    <row r="688" spans="1:19" x14ac:dyDescent="0.25">
      <c r="A688" s="70" t="str">
        <f>'Date Calcs'!A48</f>
        <v>25-062</v>
      </c>
      <c r="B688" s="71" t="str">
        <f>'Date Calcs'!B48</f>
        <v>Reco</v>
      </c>
      <c r="C688" s="72">
        <f>'Date Calcs'!C48</f>
        <v>45821</v>
      </c>
      <c r="D688" s="73">
        <f t="shared" si="213"/>
        <v>45841</v>
      </c>
      <c r="E688" s="66">
        <v>44711</v>
      </c>
      <c r="F688" s="73">
        <f>'Date Calcs'!H48</f>
        <v>45842</v>
      </c>
      <c r="G688" s="73">
        <f>IF(VLOOKUP(A688,'Actual Dates'!A4:AF816,8,),'Actual Dates'!H43,"")</f>
        <v>45847</v>
      </c>
      <c r="H688" s="73">
        <f t="shared" si="214"/>
        <v>45876</v>
      </c>
      <c r="I688" s="73">
        <f>IF(VLOOKUP(A688,'Actual Dates'!A4:AF811,25,),'Actual Dates'!AA43,"")</f>
        <v>45875</v>
      </c>
      <c r="J688" s="73">
        <f t="shared" si="215"/>
        <v>45877</v>
      </c>
      <c r="K688" s="73" t="str">
        <f>IF(VLOOKUP(A688,'Actual Dates'!A4:AF839,26,),'Actual Dates'!AB43,"")</f>
        <v/>
      </c>
      <c r="L688" s="73">
        <f>IF(VLOOKUP(A688,'Actual Dates'!A4:AF839,21,),'Actual Dates'!U43,"")</f>
        <v>45873</v>
      </c>
      <c r="M688" s="73">
        <f>'Date Calcs'!AE48</f>
        <v>45890</v>
      </c>
      <c r="N688" s="73">
        <f>IF(VLOOKUP(A688,'Actual Dates'!A4:AF839,27,),'Actual Dates'!AE43,"")</f>
        <v>45903</v>
      </c>
      <c r="O688" s="74">
        <f t="shared" si="216"/>
        <v>82</v>
      </c>
      <c r="P688" s="75">
        <f t="shared" si="217"/>
        <v>-5</v>
      </c>
      <c r="Q688" s="75">
        <f t="shared" si="218"/>
        <v>-13</v>
      </c>
      <c r="R688" s="132"/>
      <c r="S688" s="133"/>
    </row>
    <row r="689" spans="1:19" x14ac:dyDescent="0.25">
      <c r="A689" s="70" t="str">
        <f>'Date Calcs'!A49</f>
        <v>25-063</v>
      </c>
      <c r="B689" s="71" t="str">
        <f>'Date Calcs'!B49</f>
        <v>Reco</v>
      </c>
      <c r="C689" s="72">
        <f>'Date Calcs'!C49</f>
        <v>45821</v>
      </c>
      <c r="D689" s="73">
        <f t="shared" si="213"/>
        <v>45841</v>
      </c>
      <c r="E689" s="66">
        <v>44712</v>
      </c>
      <c r="F689" s="73">
        <f>'Date Calcs'!H49</f>
        <v>45842</v>
      </c>
      <c r="G689" s="73">
        <f>IF(VLOOKUP(A689,'Actual Dates'!A4:AF817,8,),'Actual Dates'!H44,"")</f>
        <v>45847</v>
      </c>
      <c r="H689" s="73">
        <f t="shared" si="214"/>
        <v>45876</v>
      </c>
      <c r="I689" s="73">
        <f>IF(VLOOKUP(A689,'Actual Dates'!A4:AF812,25,),'Actual Dates'!AA44,"")</f>
        <v>45875</v>
      </c>
      <c r="J689" s="73">
        <f t="shared" si="215"/>
        <v>45877</v>
      </c>
      <c r="K689" s="73" t="str">
        <f>IF(VLOOKUP(A689,'Actual Dates'!A4:AF840,26,),'Actual Dates'!AB44,"")</f>
        <v/>
      </c>
      <c r="L689" s="73">
        <f>IF(VLOOKUP(A689,'Actual Dates'!A4:AF840,21,),'Actual Dates'!U44,"")</f>
        <v>45873</v>
      </c>
      <c r="M689" s="73">
        <f>'Date Calcs'!AE49</f>
        <v>45890</v>
      </c>
      <c r="N689" s="73">
        <f>IF(VLOOKUP(A689,'Actual Dates'!A4:AF840,27,),'Actual Dates'!AE44,"")</f>
        <v>45903</v>
      </c>
      <c r="O689" s="74">
        <f t="shared" si="216"/>
        <v>82</v>
      </c>
      <c r="P689" s="75">
        <f t="shared" si="217"/>
        <v>-5</v>
      </c>
      <c r="Q689" s="75">
        <f t="shared" si="218"/>
        <v>-13</v>
      </c>
      <c r="R689" s="132"/>
      <c r="S689" s="133"/>
    </row>
    <row r="690" spans="1:19" x14ac:dyDescent="0.25">
      <c r="A690" s="70" t="str">
        <f>'Date Calcs'!A50</f>
        <v>25-064</v>
      </c>
      <c r="B690" s="71" t="str">
        <f>'Date Calcs'!B50</f>
        <v>Reco</v>
      </c>
      <c r="C690" s="72">
        <f>'Date Calcs'!C50</f>
        <v>45821</v>
      </c>
      <c r="D690" s="73">
        <f t="shared" si="213"/>
        <v>45841</v>
      </c>
      <c r="E690" s="66">
        <v>44713</v>
      </c>
      <c r="F690" s="73">
        <f>'Date Calcs'!H50</f>
        <v>45842</v>
      </c>
      <c r="G690" s="73">
        <f>IF(VLOOKUP(A690,'Actual Dates'!A4:AF818,8,),'Actual Dates'!H45,"")</f>
        <v>45847</v>
      </c>
      <c r="H690" s="73">
        <f t="shared" si="214"/>
        <v>45876</v>
      </c>
      <c r="I690" s="73">
        <f>IF(VLOOKUP(A690,'Actual Dates'!A4:AF813,25,),'Actual Dates'!AA45,"")</f>
        <v>45875</v>
      </c>
      <c r="J690" s="73">
        <f t="shared" si="215"/>
        <v>45877</v>
      </c>
      <c r="K690" s="73">
        <f>IF(VLOOKUP(A690,'Actual Dates'!A4:AF841,26,),'Actual Dates'!AB45,"")</f>
        <v>45870</v>
      </c>
      <c r="L690" s="73">
        <f>IF(VLOOKUP(A690,'Actual Dates'!A4:AF841,21,),'Actual Dates'!U45,"")</f>
        <v>45873</v>
      </c>
      <c r="M690" s="73">
        <f>'Date Calcs'!AE50</f>
        <v>45890</v>
      </c>
      <c r="N690" s="73">
        <f>IF(VLOOKUP(A690,'Actual Dates'!A4:AF841,27,),'Actual Dates'!AE45,"")</f>
        <v>45926</v>
      </c>
      <c r="O690" s="74">
        <f t="shared" si="216"/>
        <v>105</v>
      </c>
      <c r="P690" s="75">
        <f t="shared" si="217"/>
        <v>-5</v>
      </c>
      <c r="Q690" s="75">
        <f t="shared" si="218"/>
        <v>-36</v>
      </c>
      <c r="R690" s="132"/>
      <c r="S690" s="133"/>
    </row>
    <row r="691" spans="1:19" x14ac:dyDescent="0.25">
      <c r="A691" s="70" t="str">
        <f>'Date Calcs'!A51</f>
        <v>25-065</v>
      </c>
      <c r="B691" s="71" t="str">
        <f>'Date Calcs'!B51</f>
        <v>Reco</v>
      </c>
      <c r="C691" s="72">
        <f>'Date Calcs'!C51</f>
        <v>45821</v>
      </c>
      <c r="D691" s="73">
        <f t="shared" si="213"/>
        <v>45841</v>
      </c>
      <c r="E691" s="66">
        <v>44714</v>
      </c>
      <c r="F691" s="73">
        <f>'Date Calcs'!H51</f>
        <v>45842</v>
      </c>
      <c r="G691" s="73">
        <f>IF(VLOOKUP(A691,'Actual Dates'!A4:AF819,8,),'Actual Dates'!H46,"")</f>
        <v>45847</v>
      </c>
      <c r="H691" s="73">
        <f t="shared" si="214"/>
        <v>45876</v>
      </c>
      <c r="I691" s="73">
        <f>IF(VLOOKUP(A691,'Actual Dates'!A4:AF814,25,),'Actual Dates'!AA46,"")</f>
        <v>45875</v>
      </c>
      <c r="J691" s="73">
        <f t="shared" si="215"/>
        <v>45877</v>
      </c>
      <c r="K691" s="73">
        <f>IF(VLOOKUP(A691,'Actual Dates'!A4:AF842,26,),'Actual Dates'!AB46,"")</f>
        <v>45870</v>
      </c>
      <c r="L691" s="73">
        <f>IF(VLOOKUP(A691,'Actual Dates'!A4:AF842,21,),'Actual Dates'!U46,"")</f>
        <v>45873</v>
      </c>
      <c r="M691" s="73">
        <f>'Date Calcs'!AE51</f>
        <v>45890</v>
      </c>
      <c r="N691" s="73">
        <f>IF(VLOOKUP(A691,'Actual Dates'!A4:AF842,27,),'Actual Dates'!AE46,"")</f>
        <v>45926</v>
      </c>
      <c r="O691" s="74">
        <f t="shared" si="216"/>
        <v>105</v>
      </c>
      <c r="P691" s="75">
        <f t="shared" si="217"/>
        <v>-5</v>
      </c>
      <c r="Q691" s="75">
        <f t="shared" si="218"/>
        <v>-36</v>
      </c>
      <c r="R691" s="132"/>
      <c r="S691" s="133"/>
    </row>
    <row r="692" spans="1:19" x14ac:dyDescent="0.25">
      <c r="A692" s="70" t="str">
        <f>'Date Calcs'!A52</f>
        <v>25-066</v>
      </c>
      <c r="B692" s="71" t="str">
        <f>'Date Calcs'!B52</f>
        <v>Reco</v>
      </c>
      <c r="C692" s="72">
        <f>'Date Calcs'!C52</f>
        <v>45821</v>
      </c>
      <c r="D692" s="73">
        <f t="shared" si="213"/>
        <v>45841</v>
      </c>
      <c r="E692" s="66">
        <v>44715</v>
      </c>
      <c r="F692" s="73">
        <f>'Date Calcs'!H52</f>
        <v>45842</v>
      </c>
      <c r="G692" s="73">
        <f>IF(VLOOKUP(A692,'Actual Dates'!A4:AF820,8,),'Actual Dates'!H47,"")</f>
        <v>45847</v>
      </c>
      <c r="H692" s="73">
        <f t="shared" si="214"/>
        <v>45876</v>
      </c>
      <c r="I692" s="73">
        <f>IF(VLOOKUP(A692,'Actual Dates'!A4:AF815,25,),'Actual Dates'!AA47,"")</f>
        <v>45875</v>
      </c>
      <c r="J692" s="73">
        <f t="shared" si="215"/>
        <v>45877</v>
      </c>
      <c r="K692" s="73">
        <f>IF(VLOOKUP(A692,'Actual Dates'!A4:AF843,26,),'Actual Dates'!AB47,"")</f>
        <v>45870</v>
      </c>
      <c r="L692" s="73">
        <f>IF(VLOOKUP(A692,'Actual Dates'!A4:AF843,21,),'Actual Dates'!U47,"")</f>
        <v>45873</v>
      </c>
      <c r="M692" s="73">
        <f>'Date Calcs'!AE52</f>
        <v>45890</v>
      </c>
      <c r="N692" s="73">
        <f>IF(VLOOKUP(A692,'Actual Dates'!A4:AF843,27,),'Actual Dates'!AE47,"")</f>
        <v>45971</v>
      </c>
      <c r="O692" s="74">
        <f t="shared" si="216"/>
        <v>150</v>
      </c>
      <c r="P692" s="75">
        <f t="shared" si="217"/>
        <v>-5</v>
      </c>
      <c r="Q692" s="75">
        <f t="shared" si="218"/>
        <v>-81</v>
      </c>
      <c r="R692" s="132"/>
      <c r="S692" s="133"/>
    </row>
    <row r="693" spans="1:19" x14ac:dyDescent="0.25">
      <c r="A693" s="70" t="str">
        <f>'Date Calcs'!A53</f>
        <v>25-067</v>
      </c>
      <c r="B693" s="71" t="str">
        <f>'Date Calcs'!B53</f>
        <v>Reco</v>
      </c>
      <c r="C693" s="72">
        <f>'Date Calcs'!C53</f>
        <v>45821</v>
      </c>
      <c r="D693" s="73">
        <f t="shared" si="213"/>
        <v>45841</v>
      </c>
      <c r="E693" s="66">
        <v>44716</v>
      </c>
      <c r="F693" s="73">
        <f>'Date Calcs'!H53</f>
        <v>45842</v>
      </c>
      <c r="G693" s="73">
        <f>IF(VLOOKUP(A693,'Actual Dates'!A4:AF821,8,),'Actual Dates'!H48,"")</f>
        <v>45847</v>
      </c>
      <c r="H693" s="73">
        <f t="shared" si="214"/>
        <v>45876</v>
      </c>
      <c r="I693" s="73">
        <f>IF(VLOOKUP(A693,'Actual Dates'!A4:AF816,25,),'Actual Dates'!AA48,"")</f>
        <v>45875</v>
      </c>
      <c r="J693" s="73">
        <f t="shared" si="215"/>
        <v>45877</v>
      </c>
      <c r="K693" s="73">
        <f>IF(VLOOKUP(A693,'Actual Dates'!A4:AF844,26,),'Actual Dates'!AB48,"")</f>
        <v>45870</v>
      </c>
      <c r="L693" s="73">
        <f>IF(VLOOKUP(A693,'Actual Dates'!A4:AF844,21,),'Actual Dates'!U48,"")</f>
        <v>45873</v>
      </c>
      <c r="M693" s="73">
        <f>'Date Calcs'!AE53</f>
        <v>45890</v>
      </c>
      <c r="N693" s="73">
        <f>IF(VLOOKUP(A693,'Actual Dates'!A4:AF844,27,),'Actual Dates'!AE48,"")</f>
        <v>45971</v>
      </c>
      <c r="O693" s="74">
        <f t="shared" si="216"/>
        <v>150</v>
      </c>
      <c r="P693" s="75">
        <f t="shared" si="217"/>
        <v>-5</v>
      </c>
      <c r="Q693" s="75">
        <f t="shared" si="218"/>
        <v>-81</v>
      </c>
      <c r="R693" s="132"/>
      <c r="S693" s="133"/>
    </row>
    <row r="694" spans="1:19" x14ac:dyDescent="0.25">
      <c r="A694" s="70" t="str">
        <f>'Date Calcs'!A54</f>
        <v>25-068</v>
      </c>
      <c r="B694" s="71" t="str">
        <f>'Date Calcs'!B54</f>
        <v>Reco</v>
      </c>
      <c r="C694" s="72">
        <f>'Date Calcs'!C54</f>
        <v>45821</v>
      </c>
      <c r="D694" s="73">
        <f t="shared" si="213"/>
        <v>45841</v>
      </c>
      <c r="E694" s="66">
        <v>44717</v>
      </c>
      <c r="F694" s="73">
        <f>'Date Calcs'!H54</f>
        <v>45842</v>
      </c>
      <c r="G694" s="73">
        <f>IF(VLOOKUP(A694,'Actual Dates'!A4:AF822,8,),'Actual Dates'!H49,"")</f>
        <v>45847</v>
      </c>
      <c r="H694" s="73">
        <f t="shared" si="214"/>
        <v>45876</v>
      </c>
      <c r="I694" s="73">
        <f>IF(VLOOKUP(A694,'Actual Dates'!A4:AF817,25,),'Actual Dates'!AA49,"")</f>
        <v>45875</v>
      </c>
      <c r="J694" s="73">
        <f t="shared" si="215"/>
        <v>45877</v>
      </c>
      <c r="K694" s="73">
        <f>IF(VLOOKUP(A694,'Actual Dates'!A4:AF845,26,),'Actual Dates'!AB49,"")</f>
        <v>45870</v>
      </c>
      <c r="L694" s="73">
        <f>IF(VLOOKUP(A694,'Actual Dates'!A4:AF845,21,),'Actual Dates'!U49,"")</f>
        <v>45873</v>
      </c>
      <c r="M694" s="73">
        <f>'Date Calcs'!AE54</f>
        <v>45890</v>
      </c>
      <c r="N694" s="73">
        <f>IF(VLOOKUP(A694,'Actual Dates'!A4:AF845,27,),'Actual Dates'!AE49,"")</f>
        <v>46000</v>
      </c>
      <c r="O694" s="74">
        <f t="shared" si="216"/>
        <v>179</v>
      </c>
      <c r="P694" s="75">
        <f t="shared" si="217"/>
        <v>-5</v>
      </c>
      <c r="Q694" s="75">
        <f t="shared" si="218"/>
        <v>-110</v>
      </c>
      <c r="R694" s="132"/>
      <c r="S694" s="133"/>
    </row>
    <row r="695" spans="1:19" x14ac:dyDescent="0.25">
      <c r="A695" s="70" t="str">
        <f>'Date Calcs'!A55</f>
        <v>25-069</v>
      </c>
      <c r="B695" s="71" t="str">
        <f>'Date Calcs'!B55</f>
        <v>Reco</v>
      </c>
      <c r="C695" s="72">
        <f>'Date Calcs'!C55</f>
        <v>45821</v>
      </c>
      <c r="D695" s="73">
        <f t="shared" si="213"/>
        <v>45841</v>
      </c>
      <c r="E695" s="66">
        <v>44718</v>
      </c>
      <c r="F695" s="73">
        <f>'Date Calcs'!H55</f>
        <v>45842</v>
      </c>
      <c r="G695" s="73">
        <f>IF(VLOOKUP(A695,'Actual Dates'!A4:AF823,8,),'Actual Dates'!H50,"")</f>
        <v>45847</v>
      </c>
      <c r="H695" s="73">
        <f t="shared" si="214"/>
        <v>45876</v>
      </c>
      <c r="I695" s="73">
        <f>IF(VLOOKUP(A695,'Actual Dates'!A4:AF818,25,),'Actual Dates'!AA50,"")</f>
        <v>45875</v>
      </c>
      <c r="J695" s="73">
        <f t="shared" si="215"/>
        <v>45877</v>
      </c>
      <c r="K695" s="73">
        <f>IF(VLOOKUP(A695,'Actual Dates'!A4:AF846,26,),'Actual Dates'!AB50,"")</f>
        <v>45870</v>
      </c>
      <c r="L695" s="73">
        <f>IF(VLOOKUP(A695,'Actual Dates'!A4:AF846,21,),'Actual Dates'!U50,"")</f>
        <v>45873</v>
      </c>
      <c r="M695" s="73">
        <f>'Date Calcs'!AE55</f>
        <v>45890</v>
      </c>
      <c r="N695" s="73">
        <f>IF(VLOOKUP(A695,'Actual Dates'!A4:AF846,27,),'Actual Dates'!AE50,"")</f>
        <v>46000</v>
      </c>
      <c r="O695" s="74">
        <f t="shared" si="216"/>
        <v>179</v>
      </c>
      <c r="P695" s="75">
        <f t="shared" si="217"/>
        <v>-5</v>
      </c>
      <c r="Q695" s="75">
        <f t="shared" si="218"/>
        <v>-110</v>
      </c>
      <c r="R695" s="132"/>
      <c r="S695" s="133"/>
    </row>
    <row r="696" spans="1:19" x14ac:dyDescent="0.25">
      <c r="A696" s="70" t="str">
        <f>'Date Calcs'!A56</f>
        <v>25-070</v>
      </c>
      <c r="B696" s="71" t="str">
        <f>'Date Calcs'!B56</f>
        <v>Reco</v>
      </c>
      <c r="C696" s="72">
        <f>'Date Calcs'!C56</f>
        <v>45821</v>
      </c>
      <c r="D696" s="73">
        <f t="shared" si="213"/>
        <v>45841</v>
      </c>
      <c r="E696" s="66">
        <v>44719</v>
      </c>
      <c r="F696" s="73">
        <f>'Date Calcs'!H56</f>
        <v>45842</v>
      </c>
      <c r="G696" s="73">
        <f>IF(VLOOKUP(A696,'Actual Dates'!A4:AF824,8,),'Actual Dates'!H51,"")</f>
        <v>45847</v>
      </c>
      <c r="H696" s="73">
        <f t="shared" si="214"/>
        <v>45876</v>
      </c>
      <c r="I696" s="73">
        <f>IF(VLOOKUP(A696,'Actual Dates'!A4:AF819,25,),'Actual Dates'!AA51,"")</f>
        <v>45875</v>
      </c>
      <c r="J696" s="73">
        <f t="shared" si="215"/>
        <v>45877</v>
      </c>
      <c r="K696" s="73">
        <f>IF(VLOOKUP(A696,'Actual Dates'!A4:AF847,26,),'Actual Dates'!AB51,"")</f>
        <v>45870</v>
      </c>
      <c r="L696" s="73">
        <f>IF(VLOOKUP(A696,'Actual Dates'!A4:AF847,21,),'Actual Dates'!U51,"")</f>
        <v>45873</v>
      </c>
      <c r="M696" s="73">
        <f>'Date Calcs'!AE56</f>
        <v>45890</v>
      </c>
      <c r="N696" s="73">
        <f>IF(VLOOKUP(A696,'Actual Dates'!A4:AF847,27,),'Actual Dates'!AE51,"")</f>
        <v>46034</v>
      </c>
      <c r="O696" s="74">
        <f t="shared" si="216"/>
        <v>213</v>
      </c>
      <c r="P696" s="75">
        <f t="shared" si="217"/>
        <v>-5</v>
      </c>
      <c r="Q696" s="75">
        <f t="shared" si="218"/>
        <v>-144</v>
      </c>
      <c r="R696" s="132"/>
      <c r="S696" s="133"/>
    </row>
    <row r="697" spans="1:19" x14ac:dyDescent="0.25">
      <c r="A697" s="70" t="str">
        <f>'Date Calcs'!A57</f>
        <v>25-071</v>
      </c>
      <c r="B697" s="71" t="str">
        <f>'Date Calcs'!B57</f>
        <v>Reco</v>
      </c>
      <c r="C697" s="72">
        <f>'Date Calcs'!C57</f>
        <v>45821</v>
      </c>
      <c r="D697" s="73">
        <f t="shared" si="213"/>
        <v>45841</v>
      </c>
      <c r="E697" s="66">
        <v>44720</v>
      </c>
      <c r="F697" s="73">
        <f>'Date Calcs'!H57</f>
        <v>45842</v>
      </c>
      <c r="G697" s="73">
        <f>IF(VLOOKUP(A697,'Actual Dates'!A4:AF825,8,),'Actual Dates'!H52,"")</f>
        <v>45847</v>
      </c>
      <c r="H697" s="73">
        <f t="shared" si="214"/>
        <v>45876</v>
      </c>
      <c r="I697" s="73">
        <f>IF(VLOOKUP(A697,'Actual Dates'!A4:AF820,25,),'Actual Dates'!AA52,"")</f>
        <v>45875</v>
      </c>
      <c r="J697" s="73">
        <f t="shared" si="215"/>
        <v>45877</v>
      </c>
      <c r="K697" s="73">
        <f>IF(VLOOKUP(A697,'Actual Dates'!A4:AF848,26,),'Actual Dates'!AB52,"")</f>
        <v>45870</v>
      </c>
      <c r="L697" s="73">
        <f>IF(VLOOKUP(A697,'Actual Dates'!A4:AF848,21,),'Actual Dates'!U52,"")</f>
        <v>45873</v>
      </c>
      <c r="M697" s="73">
        <f>'Date Calcs'!AE57</f>
        <v>45890</v>
      </c>
      <c r="N697" s="73">
        <f>IF(VLOOKUP(A697,'Actual Dates'!A4:AF848,27,),'Actual Dates'!AE52,"")</f>
        <v>46034</v>
      </c>
      <c r="O697" s="74">
        <f t="shared" si="216"/>
        <v>213</v>
      </c>
      <c r="P697" s="75">
        <f t="shared" si="217"/>
        <v>-5</v>
      </c>
      <c r="Q697" s="75">
        <f t="shared" si="218"/>
        <v>-144</v>
      </c>
      <c r="R697" s="132"/>
      <c r="S697" s="133"/>
    </row>
    <row r="698" spans="1:19" x14ac:dyDescent="0.25">
      <c r="A698" s="70" t="str">
        <f>'Date Calcs'!A58</f>
        <v>25-072</v>
      </c>
      <c r="B698" s="71" t="str">
        <f>'Date Calcs'!B58</f>
        <v>Burke Industrial</v>
      </c>
      <c r="C698" s="72">
        <f>'Date Calcs'!C58</f>
        <v>45824</v>
      </c>
      <c r="D698" s="73">
        <f t="shared" si="213"/>
        <v>45842</v>
      </c>
      <c r="E698" s="66">
        <v>44721</v>
      </c>
      <c r="F698" s="73">
        <f>'Date Calcs'!H58</f>
        <v>45845</v>
      </c>
      <c r="G698" s="73">
        <f>IF(VLOOKUP(A698,'Actual Dates'!A4:AF826,8,),'Actual Dates'!H53,"")</f>
        <v>45847</v>
      </c>
      <c r="H698" s="73">
        <f t="shared" si="214"/>
        <v>45876</v>
      </c>
      <c r="I698" s="73">
        <f>IF(VLOOKUP(A698,'Actual Dates'!A4:AF821,25,),'Actual Dates'!AA53,"")</f>
        <v>45875</v>
      </c>
      <c r="J698" s="73">
        <f t="shared" si="215"/>
        <v>45877</v>
      </c>
      <c r="K698" s="73" t="str">
        <f>IF(VLOOKUP(A698,'Actual Dates'!A4:AF849,26,),'Actual Dates'!AB53,"")</f>
        <v/>
      </c>
      <c r="L698" s="73">
        <f>IF(VLOOKUP(A698,'Actual Dates'!A4:AF849,21,),'Actual Dates'!U53,"")</f>
        <v>45873</v>
      </c>
      <c r="M698" s="73">
        <f>'Date Calcs'!AE58</f>
        <v>45869</v>
      </c>
      <c r="N698" s="73">
        <f>IF(VLOOKUP(A698,'Actual Dates'!A4:AF849,27,),'Actual Dates'!AE53,"")</f>
        <v>46062</v>
      </c>
      <c r="O698" s="74">
        <f t="shared" si="216"/>
        <v>238</v>
      </c>
      <c r="P698" s="75">
        <f t="shared" si="217"/>
        <v>-2</v>
      </c>
      <c r="Q698" s="75">
        <f t="shared" si="218"/>
        <v>-193</v>
      </c>
      <c r="R698" s="132"/>
      <c r="S698" s="133"/>
    </row>
    <row r="699" spans="1:19" x14ac:dyDescent="0.25">
      <c r="A699" s="70" t="str">
        <f>'Date Calcs'!A59</f>
        <v>25-073</v>
      </c>
      <c r="B699" s="71" t="str">
        <f>'Date Calcs'!B59</f>
        <v>Burke Industrial</v>
      </c>
      <c r="C699" s="72">
        <f>'Date Calcs'!C59</f>
        <v>45824</v>
      </c>
      <c r="D699" s="73">
        <f t="shared" si="213"/>
        <v>45842</v>
      </c>
      <c r="E699" s="66">
        <v>44722</v>
      </c>
      <c r="F699" s="73">
        <f>'Date Calcs'!H59</f>
        <v>45845</v>
      </c>
      <c r="G699" s="73">
        <f>IF(VLOOKUP(A699,'Actual Dates'!A4:AF827,8,),'Actual Dates'!H54,"")</f>
        <v>45847</v>
      </c>
      <c r="H699" s="73">
        <f t="shared" si="214"/>
        <v>45876</v>
      </c>
      <c r="I699" s="73">
        <f>IF(VLOOKUP(A699,'Actual Dates'!A4:AF822,25,),'Actual Dates'!AA54,"")</f>
        <v>45875</v>
      </c>
      <c r="J699" s="73">
        <f t="shared" si="215"/>
        <v>45877</v>
      </c>
      <c r="K699" s="73" t="str">
        <f>IF(VLOOKUP(A699,'Actual Dates'!A4:AF850,26,),'Actual Dates'!AB54,"")</f>
        <v/>
      </c>
      <c r="L699" s="73">
        <f>IF(VLOOKUP(A699,'Actual Dates'!A4:AF850,21,),'Actual Dates'!U54,"")</f>
        <v>45873</v>
      </c>
      <c r="M699" s="73">
        <f>'Date Calcs'!AE59</f>
        <v>45869</v>
      </c>
      <c r="N699" s="73">
        <f>IF(VLOOKUP(A699,'Actual Dates'!A4:AF850,27,),'Actual Dates'!AE54,"")</f>
        <v>46062</v>
      </c>
      <c r="O699" s="74">
        <f t="shared" si="216"/>
        <v>238</v>
      </c>
      <c r="P699" s="75">
        <f t="shared" si="217"/>
        <v>-2</v>
      </c>
      <c r="Q699" s="75">
        <f t="shared" si="218"/>
        <v>-193</v>
      </c>
      <c r="R699" s="132"/>
      <c r="S699" s="133"/>
    </row>
    <row r="700" spans="1:19" x14ac:dyDescent="0.25">
      <c r="A700" s="70" t="str">
        <f>'Date Calcs'!A60</f>
        <v>25-074</v>
      </c>
      <c r="B700" s="71" t="str">
        <f>'Date Calcs'!B60</f>
        <v>Kemira</v>
      </c>
      <c r="C700" s="72">
        <f>'Date Calcs'!C60</f>
        <v>45824</v>
      </c>
      <c r="D700" s="73">
        <f t="shared" si="213"/>
        <v>45842</v>
      </c>
      <c r="E700" s="66">
        <v>44723</v>
      </c>
      <c r="F700" s="73">
        <f>'Date Calcs'!H60</f>
        <v>45845</v>
      </c>
      <c r="G700" s="73">
        <f>IF(VLOOKUP(A700,'Actual Dates'!A4:AF828,8,),'Actual Dates'!H55,"")</f>
        <v>45847</v>
      </c>
      <c r="H700" s="73">
        <f t="shared" si="214"/>
        <v>45876</v>
      </c>
      <c r="I700" s="73">
        <f>IF(VLOOKUP(A700,'Actual Dates'!A4:AF823,25,),'Actual Dates'!AA55,"")</f>
        <v>45875</v>
      </c>
      <c r="J700" s="73">
        <f t="shared" si="215"/>
        <v>45877</v>
      </c>
      <c r="K700" s="73" t="str">
        <f>IF(VLOOKUP(A700,'Actual Dates'!A4:AF851,26,),'Actual Dates'!AB55,"")</f>
        <v/>
      </c>
      <c r="L700" s="73">
        <f>IF(VLOOKUP(A700,'Actual Dates'!A4:AF851,21,),'Actual Dates'!U55,"")</f>
        <v>45873</v>
      </c>
      <c r="M700" s="73">
        <f>'Date Calcs'!AE60</f>
        <v>45879</v>
      </c>
      <c r="N700" s="73">
        <f>IF(VLOOKUP(A700,'Actual Dates'!A4:AF851,27,),'Actual Dates'!AE55,"")</f>
        <v>46071</v>
      </c>
      <c r="O700" s="74">
        <f t="shared" si="216"/>
        <v>247</v>
      </c>
      <c r="P700" s="75">
        <f t="shared" si="217"/>
        <v>-2</v>
      </c>
      <c r="Q700" s="75">
        <f t="shared" si="218"/>
        <v>-192</v>
      </c>
      <c r="R700" s="132"/>
      <c r="S700" s="133"/>
    </row>
    <row r="701" spans="1:19" x14ac:dyDescent="0.25">
      <c r="A701" s="70" t="str">
        <f>'Date Calcs'!A61</f>
        <v>25-075</v>
      </c>
      <c r="B701" s="71" t="str">
        <f>'Date Calcs'!B61</f>
        <v>Kemira</v>
      </c>
      <c r="C701" s="72">
        <f>'Date Calcs'!C61</f>
        <v>45824</v>
      </c>
      <c r="D701" s="73">
        <f t="shared" si="213"/>
        <v>45842</v>
      </c>
      <c r="E701" s="66">
        <v>44724</v>
      </c>
      <c r="F701" s="73">
        <f>'Date Calcs'!H61</f>
        <v>45845</v>
      </c>
      <c r="G701" s="73">
        <f>IF(VLOOKUP(A701,'Actual Dates'!A4:AF829,8,),'Actual Dates'!H56,"")</f>
        <v>45847</v>
      </c>
      <c r="H701" s="73">
        <f t="shared" si="214"/>
        <v>45876</v>
      </c>
      <c r="I701" s="73">
        <f>IF(VLOOKUP(A701,'Actual Dates'!A4:AF824,25,),'Actual Dates'!AA56,"")</f>
        <v>45875</v>
      </c>
      <c r="J701" s="73">
        <f t="shared" si="215"/>
        <v>45877</v>
      </c>
      <c r="K701" s="73" t="str">
        <f>IF(VLOOKUP(A701,'Actual Dates'!A4:AF852,26,),'Actual Dates'!AB56,"")</f>
        <v/>
      </c>
      <c r="L701" s="73">
        <f>IF(VLOOKUP(A701,'Actual Dates'!A4:AF852,21,),'Actual Dates'!U56,"")</f>
        <v>45873</v>
      </c>
      <c r="M701" s="73">
        <f>'Date Calcs'!AE61</f>
        <v>45908</v>
      </c>
      <c r="N701" s="73">
        <f>IF(VLOOKUP(A701,'Actual Dates'!A4:AF852,27,),'Actual Dates'!AE56,"")</f>
        <v>46071</v>
      </c>
      <c r="O701" s="74">
        <f t="shared" si="216"/>
        <v>247</v>
      </c>
      <c r="P701" s="75">
        <f t="shared" si="217"/>
        <v>-2</v>
      </c>
      <c r="Q701" s="75">
        <f t="shared" si="218"/>
        <v>-163</v>
      </c>
      <c r="R701" s="132"/>
      <c r="S701" s="133"/>
    </row>
    <row r="702" spans="1:19" x14ac:dyDescent="0.25">
      <c r="A702" s="70" t="str">
        <f>'Date Calcs'!A62</f>
        <v>25-076</v>
      </c>
      <c r="B702" s="71" t="str">
        <f>'Date Calcs'!B62</f>
        <v>Irving tissue</v>
      </c>
      <c r="C702" s="72">
        <f>'Date Calcs'!C62</f>
        <v>45825</v>
      </c>
      <c r="D702" s="73">
        <f t="shared" si="213"/>
        <v>45852</v>
      </c>
      <c r="E702" s="66">
        <v>44725</v>
      </c>
      <c r="F702" s="73">
        <f>'Date Calcs'!H62</f>
        <v>45853</v>
      </c>
      <c r="G702" s="73">
        <f>IF(VLOOKUP(A702,'Actual Dates'!A4:AF830,8,),'Actual Dates'!H57,"")</f>
        <v>45841</v>
      </c>
      <c r="H702" s="73">
        <f t="shared" si="214"/>
        <v>45855</v>
      </c>
      <c r="I702" s="73">
        <f>IF(VLOOKUP(A702,'Actual Dates'!A4:AF825,25,),'Actual Dates'!AA57,"")</f>
        <v>45859</v>
      </c>
      <c r="J702" s="73">
        <f t="shared" si="215"/>
        <v>45856</v>
      </c>
      <c r="K702" s="73" t="str">
        <f>IF(VLOOKUP(A702,'Actual Dates'!A4:AF853,26,),'Actual Dates'!AB57,"")</f>
        <v/>
      </c>
      <c r="L702" s="73">
        <f>IF(VLOOKUP(A702,'Actual Dates'!A4:AF853,21,),'Actual Dates'!U57,"")</f>
        <v>45852</v>
      </c>
      <c r="M702" s="73">
        <f>'Date Calcs'!AE62</f>
        <v>45905</v>
      </c>
      <c r="N702" s="73">
        <f>IF(VLOOKUP(A702,'Actual Dates'!A4:AF853,27,),'Actual Dates'!AE57,"")</f>
        <v>45868</v>
      </c>
      <c r="O702" s="74">
        <f t="shared" si="216"/>
        <v>43</v>
      </c>
      <c r="P702" s="75">
        <f t="shared" si="217"/>
        <v>12</v>
      </c>
      <c r="Q702" s="75">
        <f t="shared" si="218"/>
        <v>37</v>
      </c>
      <c r="R702" s="132"/>
      <c r="S702" s="133"/>
    </row>
    <row r="703" spans="1:19" x14ac:dyDescent="0.25">
      <c r="A703" s="70" t="str">
        <f>'Date Calcs'!A63</f>
        <v>25-077</v>
      </c>
      <c r="B703" s="71" t="str">
        <f>'Date Calcs'!B63</f>
        <v>Epic Systems</v>
      </c>
      <c r="C703" s="72">
        <f>'Date Calcs'!C63</f>
        <v>45833</v>
      </c>
      <c r="D703" s="73">
        <f t="shared" si="213"/>
        <v>45853</v>
      </c>
      <c r="E703" s="66">
        <v>44726</v>
      </c>
      <c r="F703" s="73">
        <f>'Date Calcs'!H63</f>
        <v>45854</v>
      </c>
      <c r="G703" s="73">
        <f>IF(VLOOKUP(A703,'Actual Dates'!A4:AF831,8,),'Actual Dates'!H58,"")</f>
        <v>45841</v>
      </c>
      <c r="H703" s="73">
        <f t="shared" si="214"/>
        <v>45855</v>
      </c>
      <c r="I703" s="73">
        <f>IF(VLOOKUP(A703,'Actual Dates'!A4:AF826,25,),'Actual Dates'!AA58,"")</f>
        <v>45859</v>
      </c>
      <c r="J703" s="73">
        <f t="shared" si="215"/>
        <v>45856</v>
      </c>
      <c r="K703" s="73" t="str">
        <f>IF(VLOOKUP(A703,'Actual Dates'!A4:AF854,26,),'Actual Dates'!AB58,"")</f>
        <v/>
      </c>
      <c r="L703" s="73">
        <f>IF(VLOOKUP(A703,'Actual Dates'!A4:AF854,21,),'Actual Dates'!U58,"")</f>
        <v>45852</v>
      </c>
      <c r="M703" s="73">
        <f>'Date Calcs'!AE63</f>
        <v>45911</v>
      </c>
      <c r="N703" s="73">
        <f>IF(VLOOKUP(A703,'Actual Dates'!A4:AF854,27,),'Actual Dates'!AE58,"")</f>
        <v>45868</v>
      </c>
      <c r="O703" s="74">
        <f t="shared" si="216"/>
        <v>35</v>
      </c>
      <c r="P703" s="75">
        <f t="shared" si="217"/>
        <v>13</v>
      </c>
      <c r="Q703" s="75">
        <f t="shared" si="218"/>
        <v>43</v>
      </c>
      <c r="R703" s="132"/>
      <c r="S703" s="133"/>
    </row>
    <row r="704" spans="1:19" x14ac:dyDescent="0.25">
      <c r="A704" s="70" t="str">
        <f>'Date Calcs'!A64</f>
        <v>25-078</v>
      </c>
      <c r="B704" s="71" t="str">
        <f>'Date Calcs'!B64</f>
        <v>Epic Systems</v>
      </c>
      <c r="C704" s="72">
        <f>'Date Calcs'!C64</f>
        <v>45833</v>
      </c>
      <c r="D704" s="73">
        <f t="shared" si="213"/>
        <v>45853</v>
      </c>
      <c r="E704" s="66">
        <v>44727</v>
      </c>
      <c r="F704" s="73">
        <f>'Date Calcs'!H64</f>
        <v>45854</v>
      </c>
      <c r="G704" s="73">
        <f>IF(VLOOKUP(A704,'Actual Dates'!A4:AF832,8,),'Actual Dates'!H59,"")</f>
        <v>45854</v>
      </c>
      <c r="H704" s="73">
        <f t="shared" si="214"/>
        <v>45863</v>
      </c>
      <c r="I704" s="73">
        <f>IF(VLOOKUP(A704,'Actual Dates'!A4:AF827,25,),'Actual Dates'!AA59,"")</f>
        <v>45870</v>
      </c>
      <c r="J704" s="73">
        <f t="shared" si="215"/>
        <v>45866</v>
      </c>
      <c r="K704" s="73" t="str">
        <f>IF(VLOOKUP(A704,'Actual Dates'!A4:AF855,26,),'Actual Dates'!AB59,"")</f>
        <v/>
      </c>
      <c r="L704" s="73">
        <f>IF(VLOOKUP(A704,'Actual Dates'!A4:AF855,21,),'Actual Dates'!U59,"")</f>
        <v>45860</v>
      </c>
      <c r="M704" s="73">
        <f>'Date Calcs'!AE64</f>
        <v>45911</v>
      </c>
      <c r="N704" s="73">
        <f>IF(VLOOKUP(A704,'Actual Dates'!A4:AF855,27,),'Actual Dates'!AE59,"")</f>
        <v>45911</v>
      </c>
      <c r="O704" s="74">
        <f t="shared" si="216"/>
        <v>78</v>
      </c>
      <c r="P704" s="75">
        <f t="shared" si="217"/>
        <v>0</v>
      </c>
      <c r="Q704" s="75">
        <f t="shared" si="218"/>
        <v>0</v>
      </c>
      <c r="R704" s="132"/>
      <c r="S704" s="133"/>
    </row>
    <row r="705" spans="1:19" x14ac:dyDescent="0.25">
      <c r="A705" s="70" t="str">
        <f>'Date Calcs'!A65</f>
        <v>25-079</v>
      </c>
      <c r="B705" s="71" t="str">
        <f>'Date Calcs'!B65</f>
        <v>Epic Systems</v>
      </c>
      <c r="C705" s="72">
        <f>'Date Calcs'!C65</f>
        <v>45833</v>
      </c>
      <c r="D705" s="73">
        <f t="shared" si="213"/>
        <v>45853</v>
      </c>
      <c r="E705" s="66">
        <v>44728</v>
      </c>
      <c r="F705" s="73">
        <f>'Date Calcs'!H65</f>
        <v>45854</v>
      </c>
      <c r="G705" s="73">
        <f>IF(VLOOKUP(A705,'Actual Dates'!A4:AF833,8,),'Actual Dates'!H60,"")</f>
        <v>45854</v>
      </c>
      <c r="H705" s="73">
        <f t="shared" si="214"/>
        <v>45891</v>
      </c>
      <c r="I705" s="73">
        <f>IF(VLOOKUP(A705,'Actual Dates'!A4:AF828,25,),'Actual Dates'!AA60,"")</f>
        <v>45898</v>
      </c>
      <c r="J705" s="73">
        <f t="shared" si="215"/>
        <v>45894</v>
      </c>
      <c r="K705" s="73" t="str">
        <f>IF(VLOOKUP(A705,'Actual Dates'!A4:AF856,26,),'Actual Dates'!AB60,"")</f>
        <v/>
      </c>
      <c r="L705" s="73">
        <f>IF(VLOOKUP(A705,'Actual Dates'!A4:AF856,21,),'Actual Dates'!U60,"")</f>
        <v>45888</v>
      </c>
      <c r="M705" s="73">
        <f>'Date Calcs'!AE65</f>
        <v>45911</v>
      </c>
      <c r="N705" s="73">
        <f>IF(VLOOKUP(A705,'Actual Dates'!A4:AF856,27,),'Actual Dates'!AE60,"")</f>
        <v>45960</v>
      </c>
      <c r="O705" s="74">
        <f t="shared" si="216"/>
        <v>127</v>
      </c>
      <c r="P705" s="75">
        <f t="shared" si="217"/>
        <v>0</v>
      </c>
      <c r="Q705" s="75">
        <f t="shared" si="218"/>
        <v>-49</v>
      </c>
      <c r="R705" s="132"/>
      <c r="S705" s="133"/>
    </row>
    <row r="706" spans="1:19" x14ac:dyDescent="0.25">
      <c r="A706" s="70" t="str">
        <f>'Date Calcs'!A66</f>
        <v>25-080</v>
      </c>
      <c r="B706" s="71" t="str">
        <f>'Date Calcs'!B66</f>
        <v>Domtar</v>
      </c>
      <c r="C706" s="72">
        <f>'Date Calcs'!C66</f>
        <v>45835</v>
      </c>
      <c r="D706" s="73">
        <f t="shared" si="213"/>
        <v>45855</v>
      </c>
      <c r="E706" s="66">
        <v>44729</v>
      </c>
      <c r="F706" s="73">
        <f>'Date Calcs'!H66</f>
        <v>45856</v>
      </c>
      <c r="G706" s="73">
        <f>IF(VLOOKUP(A706,'Actual Dates'!A4:AF834,8,),'Actual Dates'!H61,"")</f>
        <v>45866</v>
      </c>
      <c r="H706" s="73">
        <f t="shared" si="214"/>
        <v>45891</v>
      </c>
      <c r="I706" s="73">
        <f>IF(VLOOKUP(A706,'Actual Dates'!A4:AF829,25,),'Actual Dates'!AA61,"")</f>
        <v>45890</v>
      </c>
      <c r="J706" s="73">
        <f t="shared" si="215"/>
        <v>45894</v>
      </c>
      <c r="K706" s="73" t="str">
        <f>IF(VLOOKUP(A706,'Actual Dates'!A4:AF857,26,),'Actual Dates'!AB61,"")</f>
        <v/>
      </c>
      <c r="L706" s="73">
        <f>IF(VLOOKUP(A706,'Actual Dates'!A4:AF857,21,),'Actual Dates'!U61,"")</f>
        <v>45888</v>
      </c>
      <c r="M706" s="73">
        <f>'Date Calcs'!AE66</f>
        <v>45893</v>
      </c>
      <c r="N706" s="73">
        <f>IF(VLOOKUP(A706,'Actual Dates'!A4:AF857,27,),'Actual Dates'!AE61,"")</f>
        <v>45897</v>
      </c>
      <c r="O706" s="74">
        <f t="shared" si="216"/>
        <v>62</v>
      </c>
      <c r="P706" s="75">
        <f t="shared" si="217"/>
        <v>-10</v>
      </c>
      <c r="Q706" s="75">
        <f t="shared" si="218"/>
        <v>-4</v>
      </c>
      <c r="R706" s="132"/>
      <c r="S706" s="133"/>
    </row>
    <row r="707" spans="1:19" x14ac:dyDescent="0.25">
      <c r="A707" s="70" t="str">
        <f>'Date Calcs'!A67</f>
        <v>25-083</v>
      </c>
      <c r="B707" s="71" t="str">
        <f>'Date Calcs'!B67</f>
        <v>Synthomer</v>
      </c>
      <c r="C707" s="72">
        <f>'Date Calcs'!C67</f>
        <v>45853</v>
      </c>
      <c r="D707" s="73">
        <f t="shared" si="213"/>
        <v>45873</v>
      </c>
      <c r="E707" s="66">
        <v>44730</v>
      </c>
      <c r="F707" s="73">
        <f>'Date Calcs'!H67</f>
        <v>45874</v>
      </c>
      <c r="G707" s="73">
        <f>IF(VLOOKUP(A707,'Actual Dates'!A4:AF835,8,),'Actual Dates'!H62,"")</f>
        <v>45861</v>
      </c>
      <c r="H707" s="73">
        <f t="shared" si="214"/>
        <v>45897</v>
      </c>
      <c r="I707" s="73">
        <f>IF(VLOOKUP(A707,'Actual Dates'!A4:AF830,25,),'Actual Dates'!AA62,"")</f>
        <v>45812</v>
      </c>
      <c r="J707" s="73">
        <f t="shared" si="215"/>
        <v>45898</v>
      </c>
      <c r="K707" s="73">
        <f>IF(VLOOKUP(A707,'Actual Dates'!A4:AF858,26,),'Actual Dates'!AB62,"")</f>
        <v>45953</v>
      </c>
      <c r="L707" s="73">
        <f>IF(VLOOKUP(A707,'Actual Dates'!A4:AF858,21,),'Actual Dates'!U62,"")</f>
        <v>45894</v>
      </c>
      <c r="M707" s="73">
        <f>'Date Calcs'!AE67</f>
        <v>46079</v>
      </c>
      <c r="N707" s="73">
        <f>IF(VLOOKUP(A707,'Actual Dates'!A4:AF858,27,),'Actual Dates'!AE62,"")</f>
        <v>45961</v>
      </c>
      <c r="O707" s="74">
        <f t="shared" si="216"/>
        <v>108</v>
      </c>
      <c r="P707" s="75">
        <f t="shared" si="217"/>
        <v>13</v>
      </c>
      <c r="Q707" s="75">
        <f t="shared" si="218"/>
        <v>118</v>
      </c>
      <c r="R707" s="132"/>
      <c r="S707" s="133"/>
    </row>
    <row r="708" spans="1:19" x14ac:dyDescent="0.25">
      <c r="A708" s="70" t="str">
        <f>'Date Calcs'!A68</f>
        <v>25-084</v>
      </c>
      <c r="B708" s="71" t="str">
        <f>'Date Calcs'!B68</f>
        <v>Atlas Minerals</v>
      </c>
      <c r="C708" s="72">
        <f>'Date Calcs'!C68</f>
        <v>45856</v>
      </c>
      <c r="D708" s="73">
        <f t="shared" si="213"/>
        <v>45876</v>
      </c>
      <c r="E708" s="66">
        <v>44731</v>
      </c>
      <c r="F708" s="73">
        <f>'Date Calcs'!H68</f>
        <v>45877</v>
      </c>
      <c r="G708" s="73">
        <f>IF(VLOOKUP(A708,'Actual Dates'!A4:AF836,8,),'Actual Dates'!H63,"")</f>
        <v>45859</v>
      </c>
      <c r="H708" s="73">
        <f t="shared" si="214"/>
        <v>45897</v>
      </c>
      <c r="I708" s="73">
        <f>IF(VLOOKUP(A708,'Actual Dates'!A4:AF831,25,),'Actual Dates'!AA63,"")</f>
        <v>45903</v>
      </c>
      <c r="J708" s="73">
        <f t="shared" si="215"/>
        <v>45898</v>
      </c>
      <c r="K708" s="73">
        <f>IF(VLOOKUP(A708,'Actual Dates'!A4:AF859,26,),'Actual Dates'!AB63,"")</f>
        <v>45953</v>
      </c>
      <c r="L708" s="73">
        <f>IF(VLOOKUP(A708,'Actual Dates'!A4:AF859,21,),'Actual Dates'!U63,"")</f>
        <v>45894</v>
      </c>
      <c r="M708" s="73">
        <f>'Date Calcs'!AE68</f>
        <v>45989</v>
      </c>
      <c r="N708" s="73">
        <f>IF(VLOOKUP(A708,'Actual Dates'!A4:AF859,27,),'Actual Dates'!AE63,"")</f>
        <v>45966</v>
      </c>
      <c r="O708" s="74">
        <f t="shared" si="216"/>
        <v>110</v>
      </c>
      <c r="P708" s="75">
        <f t="shared" si="217"/>
        <v>18</v>
      </c>
      <c r="Q708" s="75">
        <f t="shared" si="218"/>
        <v>23</v>
      </c>
      <c r="R708" s="132"/>
      <c r="S708" s="133"/>
    </row>
    <row r="709" spans="1:19" x14ac:dyDescent="0.25">
      <c r="A709" s="70" t="str">
        <f>'Date Calcs'!A69</f>
        <v>25-085</v>
      </c>
      <c r="B709" s="71" t="str">
        <f>'Date Calcs'!B69</f>
        <v>Noah Industrial</v>
      </c>
      <c r="C709" s="72">
        <f>'Date Calcs'!C69</f>
        <v>45860</v>
      </c>
      <c r="D709" s="73">
        <f t="shared" si="213"/>
        <v>45880</v>
      </c>
      <c r="E709" s="66">
        <v>44732</v>
      </c>
      <c r="F709" s="73">
        <f>'Date Calcs'!H69</f>
        <v>45881</v>
      </c>
      <c r="G709" s="73">
        <f>IF(VLOOKUP(A709,'Actual Dates'!A4:AF837,8,),'Actual Dates'!H64,"")</f>
        <v>45859</v>
      </c>
      <c r="H709" s="73">
        <f t="shared" si="214"/>
        <v>45897</v>
      </c>
      <c r="I709" s="73">
        <f>IF(VLOOKUP(A709,'Actual Dates'!A4:AF832,25,),'Actual Dates'!AA64,"")</f>
        <v>45903</v>
      </c>
      <c r="J709" s="73">
        <f t="shared" si="215"/>
        <v>45898</v>
      </c>
      <c r="K709" s="73" t="str">
        <f>IF(VLOOKUP(A709,'Actual Dates'!A4:AF860,26,),'Actual Dates'!AB64,"")</f>
        <v/>
      </c>
      <c r="L709" s="73">
        <f>IF(VLOOKUP(A709,'Actual Dates'!A4:AF860,21,),'Actual Dates'!U64,"")</f>
        <v>45894</v>
      </c>
      <c r="M709" s="73">
        <f>'Date Calcs'!AE69</f>
        <v>45907</v>
      </c>
      <c r="N709" s="73">
        <f>IF(VLOOKUP(A709,'Actual Dates'!A4:AF860,27,),'Actual Dates'!AE64,"")</f>
        <v>45966</v>
      </c>
      <c r="O709" s="74">
        <f t="shared" si="216"/>
        <v>106</v>
      </c>
      <c r="P709" s="75">
        <f t="shared" si="217"/>
        <v>22</v>
      </c>
      <c r="Q709" s="75">
        <f t="shared" si="218"/>
        <v>-59</v>
      </c>
      <c r="R709" s="132"/>
      <c r="S709" s="133"/>
    </row>
    <row r="710" spans="1:19" x14ac:dyDescent="0.25">
      <c r="A710" s="70" t="str">
        <f>'Date Calcs'!A70</f>
        <v>25-086</v>
      </c>
      <c r="B710" s="71" t="str">
        <f>'Date Calcs'!B70</f>
        <v>Tellus</v>
      </c>
      <c r="C710" s="72">
        <f>'Date Calcs'!C70</f>
        <v>45868</v>
      </c>
      <c r="D710" s="73">
        <f t="shared" si="213"/>
        <v>45867</v>
      </c>
      <c r="E710" s="66">
        <v>44733</v>
      </c>
      <c r="F710" s="73">
        <f>'Date Calcs'!H70</f>
        <v>45868</v>
      </c>
      <c r="G710" s="73" t="str">
        <f>IF(VLOOKUP(A710,'Actual Dates'!A4:AF838,8,),'Actual Dates'!H65,"")</f>
        <v/>
      </c>
      <c r="H710" s="73" t="e">
        <f t="shared" si="214"/>
        <v>#VALUE!</v>
      </c>
      <c r="I710" s="73">
        <f>IF(VLOOKUP(A710,'Actual Dates'!A4:AF833,25,),'Actual Dates'!AA65,"")</f>
        <v>45910</v>
      </c>
      <c r="J710" s="73" t="e">
        <f t="shared" si="215"/>
        <v>#VALUE!</v>
      </c>
      <c r="K710" s="73" t="str">
        <f>IF(VLOOKUP(A710,'Actual Dates'!A4:AF861,26,),'Actual Dates'!AB65,"")</f>
        <v/>
      </c>
      <c r="L710" s="73" t="str">
        <f>IF(VLOOKUP(A710,'Actual Dates'!A4:AF861,21,),'Actual Dates'!U65,"")</f>
        <v/>
      </c>
      <c r="M710" s="73">
        <f>'Date Calcs'!AE70</f>
        <v>45906</v>
      </c>
      <c r="N710" s="73">
        <f>IF(VLOOKUP(A710,'Actual Dates'!A4:AF861,27,),'Actual Dates'!AE65,"")</f>
        <v>45960</v>
      </c>
      <c r="O710" s="74">
        <f t="shared" si="216"/>
        <v>92</v>
      </c>
      <c r="P710" s="75" t="e">
        <f t="shared" si="217"/>
        <v>#VALUE!</v>
      </c>
      <c r="Q710" s="75">
        <f t="shared" si="218"/>
        <v>-54</v>
      </c>
      <c r="R710" s="132"/>
      <c r="S710" s="133"/>
    </row>
    <row r="711" spans="1:19" x14ac:dyDescent="0.25">
      <c r="A711" s="70" t="str">
        <f>'Date Calcs'!A71</f>
        <v>25-087</v>
      </c>
      <c r="B711" s="71" t="str">
        <f>'Date Calcs'!B71</f>
        <v>Solvay</v>
      </c>
      <c r="C711" s="72">
        <f>'Date Calcs'!C71</f>
        <v>45876</v>
      </c>
      <c r="D711" s="73">
        <f t="shared" si="213"/>
        <v>45896</v>
      </c>
      <c r="E711" s="66">
        <v>44734</v>
      </c>
      <c r="F711" s="73">
        <f>'Date Calcs'!H71</f>
        <v>45897</v>
      </c>
      <c r="G711" s="73">
        <f>IF(VLOOKUP(A711,'Actual Dates'!A4:AF839,8,),'Actual Dates'!H66,"")</f>
        <v>0</v>
      </c>
      <c r="H711" s="73">
        <f t="shared" si="214"/>
        <v>4</v>
      </c>
      <c r="I711" s="73" t="str">
        <f>IF(VLOOKUP(A711,'Actual Dates'!A4:AF834,25,),'Actual Dates'!AA66,"")</f>
        <v>NA</v>
      </c>
      <c r="J711" s="73">
        <f t="shared" si="215"/>
        <v>5</v>
      </c>
      <c r="K711" s="73" t="str">
        <f>IF(VLOOKUP(A711,'Actual Dates'!A4:AF862,26,),'Actual Dates'!AB66,"")</f>
        <v/>
      </c>
      <c r="L711" s="73">
        <f>IF(VLOOKUP(A711,'Actual Dates'!A4:AF862,21,),'Actual Dates'!U66,"")</f>
        <v>0</v>
      </c>
      <c r="M711" s="73">
        <f>'Date Calcs'!AE71</f>
        <v>45932</v>
      </c>
      <c r="N711" s="73">
        <f>IF(VLOOKUP(A711,'Actual Dates'!A4:AF862,27,),'Actual Dates'!AE66,"")</f>
        <v>0</v>
      </c>
      <c r="O711" s="74">
        <f t="shared" si="216"/>
        <v>-45876</v>
      </c>
      <c r="P711" s="75">
        <f t="shared" si="217"/>
        <v>45897</v>
      </c>
      <c r="Q711" s="75">
        <f t="shared" si="218"/>
        <v>45932</v>
      </c>
      <c r="R711" s="132"/>
      <c r="S711" s="133"/>
    </row>
    <row r="712" spans="1:19" x14ac:dyDescent="0.25">
      <c r="A712" s="70" t="str">
        <f>'Date Calcs'!A72</f>
        <v>25-088</v>
      </c>
      <c r="B712" s="71" t="str">
        <f>'Date Calcs'!B72</f>
        <v>CIL Isotopes</v>
      </c>
      <c r="C712" s="72">
        <f>'Date Calcs'!C72</f>
        <v>45882</v>
      </c>
      <c r="D712" s="73">
        <f t="shared" si="213"/>
        <v>45902</v>
      </c>
      <c r="E712" s="66">
        <v>44735</v>
      </c>
      <c r="F712" s="73">
        <f>'Date Calcs'!H72</f>
        <v>45903</v>
      </c>
      <c r="G712" s="73">
        <f>IF(VLOOKUP(A712,'Actual Dates'!A4:AF840,8,),'Actual Dates'!H67,"")</f>
        <v>45884</v>
      </c>
      <c r="H712" s="73">
        <f t="shared" si="214"/>
        <v>45968</v>
      </c>
      <c r="I712" s="73">
        <f>IF(VLOOKUP(A712,'Actual Dates'!A4:AF835,25,),'Actual Dates'!AA67,"")</f>
        <v>45972</v>
      </c>
      <c r="J712" s="73">
        <f t="shared" si="215"/>
        <v>45971</v>
      </c>
      <c r="K712" s="73" t="str">
        <f>IF(VLOOKUP(A712,'Actual Dates'!A4:AF863,26,),'Actual Dates'!AB67,"")</f>
        <v/>
      </c>
      <c r="L712" s="73">
        <f>IF(VLOOKUP(A712,'Actual Dates'!A4:AF863,21,),'Actual Dates'!U67,"")</f>
        <v>45965</v>
      </c>
      <c r="M712" s="73">
        <f>'Date Calcs'!AE72</f>
        <v>45933</v>
      </c>
      <c r="N712" s="73">
        <f>IF(VLOOKUP(A712,'Actual Dates'!A4:AF863,27,),'Actual Dates'!AE67,"")</f>
        <v>45985</v>
      </c>
      <c r="O712" s="74">
        <f t="shared" si="216"/>
        <v>103</v>
      </c>
      <c r="P712" s="75">
        <f t="shared" si="217"/>
        <v>19</v>
      </c>
      <c r="Q712" s="75">
        <f t="shared" si="218"/>
        <v>-52</v>
      </c>
      <c r="R712" s="132"/>
      <c r="S712" s="133"/>
    </row>
    <row r="713" spans="1:19" x14ac:dyDescent="0.25">
      <c r="A713" s="70" t="str">
        <f>'Date Calcs'!A73</f>
        <v>25-089</v>
      </c>
      <c r="B713" s="71" t="str">
        <f>'Date Calcs'!B73</f>
        <v>Valmet</v>
      </c>
      <c r="C713" s="72">
        <f>'Date Calcs'!C73</f>
        <v>45891</v>
      </c>
      <c r="D713" s="73">
        <f t="shared" ref="D713:D749" si="219">WORKDAY(F713,-1,)</f>
        <v>45919</v>
      </c>
      <c r="E713" s="66">
        <v>44736</v>
      </c>
      <c r="F713" s="73">
        <f>'Date Calcs'!H73</f>
        <v>45922.5</v>
      </c>
      <c r="G713" s="73">
        <f>IF(VLOOKUP(A713,'Actual Dates'!A4:AF841,8,),'Actual Dates'!H68,"")</f>
        <v>45877</v>
      </c>
      <c r="H713" s="73">
        <f t="shared" ref="H713:H749" si="220">WORKDAY(L713,3,)</f>
        <v>45968</v>
      </c>
      <c r="I713" s="73">
        <f>IF(VLOOKUP(A713,'Actual Dates'!A4:AF836,25,),'Actual Dates'!AA68,"")</f>
        <v>45966</v>
      </c>
      <c r="J713" s="73">
        <f t="shared" ref="J713:J749" si="221">WORKDAY(L713,4,)</f>
        <v>45971</v>
      </c>
      <c r="K713" s="73">
        <f>IF(VLOOKUP(A713,'Actual Dates'!A4:AF864,26,),'Actual Dates'!AB68,"")</f>
        <v>45985</v>
      </c>
      <c r="L713" s="73">
        <f>IF(VLOOKUP(A713,'Actual Dates'!A4:AF864,21,),'Actual Dates'!U68,"")</f>
        <v>45965</v>
      </c>
      <c r="M713" s="73">
        <f>'Date Calcs'!AE73</f>
        <v>46006</v>
      </c>
      <c r="N713" s="73">
        <f>IF(VLOOKUP(A713,'Actual Dates'!A4:AF864,27,),'Actual Dates'!AE68,"")</f>
        <v>45985</v>
      </c>
      <c r="O713" s="74">
        <f t="shared" ref="O713:O749" si="222">N713-C713</f>
        <v>94</v>
      </c>
      <c r="P713" s="75">
        <f t="shared" ref="P713:P749" si="223">F713-G713</f>
        <v>45.5</v>
      </c>
      <c r="Q713" s="75">
        <f t="shared" ref="Q713:Q749" si="224">M713-N713</f>
        <v>21</v>
      </c>
      <c r="R713" s="132"/>
      <c r="S713" s="133"/>
    </row>
    <row r="714" spans="1:19" x14ac:dyDescent="0.25">
      <c r="A714" s="70" t="str">
        <f>'Date Calcs'!A74</f>
        <v>25-090</v>
      </c>
      <c r="B714" s="71" t="str">
        <f>'Date Calcs'!B74</f>
        <v>GAF</v>
      </c>
      <c r="C714" s="72">
        <f>'Date Calcs'!C74</f>
        <v>45887</v>
      </c>
      <c r="D714" s="73">
        <f t="shared" si="219"/>
        <v>45891</v>
      </c>
      <c r="E714" s="66">
        <v>44737</v>
      </c>
      <c r="F714" s="73">
        <f>'Date Calcs'!H74</f>
        <v>45894</v>
      </c>
      <c r="G714" s="73">
        <f>IF(VLOOKUP(A714,'Actual Dates'!A4:AF842,8,),'Actual Dates'!H69,"")</f>
        <v>45881</v>
      </c>
      <c r="H714" s="73">
        <f t="shared" si="220"/>
        <v>45891</v>
      </c>
      <c r="I714" s="73" t="e">
        <f>IF(VLOOKUP(A714,'Actual Dates'!A4:AF837,25,),'Actual Dates'!AA69,"")</f>
        <v>#VALUE!</v>
      </c>
      <c r="J714" s="73">
        <f t="shared" si="221"/>
        <v>45894</v>
      </c>
      <c r="K714" s="73" t="str">
        <f>IF(VLOOKUP(A714,'Actual Dates'!A4:AF865,26,),'Actual Dates'!AB69,"")</f>
        <v/>
      </c>
      <c r="L714" s="73">
        <f>IF(VLOOKUP(A714,'Actual Dates'!A4:AF865,21,),'Actual Dates'!U69,"")</f>
        <v>45888</v>
      </c>
      <c r="M714" s="73">
        <f>'Date Calcs'!AE74</f>
        <v>45929</v>
      </c>
      <c r="N714" s="73" t="e">
        <f>IF(VLOOKUP(A714,'Actual Dates'!A4:AF865,27,),'Actual Dates'!AE69,"")</f>
        <v>#VALUE!</v>
      </c>
      <c r="O714" s="74" t="e">
        <f t="shared" si="222"/>
        <v>#VALUE!</v>
      </c>
      <c r="P714" s="75">
        <f t="shared" si="223"/>
        <v>13</v>
      </c>
      <c r="Q714" s="75" t="e">
        <f t="shared" si="224"/>
        <v>#VALUE!</v>
      </c>
      <c r="R714" s="132"/>
      <c r="S714" s="133"/>
    </row>
    <row r="715" spans="1:19" x14ac:dyDescent="0.25">
      <c r="A715" s="70" t="str">
        <f>'Date Calcs'!A75</f>
        <v>25-091</v>
      </c>
      <c r="B715" s="71" t="str">
        <f>'Date Calcs'!B75</f>
        <v>US Sugar</v>
      </c>
      <c r="C715" s="72">
        <f>'Date Calcs'!C75</f>
        <v>45904</v>
      </c>
      <c r="D715" s="73">
        <f t="shared" si="219"/>
        <v>45910</v>
      </c>
      <c r="E715" s="66">
        <v>44738</v>
      </c>
      <c r="F715" s="73">
        <f>'Date Calcs'!H75</f>
        <v>45911</v>
      </c>
      <c r="G715" s="73" t="str">
        <f>IF(VLOOKUP(A715,'Actual Dates'!A4:AF843,8,),'Actual Dates'!H70,"")</f>
        <v/>
      </c>
      <c r="H715" s="73" t="e">
        <f t="shared" si="220"/>
        <v>#VALUE!</v>
      </c>
      <c r="I715" s="73">
        <f>IF(VLOOKUP(A715,'Actual Dates'!A4:AF838,25,),'Actual Dates'!AA70,"")</f>
        <v>45896</v>
      </c>
      <c r="J715" s="73" t="e">
        <f t="shared" si="221"/>
        <v>#VALUE!</v>
      </c>
      <c r="K715" s="73" t="str">
        <f>IF(VLOOKUP(A715,'Actual Dates'!A4:AF866,26,),'Actual Dates'!AB70,"")</f>
        <v/>
      </c>
      <c r="L715" s="73" t="str">
        <f>IF(VLOOKUP(A715,'Actual Dates'!A4:AF866,21,),'Actual Dates'!U70,"")</f>
        <v/>
      </c>
      <c r="M715" s="73">
        <f>'Date Calcs'!AE75</f>
        <v>45949</v>
      </c>
      <c r="N715" s="73">
        <f>IF(VLOOKUP(A715,'Actual Dates'!A4:AF866,27,),'Actual Dates'!AE70,"")</f>
        <v>45895</v>
      </c>
      <c r="O715" s="74">
        <f t="shared" si="222"/>
        <v>-9</v>
      </c>
      <c r="P715" s="75" t="e">
        <f t="shared" si="223"/>
        <v>#VALUE!</v>
      </c>
      <c r="Q715" s="75">
        <f t="shared" si="224"/>
        <v>54</v>
      </c>
      <c r="R715" s="132"/>
      <c r="S715" s="133"/>
    </row>
    <row r="716" spans="1:19" x14ac:dyDescent="0.25">
      <c r="A716" s="70" t="str">
        <f>'Date Calcs'!A76</f>
        <v>25-092</v>
      </c>
      <c r="B716" s="71" t="str">
        <f>'Date Calcs'!B76</f>
        <v>Symrise</v>
      </c>
      <c r="C716" s="72">
        <f>'Date Calcs'!C76</f>
        <v>45910</v>
      </c>
      <c r="D716" s="73">
        <f t="shared" si="219"/>
        <v>45937</v>
      </c>
      <c r="E716" s="66">
        <v>44739</v>
      </c>
      <c r="F716" s="73">
        <f>'Date Calcs'!H76</f>
        <v>45938</v>
      </c>
      <c r="G716" s="73">
        <f>IF(VLOOKUP(A716,'Actual Dates'!A4:AF844,8,),'Actual Dates'!H71,"")</f>
        <v>45897</v>
      </c>
      <c r="H716" s="73">
        <f t="shared" si="220"/>
        <v>45918</v>
      </c>
      <c r="I716" s="73">
        <f>IF(VLOOKUP(A716,'Actual Dates'!A4:AF839,25,),'Actual Dates'!AA71,"")</f>
        <v>45922</v>
      </c>
      <c r="J716" s="73">
        <f t="shared" si="221"/>
        <v>45919</v>
      </c>
      <c r="K716" s="73">
        <f>IF(VLOOKUP(A716,'Actual Dates'!A4:AF867,26,),'Actual Dates'!AB71,"")</f>
        <v>45922</v>
      </c>
      <c r="L716" s="73">
        <f>IF(VLOOKUP(A716,'Actual Dates'!A4:AF867,21,),'Actual Dates'!U71,"")</f>
        <v>45915</v>
      </c>
      <c r="M716" s="73">
        <f>'Date Calcs'!AE76</f>
        <v>45977</v>
      </c>
      <c r="N716" s="73">
        <f>IF(VLOOKUP(A716,'Actual Dates'!A4:AF867,27,),'Actual Dates'!AE71,"")</f>
        <v>45924</v>
      </c>
      <c r="O716" s="74">
        <f t="shared" si="222"/>
        <v>14</v>
      </c>
      <c r="P716" s="75">
        <f t="shared" si="223"/>
        <v>41</v>
      </c>
      <c r="Q716" s="75">
        <f t="shared" si="224"/>
        <v>53</v>
      </c>
      <c r="R716" s="132"/>
      <c r="S716" s="133"/>
    </row>
    <row r="717" spans="1:19" x14ac:dyDescent="0.25">
      <c r="A717" s="70" t="str">
        <f>'Date Calcs'!A77</f>
        <v>25-093</v>
      </c>
      <c r="B717" s="71" t="str">
        <f>'Date Calcs'!B77</f>
        <v>Symrise</v>
      </c>
      <c r="C717" s="72">
        <f>'Date Calcs'!C77</f>
        <v>45910</v>
      </c>
      <c r="D717" s="73">
        <f t="shared" si="219"/>
        <v>45937</v>
      </c>
      <c r="E717" s="66">
        <v>44740</v>
      </c>
      <c r="F717" s="73">
        <f>'Date Calcs'!H77</f>
        <v>45938</v>
      </c>
      <c r="G717" s="73">
        <f>IF(VLOOKUP(A717,'Actual Dates'!A4:AF845,8,),'Actual Dates'!H72,"")</f>
        <v>45903</v>
      </c>
      <c r="H717" s="73">
        <f t="shared" si="220"/>
        <v>45918</v>
      </c>
      <c r="I717" s="73">
        <f>IF(VLOOKUP(A717,'Actual Dates'!A4:AF840,25,),'Actual Dates'!AA72,"")</f>
        <v>45922</v>
      </c>
      <c r="J717" s="73">
        <f t="shared" si="221"/>
        <v>45919</v>
      </c>
      <c r="K717" s="73">
        <f>IF(VLOOKUP(A717,'Actual Dates'!A4:AF868,26,),'Actual Dates'!AB72,"")</f>
        <v>45922</v>
      </c>
      <c r="L717" s="73">
        <f>IF(VLOOKUP(A717,'Actual Dates'!A4:AF868,21,),'Actual Dates'!U72,"")</f>
        <v>45915</v>
      </c>
      <c r="M717" s="73">
        <f>'Date Calcs'!AE77</f>
        <v>45977</v>
      </c>
      <c r="N717" s="73">
        <f>IF(VLOOKUP(A717,'Actual Dates'!A4:AF868,27,),'Actual Dates'!AE72,"")</f>
        <v>45953</v>
      </c>
      <c r="O717" s="74">
        <f t="shared" si="222"/>
        <v>43</v>
      </c>
      <c r="P717" s="75">
        <f t="shared" si="223"/>
        <v>35</v>
      </c>
      <c r="Q717" s="75">
        <f t="shared" si="224"/>
        <v>24</v>
      </c>
      <c r="R717" s="132"/>
      <c r="S717" s="133"/>
    </row>
    <row r="718" spans="1:19" x14ac:dyDescent="0.25">
      <c r="A718" s="70" t="str">
        <f>'Date Calcs'!A78</f>
        <v>25-094</v>
      </c>
      <c r="B718" s="71" t="str">
        <f>'Date Calcs'!B78</f>
        <v>Kimberly Clark</v>
      </c>
      <c r="C718" s="72">
        <f>'Date Calcs'!C78</f>
        <v>45915</v>
      </c>
      <c r="D718" s="73">
        <f t="shared" si="219"/>
        <v>45933</v>
      </c>
      <c r="E718" s="66">
        <v>44741</v>
      </c>
      <c r="F718" s="73">
        <f>'Date Calcs'!H78</f>
        <v>45936</v>
      </c>
      <c r="G718" s="73">
        <f>IF(VLOOKUP(A718,'Actual Dates'!A4:AF846,8,),'Actual Dates'!H73,"")</f>
        <v>45922</v>
      </c>
      <c r="H718" s="73">
        <f t="shared" si="220"/>
        <v>46000</v>
      </c>
      <c r="I718" s="73">
        <f>IF(VLOOKUP(A718,'Actual Dates'!A4:AF841,25,),'Actual Dates'!AA73,"")</f>
        <v>46000</v>
      </c>
      <c r="J718" s="73">
        <f t="shared" si="221"/>
        <v>46001</v>
      </c>
      <c r="K718" s="73" t="str">
        <f>IF(VLOOKUP(A718,'Actual Dates'!A4:AF869,26,),'Actual Dates'!AB73,"")</f>
        <v/>
      </c>
      <c r="L718" s="73">
        <f>IF(VLOOKUP(A718,'Actual Dates'!A4:AF869,21,),'Actual Dates'!U73,"")</f>
        <v>45995</v>
      </c>
      <c r="M718" s="73">
        <f>'Date Calcs'!AE78</f>
        <v>45974</v>
      </c>
      <c r="N718" s="73">
        <f>IF(VLOOKUP(A718,'Actual Dates'!A4:AF869,27,),'Actual Dates'!AE73,"")</f>
        <v>46007</v>
      </c>
      <c r="O718" s="74">
        <f t="shared" si="222"/>
        <v>92</v>
      </c>
      <c r="P718" s="75">
        <f t="shared" si="223"/>
        <v>14</v>
      </c>
      <c r="Q718" s="75">
        <f t="shared" si="224"/>
        <v>-33</v>
      </c>
      <c r="R718" s="132"/>
      <c r="S718" s="133"/>
    </row>
    <row r="719" spans="1:19" x14ac:dyDescent="0.25">
      <c r="A719" s="70" t="str">
        <f>'Date Calcs'!A79</f>
        <v>25-095</v>
      </c>
      <c r="B719" s="71" t="str">
        <f>'Date Calcs'!B79</f>
        <v>Andritz</v>
      </c>
      <c r="C719" s="72">
        <f>'Date Calcs'!C79</f>
        <v>45919</v>
      </c>
      <c r="D719" s="73">
        <f t="shared" si="219"/>
        <v>45946</v>
      </c>
      <c r="E719" s="66">
        <v>44742</v>
      </c>
      <c r="F719" s="73">
        <f>'Date Calcs'!H79</f>
        <v>45947</v>
      </c>
      <c r="G719" s="73">
        <f>IF(VLOOKUP(A719,'Actual Dates'!A4:AF847,8,),'Actual Dates'!H74,"")</f>
        <v>45891</v>
      </c>
      <c r="H719" s="73" t="e">
        <f t="shared" si="220"/>
        <v>#VALUE!</v>
      </c>
      <c r="I719" s="73" t="e">
        <f>IF(VLOOKUP(A719,'Actual Dates'!A4:AF842,25,),'Actual Dates'!AA74,"")</f>
        <v>#VALUE!</v>
      </c>
      <c r="J719" s="73" t="e">
        <f t="shared" si="221"/>
        <v>#VALUE!</v>
      </c>
      <c r="K719" s="73" t="str">
        <f>IF(VLOOKUP(A719,'Actual Dates'!A4:AF870,26,),'Actual Dates'!AB74,"")</f>
        <v/>
      </c>
      <c r="L719" s="73" t="str">
        <f>IF(VLOOKUP(A719,'Actual Dates'!A4:AF870,21,),'Actual Dates'!U74,"")</f>
        <v/>
      </c>
      <c r="M719" s="73">
        <f>'Date Calcs'!AE79</f>
        <v>46079</v>
      </c>
      <c r="N719" s="73" t="e">
        <f>IF(VLOOKUP(A719,'Actual Dates'!A4:AF870,27,),'Actual Dates'!AE74,"")</f>
        <v>#VALUE!</v>
      </c>
      <c r="O719" s="74" t="e">
        <f t="shared" si="222"/>
        <v>#VALUE!</v>
      </c>
      <c r="P719" s="75">
        <f t="shared" si="223"/>
        <v>56</v>
      </c>
      <c r="Q719" s="75" t="e">
        <f t="shared" si="224"/>
        <v>#VALUE!</v>
      </c>
      <c r="R719" s="132"/>
      <c r="S719" s="133"/>
    </row>
    <row r="720" spans="1:19" x14ac:dyDescent="0.25">
      <c r="A720" s="70" t="str">
        <f>'Date Calcs'!A80</f>
        <v>25-096</v>
      </c>
      <c r="B720" s="71" t="str">
        <f>'Date Calcs'!B80</f>
        <v>Milliken</v>
      </c>
      <c r="C720" s="72">
        <f>'Date Calcs'!C80</f>
        <v>45922</v>
      </c>
      <c r="D720" s="73">
        <f t="shared" si="219"/>
        <v>45940</v>
      </c>
      <c r="E720" s="66">
        <v>44743</v>
      </c>
      <c r="F720" s="73">
        <f>'Date Calcs'!H80</f>
        <v>45943</v>
      </c>
      <c r="G720" s="73">
        <f>IF(VLOOKUP(A720,'Actual Dates'!A4:AF848,8,),'Actual Dates'!H75,"")</f>
        <v>0</v>
      </c>
      <c r="H720" s="73">
        <f t="shared" si="220"/>
        <v>4</v>
      </c>
      <c r="I720" s="73">
        <f>IF(VLOOKUP(A720,'Actual Dates'!A4:AF843,25,),'Actual Dates'!AA75,"")</f>
        <v>45923</v>
      </c>
      <c r="J720" s="73">
        <f t="shared" si="221"/>
        <v>5</v>
      </c>
      <c r="K720" s="73" t="str">
        <f>IF(VLOOKUP(A720,'Actual Dates'!A4:AF871,26,),'Actual Dates'!AB75,"")</f>
        <v/>
      </c>
      <c r="L720" s="73">
        <f>IF(VLOOKUP(A720,'Actual Dates'!A4:AF871,21,),'Actual Dates'!U75,"")</f>
        <v>0</v>
      </c>
      <c r="M720" s="73">
        <f>'Date Calcs'!AE80</f>
        <v>45970</v>
      </c>
      <c r="N720" s="73">
        <f>IF(VLOOKUP(A720,'Actual Dates'!A4:AF871,27,),'Actual Dates'!AE75,"")</f>
        <v>45923</v>
      </c>
      <c r="O720" s="74">
        <f t="shared" si="222"/>
        <v>1</v>
      </c>
      <c r="P720" s="75">
        <f t="shared" si="223"/>
        <v>45943</v>
      </c>
      <c r="Q720" s="75">
        <f t="shared" si="224"/>
        <v>47</v>
      </c>
      <c r="R720" s="132"/>
      <c r="S720" s="133"/>
    </row>
    <row r="721" spans="1:19" x14ac:dyDescent="0.25">
      <c r="A721" s="70" t="str">
        <f>'Date Calcs'!A81</f>
        <v>25-097</v>
      </c>
      <c r="B721" s="71" t="str">
        <f>'Date Calcs'!B81</f>
        <v>Milliken</v>
      </c>
      <c r="C721" s="72">
        <f>'Date Calcs'!C81</f>
        <v>45922</v>
      </c>
      <c r="D721" s="73">
        <f t="shared" si="219"/>
        <v>45940</v>
      </c>
      <c r="E721" s="66">
        <v>44744</v>
      </c>
      <c r="F721" s="73">
        <f>'Date Calcs'!H81</f>
        <v>45943</v>
      </c>
      <c r="G721" s="73">
        <f>IF(VLOOKUP(A721,'Actual Dates'!A4:AF849,8,),'Actual Dates'!H76,"")</f>
        <v>45931</v>
      </c>
      <c r="H721" s="73">
        <f t="shared" si="220"/>
        <v>45960</v>
      </c>
      <c r="I721" s="73">
        <f>IF(VLOOKUP(A721,'Actual Dates'!A4:AF844,25,),'Actual Dates'!AA76,"")</f>
        <v>45979</v>
      </c>
      <c r="J721" s="73">
        <f t="shared" si="221"/>
        <v>45961</v>
      </c>
      <c r="K721" s="73" t="str">
        <f>IF(VLOOKUP(A721,'Actual Dates'!A4:AF872,26,),'Actual Dates'!AB76,"")</f>
        <v/>
      </c>
      <c r="L721" s="73">
        <f>IF(VLOOKUP(A721,'Actual Dates'!A4:AF872,21,),'Actual Dates'!U76,"")</f>
        <v>45957</v>
      </c>
      <c r="M721" s="73">
        <f>'Date Calcs'!AE81</f>
        <v>45970</v>
      </c>
      <c r="N721" s="73">
        <f>IF(VLOOKUP(A721,'Actual Dates'!A4:AF872,27,),'Actual Dates'!AE76,"")</f>
        <v>46035</v>
      </c>
      <c r="O721" s="74">
        <f t="shared" si="222"/>
        <v>113</v>
      </c>
      <c r="P721" s="75">
        <f t="shared" si="223"/>
        <v>12</v>
      </c>
      <c r="Q721" s="75">
        <f t="shared" si="224"/>
        <v>-65</v>
      </c>
      <c r="R721" s="132"/>
      <c r="S721" s="133"/>
    </row>
    <row r="722" spans="1:19" x14ac:dyDescent="0.25">
      <c r="A722" s="70" t="str">
        <f>'Date Calcs'!A82</f>
        <v>25-098</v>
      </c>
      <c r="B722" s="71" t="str">
        <f>'Date Calcs'!B82</f>
        <v>Coastal Technologies</v>
      </c>
      <c r="C722" s="72">
        <f>'Date Calcs'!C82</f>
        <v>45924</v>
      </c>
      <c r="D722" s="73">
        <f t="shared" si="219"/>
        <v>45951</v>
      </c>
      <c r="E722" s="66">
        <v>44745</v>
      </c>
      <c r="F722" s="73">
        <f>'Date Calcs'!H82</f>
        <v>45952</v>
      </c>
      <c r="G722" s="73">
        <f>IF(VLOOKUP(A722,'Actual Dates'!A4:AF850,8,),'Actual Dates'!H77,"")</f>
        <v>45931</v>
      </c>
      <c r="H722" s="73">
        <f t="shared" si="220"/>
        <v>45960</v>
      </c>
      <c r="I722" s="73">
        <f>IF(VLOOKUP(A722,'Actual Dates'!A4:AF845,25,),'Actual Dates'!AA77,"")</f>
        <v>45979</v>
      </c>
      <c r="J722" s="73">
        <f t="shared" si="221"/>
        <v>45961</v>
      </c>
      <c r="K722" s="73" t="str">
        <f>IF(VLOOKUP(A722,'Actual Dates'!A4:AF873,26,),'Actual Dates'!AB77,"")</f>
        <v/>
      </c>
      <c r="L722" s="73">
        <f>IF(VLOOKUP(A722,'Actual Dates'!A4:AF873,21,),'Actual Dates'!U77,"")</f>
        <v>45957</v>
      </c>
      <c r="M722" s="73">
        <f>'Date Calcs'!AE82</f>
        <v>46082</v>
      </c>
      <c r="N722" s="73">
        <f>IF(VLOOKUP(A722,'Actual Dates'!A4:AF873,27,),'Actual Dates'!AE77,"")</f>
        <v>46035</v>
      </c>
      <c r="O722" s="74">
        <f t="shared" si="222"/>
        <v>111</v>
      </c>
      <c r="P722" s="75">
        <f t="shared" si="223"/>
        <v>21</v>
      </c>
      <c r="Q722" s="75">
        <f t="shared" si="224"/>
        <v>47</v>
      </c>
      <c r="R722" s="132"/>
      <c r="S722" s="133"/>
    </row>
    <row r="723" spans="1:19" x14ac:dyDescent="0.25">
      <c r="A723" s="70" t="str">
        <f>'Date Calcs'!A83</f>
        <v>25-099</v>
      </c>
      <c r="B723" s="71" t="str">
        <f>'Date Calcs'!B83</f>
        <v>Burke Industrial</v>
      </c>
      <c r="C723" s="72">
        <f>'Date Calcs'!C83</f>
        <v>45932</v>
      </c>
      <c r="D723" s="73">
        <f t="shared" si="219"/>
        <v>45959</v>
      </c>
      <c r="E723" s="66">
        <v>44746</v>
      </c>
      <c r="F723" s="73">
        <f>'Date Calcs'!H83</f>
        <v>45960</v>
      </c>
      <c r="G723" s="73">
        <f>IF(VLOOKUP(A723,'Actual Dates'!A4:AF851,8,),'Actual Dates'!H78,"")</f>
        <v>45936</v>
      </c>
      <c r="H723" s="73">
        <f t="shared" si="220"/>
        <v>45982</v>
      </c>
      <c r="I723" s="73">
        <f>IF(VLOOKUP(A723,'Actual Dates'!A4:AF846,25,),'Actual Dates'!AA78,"")</f>
        <v>45982</v>
      </c>
      <c r="J723" s="73">
        <f t="shared" si="221"/>
        <v>45985</v>
      </c>
      <c r="K723" s="73">
        <f>IF(VLOOKUP(A723,'Actual Dates'!A4:AF874,26,),'Actual Dates'!AB78,"")</f>
        <v>45992</v>
      </c>
      <c r="L723" s="73">
        <f>IF(VLOOKUP(A723,'Actual Dates'!A4:AF874,21,),'Actual Dates'!U78,"")</f>
        <v>45979</v>
      </c>
      <c r="M723" s="73">
        <f>'Date Calcs'!AE83</f>
        <v>45983</v>
      </c>
      <c r="N723" s="73">
        <f>IF(VLOOKUP(A723,'Actual Dates'!A4:AF874,27,),'Actual Dates'!AE78,"")</f>
        <v>46000</v>
      </c>
      <c r="O723" s="74">
        <f t="shared" si="222"/>
        <v>68</v>
      </c>
      <c r="P723" s="75">
        <f t="shared" si="223"/>
        <v>24</v>
      </c>
      <c r="Q723" s="75">
        <f t="shared" si="224"/>
        <v>-17</v>
      </c>
      <c r="R723" s="132"/>
      <c r="S723" s="133"/>
    </row>
    <row r="724" spans="1:19" x14ac:dyDescent="0.25">
      <c r="A724" s="70" t="str">
        <f>'Date Calcs'!A84</f>
        <v>25-101</v>
      </c>
      <c r="B724" s="71" t="str">
        <f>'Date Calcs'!B84</f>
        <v>Harper Love</v>
      </c>
      <c r="C724" s="72">
        <f>'Date Calcs'!C84</f>
        <v>45954</v>
      </c>
      <c r="D724" s="73">
        <f t="shared" si="219"/>
        <v>45981</v>
      </c>
      <c r="E724" s="66">
        <v>44747</v>
      </c>
      <c r="F724" s="73">
        <f>'Date Calcs'!H84</f>
        <v>45982</v>
      </c>
      <c r="G724" s="73">
        <f>IF(VLOOKUP(A724,'Actual Dates'!A4:AF852,8,),'Actual Dates'!H79,"")</f>
        <v>45946</v>
      </c>
      <c r="H724" s="73">
        <f t="shared" si="220"/>
        <v>4</v>
      </c>
      <c r="I724" s="73" t="str">
        <f>IF(VLOOKUP(A724,'Actual Dates'!A4:AF847,25,),'Actual Dates'!AA79,"")</f>
        <v>NA</v>
      </c>
      <c r="J724" s="73">
        <f t="shared" si="221"/>
        <v>5</v>
      </c>
      <c r="K724" s="73">
        <f>IF(VLOOKUP(A724,'Actual Dates'!A4:AF875,26,),'Actual Dates'!AB79,"")</f>
        <v>0</v>
      </c>
      <c r="L724" s="73">
        <f>IF(VLOOKUP(A724,'Actual Dates'!A4:AF875,21,),'Actual Dates'!U79,"")</f>
        <v>0</v>
      </c>
      <c r="M724" s="73">
        <f>'Date Calcs'!AE84</f>
        <v>46016</v>
      </c>
      <c r="N724" s="73">
        <f>IF(VLOOKUP(A724,'Actual Dates'!A4:AF875,27,),'Actual Dates'!AE79,"")</f>
        <v>0</v>
      </c>
      <c r="O724" s="74">
        <f t="shared" si="222"/>
        <v>-45954</v>
      </c>
      <c r="P724" s="75">
        <f t="shared" si="223"/>
        <v>36</v>
      </c>
      <c r="Q724" s="75">
        <f t="shared" si="224"/>
        <v>46016</v>
      </c>
      <c r="R724" s="132"/>
      <c r="S724" s="133"/>
    </row>
    <row r="725" spans="1:19" x14ac:dyDescent="0.25">
      <c r="A725" s="70" t="str">
        <f>'Date Calcs'!A85</f>
        <v>25-102</v>
      </c>
      <c r="B725" s="71" t="str">
        <f>'Date Calcs'!B85</f>
        <v>Epic Systems</v>
      </c>
      <c r="C725" s="72">
        <f>'Date Calcs'!C85</f>
        <v>45968</v>
      </c>
      <c r="D725" s="73">
        <f t="shared" si="219"/>
        <v>46002</v>
      </c>
      <c r="E725" s="66">
        <v>44748</v>
      </c>
      <c r="F725" s="73">
        <f>'Date Calcs'!H85</f>
        <v>46003</v>
      </c>
      <c r="G725" s="73">
        <f>IF(VLOOKUP(A725,'Actual Dates'!A4:AF853,8,),'Actual Dates'!H80,"")</f>
        <v>45945</v>
      </c>
      <c r="H725" s="73" t="e">
        <f t="shared" si="220"/>
        <v>#VALUE!</v>
      </c>
      <c r="I725" s="73" t="str">
        <f>IF(VLOOKUP(A725,'Actual Dates'!A4:AF848,25,),'Actual Dates'!AA80,"")</f>
        <v/>
      </c>
      <c r="J725" s="73" t="e">
        <f t="shared" si="221"/>
        <v>#VALUE!</v>
      </c>
      <c r="K725" s="73" t="str">
        <f>IF(VLOOKUP(A725,'Actual Dates'!A4:AF876,26,),'Actual Dates'!AB80,"")</f>
        <v/>
      </c>
      <c r="L725" s="73" t="str">
        <f>IF(VLOOKUP(A725,'Actual Dates'!A4:AF876,21,),'Actual Dates'!U80,"")</f>
        <v/>
      </c>
      <c r="M725" s="73">
        <f>'Date Calcs'!AE85</f>
        <v>46096</v>
      </c>
      <c r="N725" s="73" t="str">
        <f>IF(VLOOKUP(A725,'Actual Dates'!A4:AF876,27,),'Actual Dates'!AE80,"")</f>
        <v/>
      </c>
      <c r="O725" s="74" t="e">
        <f t="shared" si="222"/>
        <v>#VALUE!</v>
      </c>
      <c r="P725" s="75">
        <f t="shared" si="223"/>
        <v>58</v>
      </c>
      <c r="Q725" s="75" t="e">
        <f t="shared" si="224"/>
        <v>#VALUE!</v>
      </c>
      <c r="R725" s="132"/>
      <c r="S725" s="133"/>
    </row>
    <row r="726" spans="1:19" x14ac:dyDescent="0.25">
      <c r="A726" s="70" t="str">
        <f>'Date Calcs'!A86</f>
        <v>25-103</v>
      </c>
      <c r="B726" s="71" t="str">
        <f>'Date Calcs'!B86</f>
        <v>Epic Systems</v>
      </c>
      <c r="C726" s="72">
        <f>'Date Calcs'!C86</f>
        <v>45968</v>
      </c>
      <c r="D726" s="73">
        <f t="shared" si="219"/>
        <v>46002</v>
      </c>
      <c r="E726" s="66">
        <v>44749</v>
      </c>
      <c r="F726" s="73">
        <f>'Date Calcs'!H86</f>
        <v>46003</v>
      </c>
      <c r="G726" s="73">
        <f>IF(VLOOKUP(A726,'Actual Dates'!A4:AF854,8,),'Actual Dates'!H81,"")</f>
        <v>45945</v>
      </c>
      <c r="H726" s="73">
        <f t="shared" si="220"/>
        <v>45958</v>
      </c>
      <c r="I726" s="73" t="str">
        <f>IF(VLOOKUP(A726,'Actual Dates'!A4:AF849,25,),'Actual Dates'!AA81,"")</f>
        <v/>
      </c>
      <c r="J726" s="73">
        <f t="shared" si="221"/>
        <v>45959</v>
      </c>
      <c r="K726" s="73" t="str">
        <f>IF(VLOOKUP(A726,'Actual Dates'!A4:AF877,26,),'Actual Dates'!AB81,"")</f>
        <v/>
      </c>
      <c r="L726" s="73">
        <f>IF(VLOOKUP(A726,'Actual Dates'!A4:AF877,21,),'Actual Dates'!U81,"")</f>
        <v>45953</v>
      </c>
      <c r="M726" s="73">
        <f>'Date Calcs'!AE86</f>
        <v>46096</v>
      </c>
      <c r="N726" s="73" t="str">
        <f>IF(VLOOKUP(A726,'Actual Dates'!A4:AF877,27,),'Actual Dates'!AE81,"")</f>
        <v/>
      </c>
      <c r="O726" s="74" t="e">
        <f t="shared" si="222"/>
        <v>#VALUE!</v>
      </c>
      <c r="P726" s="75">
        <f t="shared" si="223"/>
        <v>58</v>
      </c>
      <c r="Q726" s="75" t="e">
        <f t="shared" si="224"/>
        <v>#VALUE!</v>
      </c>
      <c r="R726" s="132"/>
      <c r="S726" s="133"/>
    </row>
    <row r="727" spans="1:19" x14ac:dyDescent="0.25">
      <c r="A727" s="70" t="str">
        <f>'Date Calcs'!A87</f>
        <v>25-104</v>
      </c>
      <c r="B727" s="71" t="str">
        <f>'Date Calcs'!B87</f>
        <v>Epic Systems</v>
      </c>
      <c r="C727" s="72">
        <f>'Date Calcs'!C87</f>
        <v>45968</v>
      </c>
      <c r="D727" s="73">
        <f t="shared" si="219"/>
        <v>46002</v>
      </c>
      <c r="E727" s="66">
        <v>44750</v>
      </c>
      <c r="F727" s="73">
        <f>'Date Calcs'!H87</f>
        <v>46003</v>
      </c>
      <c r="G727" s="73">
        <f>IF(VLOOKUP(A727,'Actual Dates'!A4:AF855,8,),'Actual Dates'!H82,"")</f>
        <v>45952</v>
      </c>
      <c r="H727" s="73">
        <f t="shared" si="220"/>
        <v>45965</v>
      </c>
      <c r="I727" s="73" t="str">
        <f>IF(VLOOKUP(A727,'Actual Dates'!A4:AF850,25,),'Actual Dates'!AA82,"")</f>
        <v/>
      </c>
      <c r="J727" s="73">
        <f t="shared" si="221"/>
        <v>45966</v>
      </c>
      <c r="K727" s="73" t="str">
        <f>IF(VLOOKUP(A727,'Actual Dates'!A4:AF878,26,),'Actual Dates'!AB82,"")</f>
        <v/>
      </c>
      <c r="L727" s="73">
        <f>IF(VLOOKUP(A727,'Actual Dates'!A4:AF878,21,),'Actual Dates'!U82,"")</f>
        <v>45960</v>
      </c>
      <c r="M727" s="73">
        <f>'Date Calcs'!AE87</f>
        <v>46096</v>
      </c>
      <c r="N727" s="73" t="str">
        <f>IF(VLOOKUP(A727,'Actual Dates'!A4:AF878,27,),'Actual Dates'!AE82,"")</f>
        <v/>
      </c>
      <c r="O727" s="74" t="e">
        <f t="shared" si="222"/>
        <v>#VALUE!</v>
      </c>
      <c r="P727" s="75">
        <f t="shared" si="223"/>
        <v>51</v>
      </c>
      <c r="Q727" s="75" t="e">
        <f t="shared" si="224"/>
        <v>#VALUE!</v>
      </c>
      <c r="R727" s="132"/>
      <c r="S727" s="133"/>
    </row>
    <row r="728" spans="1:19" x14ac:dyDescent="0.25">
      <c r="A728" s="70" t="str">
        <f>'Date Calcs'!A88</f>
        <v>25-105</v>
      </c>
      <c r="B728" s="71" t="str">
        <f>'Date Calcs'!B88</f>
        <v>Epic Systems</v>
      </c>
      <c r="C728" s="72">
        <f>'Date Calcs'!C88</f>
        <v>45968</v>
      </c>
      <c r="D728" s="73">
        <f t="shared" si="219"/>
        <v>46002</v>
      </c>
      <c r="E728" s="66">
        <v>44751</v>
      </c>
      <c r="F728" s="73">
        <f>'Date Calcs'!H88</f>
        <v>46003</v>
      </c>
      <c r="G728" s="73">
        <f>IF(VLOOKUP(A728,'Actual Dates'!A4:AF856,8,),'Actual Dates'!H83,"")</f>
        <v>45959</v>
      </c>
      <c r="H728" s="73">
        <f t="shared" si="220"/>
        <v>45971</v>
      </c>
      <c r="I728" s="73" t="str">
        <f>IF(VLOOKUP(A728,'Actual Dates'!A4:AF851,25,),'Actual Dates'!AA83,"")</f>
        <v/>
      </c>
      <c r="J728" s="73">
        <f t="shared" si="221"/>
        <v>45972</v>
      </c>
      <c r="K728" s="73" t="str">
        <f>IF(VLOOKUP(A728,'Actual Dates'!A4:AF879,26,),'Actual Dates'!AB83,"")</f>
        <v/>
      </c>
      <c r="L728" s="73">
        <f>IF(VLOOKUP(A728,'Actual Dates'!A4:AF879,21,),'Actual Dates'!U83,"")</f>
        <v>45966</v>
      </c>
      <c r="M728" s="73">
        <f>'Date Calcs'!AE88</f>
        <v>46096</v>
      </c>
      <c r="N728" s="73" t="str">
        <f>IF(VLOOKUP(A728,'Actual Dates'!A4:AF879,27,),'Actual Dates'!AE83,"")</f>
        <v/>
      </c>
      <c r="O728" s="74" t="e">
        <f t="shared" si="222"/>
        <v>#VALUE!</v>
      </c>
      <c r="P728" s="75">
        <f t="shared" si="223"/>
        <v>44</v>
      </c>
      <c r="Q728" s="75" t="e">
        <f t="shared" si="224"/>
        <v>#VALUE!</v>
      </c>
      <c r="R728" s="132"/>
      <c r="S728" s="133"/>
    </row>
    <row r="729" spans="1:19" x14ac:dyDescent="0.25">
      <c r="A729" s="70" t="str">
        <f>'Date Calcs'!A89</f>
        <v>25-106</v>
      </c>
      <c r="B729" s="71" t="str">
        <f>'Date Calcs'!B89</f>
        <v>Epic Systems</v>
      </c>
      <c r="C729" s="72">
        <f>'Date Calcs'!C89</f>
        <v>45968</v>
      </c>
      <c r="D729" s="73">
        <f t="shared" si="219"/>
        <v>46002</v>
      </c>
      <c r="E729" s="66">
        <v>44752</v>
      </c>
      <c r="F729" s="73">
        <f>'Date Calcs'!H89</f>
        <v>46003</v>
      </c>
      <c r="G729" s="73">
        <f>IF(VLOOKUP(A729,'Actual Dates'!A4:AF857,8,),'Actual Dates'!H84,"")</f>
        <v>45981</v>
      </c>
      <c r="H729" s="73" t="e">
        <f t="shared" si="220"/>
        <v>#VALUE!</v>
      </c>
      <c r="I729" s="73" t="str">
        <f>IF(VLOOKUP(A729,'Actual Dates'!A4:AF852,25,),'Actual Dates'!AA84,"")</f>
        <v/>
      </c>
      <c r="J729" s="73" t="e">
        <f t="shared" si="221"/>
        <v>#VALUE!</v>
      </c>
      <c r="K729" s="73" t="str">
        <f>IF(VLOOKUP(A729,'Actual Dates'!A4:AF880,26,),'Actual Dates'!AB84,"")</f>
        <v/>
      </c>
      <c r="L729" s="73" t="str">
        <f>IF(VLOOKUP(A729,'Actual Dates'!A4:AF880,21,),'Actual Dates'!U84,"")</f>
        <v/>
      </c>
      <c r="M729" s="73">
        <f>'Date Calcs'!AE89</f>
        <v>46096</v>
      </c>
      <c r="N729" s="73" t="str">
        <f>IF(VLOOKUP(A729,'Actual Dates'!A4:AF880,27,),'Actual Dates'!AE84,"")</f>
        <v/>
      </c>
      <c r="O729" s="74" t="e">
        <f t="shared" si="222"/>
        <v>#VALUE!</v>
      </c>
      <c r="P729" s="75">
        <f t="shared" si="223"/>
        <v>22</v>
      </c>
      <c r="Q729" s="75" t="e">
        <f t="shared" si="224"/>
        <v>#VALUE!</v>
      </c>
      <c r="R729" s="132"/>
      <c r="S729" s="133"/>
    </row>
    <row r="730" spans="1:19" x14ac:dyDescent="0.25">
      <c r="A730" s="70" t="str">
        <f>'Date Calcs'!A90</f>
        <v>25-107</v>
      </c>
      <c r="B730" s="71" t="str">
        <f>'Date Calcs'!B90</f>
        <v>Epic Systems</v>
      </c>
      <c r="C730" s="72">
        <f>'Date Calcs'!C90</f>
        <v>46055</v>
      </c>
      <c r="D730" s="73">
        <f t="shared" si="219"/>
        <v>46080</v>
      </c>
      <c r="E730" s="66">
        <v>44753</v>
      </c>
      <c r="F730" s="73">
        <f>'Date Calcs'!H90</f>
        <v>46083</v>
      </c>
      <c r="G730" s="73">
        <f>IF(VLOOKUP(A730,'Actual Dates'!A4:AF858,8,),'Actual Dates'!H85,"")</f>
        <v>46003</v>
      </c>
      <c r="H730" s="73" t="e">
        <f t="shared" si="220"/>
        <v>#VALUE!</v>
      </c>
      <c r="I730" s="73" t="str">
        <f>IF(VLOOKUP(A730,'Actual Dates'!A4:AF853,25,),'Actual Dates'!AA85,"")</f>
        <v/>
      </c>
      <c r="J730" s="73" t="e">
        <f t="shared" si="221"/>
        <v>#VALUE!</v>
      </c>
      <c r="K730" s="73" t="str">
        <f>IF(VLOOKUP(A730,'Actual Dates'!A4:AF881,26,),'Actual Dates'!AB85,"")</f>
        <v/>
      </c>
      <c r="L730" s="73" t="str">
        <f>IF(VLOOKUP(A730,'Actual Dates'!A4:AF881,21,),'Actual Dates'!U85,"")</f>
        <v/>
      </c>
      <c r="M730" s="73">
        <f>'Date Calcs'!AE90</f>
        <v>46079</v>
      </c>
      <c r="N730" s="73" t="str">
        <f>IF(VLOOKUP(A730,'Actual Dates'!A4:AF881,27,),'Actual Dates'!AE85,"")</f>
        <v/>
      </c>
      <c r="O730" s="74" t="e">
        <f t="shared" si="222"/>
        <v>#VALUE!</v>
      </c>
      <c r="P730" s="75">
        <f t="shared" si="223"/>
        <v>80</v>
      </c>
      <c r="Q730" s="75" t="e">
        <f t="shared" si="224"/>
        <v>#VALUE!</v>
      </c>
      <c r="R730" s="132"/>
      <c r="S730" s="133"/>
    </row>
    <row r="731" spans="1:19" x14ac:dyDescent="0.25">
      <c r="A731" s="70" t="str">
        <f>'Date Calcs'!A91</f>
        <v>25-108</v>
      </c>
      <c r="B731" s="71" t="str">
        <f>'Date Calcs'!B91</f>
        <v>Epic Systems</v>
      </c>
      <c r="C731" s="72">
        <f>'Date Calcs'!C91</f>
        <v>45960</v>
      </c>
      <c r="D731" s="73">
        <f t="shared" si="219"/>
        <v>45987</v>
      </c>
      <c r="E731" s="66">
        <v>44754</v>
      </c>
      <c r="F731" s="73">
        <f>'Date Calcs'!H91</f>
        <v>45988</v>
      </c>
      <c r="G731" s="73">
        <f>IF(VLOOKUP(A731,'Actual Dates'!A4:AF859,8,),'Actual Dates'!H86,"")</f>
        <v>46003</v>
      </c>
      <c r="H731" s="73" t="e">
        <f t="shared" si="220"/>
        <v>#VALUE!</v>
      </c>
      <c r="I731" s="73" t="str">
        <f>IF(VLOOKUP(A731,'Actual Dates'!A4:AF854,25,),'Actual Dates'!AA86,"")</f>
        <v/>
      </c>
      <c r="J731" s="73" t="e">
        <f t="shared" si="221"/>
        <v>#VALUE!</v>
      </c>
      <c r="K731" s="73" t="str">
        <f>IF(VLOOKUP(A731,'Actual Dates'!A4:AF882,26,),'Actual Dates'!AB86,"")</f>
        <v/>
      </c>
      <c r="L731" s="73" t="str">
        <f>IF(VLOOKUP(A731,'Actual Dates'!A4:AF882,21,),'Actual Dates'!U86,"")</f>
        <v/>
      </c>
      <c r="M731" s="73">
        <f>'Date Calcs'!AE91</f>
        <v>46079</v>
      </c>
      <c r="N731" s="73" t="str">
        <f>IF(VLOOKUP(A731,'Actual Dates'!A4:AF882,27,),'Actual Dates'!AE86,"")</f>
        <v/>
      </c>
      <c r="O731" s="74" t="e">
        <f t="shared" si="222"/>
        <v>#VALUE!</v>
      </c>
      <c r="P731" s="75">
        <f t="shared" si="223"/>
        <v>-15</v>
      </c>
      <c r="Q731" s="75" t="e">
        <f t="shared" si="224"/>
        <v>#VALUE!</v>
      </c>
      <c r="R731" s="132"/>
      <c r="S731" s="133"/>
    </row>
    <row r="732" spans="1:19" x14ac:dyDescent="0.25">
      <c r="A732" s="70" t="str">
        <f>'Date Calcs'!A92</f>
        <v>25-109</v>
      </c>
      <c r="B732" s="71" t="str">
        <f>'Date Calcs'!B92</f>
        <v>Epic Systems</v>
      </c>
      <c r="C732" s="72">
        <f>'Date Calcs'!C92</f>
        <v>45960</v>
      </c>
      <c r="D732" s="73">
        <f t="shared" si="219"/>
        <v>45987</v>
      </c>
      <c r="E732" s="66">
        <v>44755</v>
      </c>
      <c r="F732" s="73">
        <f>'Date Calcs'!H92</f>
        <v>45988</v>
      </c>
      <c r="G732" s="73">
        <f>IF(VLOOKUP(A732,'Actual Dates'!A4:AF860,8,),'Actual Dates'!H87,"")</f>
        <v>46003</v>
      </c>
      <c r="H732" s="73">
        <f t="shared" si="220"/>
        <v>46077</v>
      </c>
      <c r="I732" s="73">
        <f>IF(VLOOKUP(A732,'Actual Dates'!A4:AF855,25,),'Actual Dates'!AA87,"")</f>
        <v>0</v>
      </c>
      <c r="J732" s="73">
        <f t="shared" si="221"/>
        <v>46078</v>
      </c>
      <c r="K732" s="73">
        <f>IF(VLOOKUP(A732,'Actual Dates'!A4:AF883,26,),'Actual Dates'!AB87,"")</f>
        <v>0</v>
      </c>
      <c r="L732" s="73">
        <f>IF(VLOOKUP(A732,'Actual Dates'!A4:AF883,21,),'Actual Dates'!U87,"")</f>
        <v>46072</v>
      </c>
      <c r="M732" s="73">
        <f>'Date Calcs'!AE92</f>
        <v>46096</v>
      </c>
      <c r="N732" s="73">
        <f>IF(VLOOKUP(A732,'Actual Dates'!A4:AF883,27,),'Actual Dates'!AE87,"")</f>
        <v>0</v>
      </c>
      <c r="O732" s="74">
        <f t="shared" si="222"/>
        <v>-45960</v>
      </c>
      <c r="P732" s="75">
        <f t="shared" si="223"/>
        <v>-15</v>
      </c>
      <c r="Q732" s="75">
        <f t="shared" si="224"/>
        <v>46096</v>
      </c>
      <c r="R732" s="132"/>
      <c r="S732" s="133"/>
    </row>
    <row r="733" spans="1:19" x14ac:dyDescent="0.25">
      <c r="A733" s="70" t="str">
        <f>'Date Calcs'!A93</f>
        <v>25-110</v>
      </c>
      <c r="B733" s="71" t="str">
        <f>'Date Calcs'!B93</f>
        <v>Epic Systems</v>
      </c>
      <c r="C733" s="72">
        <f>'Date Calcs'!C93</f>
        <v>45960</v>
      </c>
      <c r="D733" s="73">
        <f t="shared" si="219"/>
        <v>45987</v>
      </c>
      <c r="E733" s="66">
        <v>44756</v>
      </c>
      <c r="F733" s="73">
        <f>'Date Calcs'!H93</f>
        <v>45988</v>
      </c>
      <c r="G733" s="73">
        <f>IF(VLOOKUP(A733,'Actual Dates'!A4:AF861,8,),'Actual Dates'!H88,"")</f>
        <v>46003</v>
      </c>
      <c r="H733" s="73" t="e">
        <f t="shared" si="220"/>
        <v>#VALUE!</v>
      </c>
      <c r="I733" s="73">
        <f>IF(VLOOKUP(A733,'Actual Dates'!A4:AF856,25,),'Actual Dates'!AA88,"")</f>
        <v>0</v>
      </c>
      <c r="J733" s="73" t="e">
        <f t="shared" si="221"/>
        <v>#VALUE!</v>
      </c>
      <c r="K733" s="73">
        <f>IF(VLOOKUP(A733,'Actual Dates'!A4:AF884,26,),'Actual Dates'!AB88,"")</f>
        <v>0</v>
      </c>
      <c r="L733" s="73" t="str">
        <f>IF(VLOOKUP(A733,'Actual Dates'!A4:AF884,21,),'Actual Dates'!U88,"")</f>
        <v/>
      </c>
      <c r="M733" s="73">
        <f>'Date Calcs'!AE93</f>
        <v>46069</v>
      </c>
      <c r="N733" s="73">
        <f>IF(VLOOKUP(A733,'Actual Dates'!A4:AF884,27,),'Actual Dates'!AE88,"")</f>
        <v>0</v>
      </c>
      <c r="O733" s="74">
        <f t="shared" si="222"/>
        <v>-45960</v>
      </c>
      <c r="P733" s="75">
        <f t="shared" si="223"/>
        <v>-15</v>
      </c>
      <c r="Q733" s="75">
        <f t="shared" si="224"/>
        <v>46069</v>
      </c>
      <c r="R733" s="132"/>
      <c r="S733" s="133"/>
    </row>
    <row r="734" spans="1:19" x14ac:dyDescent="0.25">
      <c r="A734" s="70" t="str">
        <f>'Date Calcs'!A94</f>
        <v>25-111</v>
      </c>
      <c r="B734" s="71" t="str">
        <f>'Date Calcs'!B94</f>
        <v>Epic Systems</v>
      </c>
      <c r="C734" s="72">
        <f>'Date Calcs'!C94</f>
        <v>45960</v>
      </c>
      <c r="D734" s="73">
        <f t="shared" si="219"/>
        <v>45987</v>
      </c>
      <c r="E734" s="66">
        <v>44757</v>
      </c>
      <c r="F734" s="73">
        <f>'Date Calcs'!H94</f>
        <v>45988</v>
      </c>
      <c r="G734" s="73">
        <f>IF(VLOOKUP(A734,'Actual Dates'!A4:AF862,8,),'Actual Dates'!H89,"")</f>
        <v>46003</v>
      </c>
      <c r="H734" s="73" t="e">
        <f t="shared" si="220"/>
        <v>#VALUE!</v>
      </c>
      <c r="I734" s="73" t="str">
        <f>IF(VLOOKUP(A734,'Actual Dates'!A4:AF857,25,),'Actual Dates'!AA89,"")</f>
        <v/>
      </c>
      <c r="J734" s="73" t="e">
        <f t="shared" si="221"/>
        <v>#VALUE!</v>
      </c>
      <c r="K734" s="73" t="str">
        <f>IF(VLOOKUP(A734,'Actual Dates'!A4:AF885,26,),'Actual Dates'!AB89,"")</f>
        <v/>
      </c>
      <c r="L734" s="73" t="str">
        <f>IF(VLOOKUP(A734,'Actual Dates'!A4:AF885,21,),'Actual Dates'!U89,"")</f>
        <v/>
      </c>
      <c r="M734" s="73">
        <f>'Date Calcs'!AE94</f>
        <v>46069</v>
      </c>
      <c r="N734" s="73" t="str">
        <f>IF(VLOOKUP(A734,'Actual Dates'!A4:AF885,27,),'Actual Dates'!AE89,"")</f>
        <v/>
      </c>
      <c r="O734" s="74" t="e">
        <f t="shared" si="222"/>
        <v>#VALUE!</v>
      </c>
      <c r="P734" s="75">
        <f t="shared" si="223"/>
        <v>-15</v>
      </c>
      <c r="Q734" s="75" t="e">
        <f t="shared" si="224"/>
        <v>#VALUE!</v>
      </c>
      <c r="R734" s="132"/>
      <c r="S734" s="133"/>
    </row>
    <row r="735" spans="1:19" x14ac:dyDescent="0.25">
      <c r="A735" s="70" t="str">
        <f>'Date Calcs'!A95</f>
        <v>25-112</v>
      </c>
      <c r="B735" s="71" t="str">
        <f>'Date Calcs'!B95</f>
        <v>Epic Systems</v>
      </c>
      <c r="C735" s="72">
        <f>'Date Calcs'!C95</f>
        <v>45960</v>
      </c>
      <c r="D735" s="73">
        <f t="shared" si="219"/>
        <v>45987</v>
      </c>
      <c r="E735" s="66">
        <v>44758</v>
      </c>
      <c r="F735" s="73">
        <f>'Date Calcs'!H95</f>
        <v>45988</v>
      </c>
      <c r="G735" s="73">
        <f>IF(VLOOKUP(A735,'Actual Dates'!A4:AF863,8,),'Actual Dates'!H90,"")</f>
        <v>45987</v>
      </c>
      <c r="H735" s="73" t="e">
        <f t="shared" si="220"/>
        <v>#VALUE!</v>
      </c>
      <c r="I735" s="73" t="str">
        <f>IF(VLOOKUP(A735,'Actual Dates'!A4:AF858,25,),'Actual Dates'!AA90,"")</f>
        <v/>
      </c>
      <c r="J735" s="73" t="e">
        <f t="shared" si="221"/>
        <v>#VALUE!</v>
      </c>
      <c r="K735" s="73" t="str">
        <f>IF(VLOOKUP(A735,'Actual Dates'!A4:AF886,26,),'Actual Dates'!AB90,"")</f>
        <v/>
      </c>
      <c r="L735" s="73" t="str">
        <f>IF(VLOOKUP(A735,'Actual Dates'!A4:AF886,21,),'Actual Dates'!U90,"")</f>
        <v/>
      </c>
      <c r="M735" s="73">
        <f>'Date Calcs'!AE95</f>
        <v>46069</v>
      </c>
      <c r="N735" s="73" t="str">
        <f>IF(VLOOKUP(A735,'Actual Dates'!A4:AF886,27,),'Actual Dates'!AE90,"")</f>
        <v/>
      </c>
      <c r="O735" s="74" t="e">
        <f t="shared" si="222"/>
        <v>#VALUE!</v>
      </c>
      <c r="P735" s="75">
        <f t="shared" si="223"/>
        <v>1</v>
      </c>
      <c r="Q735" s="75" t="e">
        <f t="shared" si="224"/>
        <v>#VALUE!</v>
      </c>
      <c r="R735" s="132"/>
      <c r="S735" s="133"/>
    </row>
    <row r="736" spans="1:19" x14ac:dyDescent="0.25">
      <c r="A736" s="70" t="str">
        <f>'Date Calcs'!A96</f>
        <v>25-113</v>
      </c>
      <c r="B736" s="71" t="str">
        <f>'Date Calcs'!B96</f>
        <v>Epic Systems</v>
      </c>
      <c r="C736" s="72">
        <f>'Date Calcs'!C96</f>
        <v>45975</v>
      </c>
      <c r="D736" s="73">
        <f t="shared" si="219"/>
        <v>46002</v>
      </c>
      <c r="E736" s="66">
        <v>44759</v>
      </c>
      <c r="F736" s="73">
        <f>'Date Calcs'!H96</f>
        <v>46003</v>
      </c>
      <c r="G736" s="73">
        <f>IF(VLOOKUP(A736,'Actual Dates'!A4:AF864,8,),'Actual Dates'!H91,"")</f>
        <v>45987</v>
      </c>
      <c r="H736" s="73" t="e">
        <f t="shared" si="220"/>
        <v>#VALUE!</v>
      </c>
      <c r="I736" s="73" t="str">
        <f>IF(VLOOKUP(A736,'Actual Dates'!A4:AF859,25,),'Actual Dates'!AA91,"")</f>
        <v/>
      </c>
      <c r="J736" s="73" t="e">
        <f t="shared" si="221"/>
        <v>#VALUE!</v>
      </c>
      <c r="K736" s="73" t="str">
        <f>IF(VLOOKUP(A736,'Actual Dates'!A4:AF887,26,),'Actual Dates'!AB91,"")</f>
        <v/>
      </c>
      <c r="L736" s="73" t="str">
        <f>IF(VLOOKUP(A736,'Actual Dates'!A4:AF887,21,),'Actual Dates'!U91,"")</f>
        <v/>
      </c>
      <c r="M736" s="73">
        <f>'Date Calcs'!AE96</f>
        <v>46079</v>
      </c>
      <c r="N736" s="73" t="str">
        <f>IF(VLOOKUP(A736,'Actual Dates'!A4:AF887,27,),'Actual Dates'!AE91,"")</f>
        <v/>
      </c>
      <c r="O736" s="74" t="e">
        <f t="shared" si="222"/>
        <v>#VALUE!</v>
      </c>
      <c r="P736" s="75">
        <f t="shared" si="223"/>
        <v>16</v>
      </c>
      <c r="Q736" s="75" t="e">
        <f t="shared" si="224"/>
        <v>#VALUE!</v>
      </c>
      <c r="R736" s="132"/>
      <c r="S736" s="133"/>
    </row>
    <row r="737" spans="1:19" x14ac:dyDescent="0.25">
      <c r="A737" s="70" t="str">
        <f>'Date Calcs'!A97</f>
        <v>25-115</v>
      </c>
      <c r="B737" s="71" t="str">
        <f>'Date Calcs'!B97</f>
        <v>Epic Systems</v>
      </c>
      <c r="C737" s="72">
        <f>'Date Calcs'!C97</f>
        <v>45960</v>
      </c>
      <c r="D737" s="73">
        <f t="shared" si="219"/>
        <v>45987</v>
      </c>
      <c r="E737" s="66">
        <v>44760</v>
      </c>
      <c r="F737" s="73">
        <f>'Date Calcs'!H97</f>
        <v>45988</v>
      </c>
      <c r="G737" s="73">
        <f>IF(VLOOKUP(A737,'Actual Dates'!A4:AF865,8,),'Actual Dates'!H92,"")</f>
        <v>45987</v>
      </c>
      <c r="H737" s="73">
        <f t="shared" si="220"/>
        <v>46077</v>
      </c>
      <c r="I737" s="73" t="str">
        <f>IF(VLOOKUP(A737,'Actual Dates'!A4:AF860,25,),'Actual Dates'!AA92,"")</f>
        <v/>
      </c>
      <c r="J737" s="73">
        <f t="shared" si="221"/>
        <v>46078</v>
      </c>
      <c r="K737" s="73" t="str">
        <f>IF(VLOOKUP(A737,'Actual Dates'!A4:AF888,26,),'Actual Dates'!AB92,"")</f>
        <v/>
      </c>
      <c r="L737" s="73">
        <f>IF(VLOOKUP(A737,'Actual Dates'!A4:AF888,21,),'Actual Dates'!U92,"")</f>
        <v>46072</v>
      </c>
      <c r="M737" s="73">
        <f>'Date Calcs'!AE97</f>
        <v>46096</v>
      </c>
      <c r="N737" s="73" t="str">
        <f>IF(VLOOKUP(A737,'Actual Dates'!A4:AF888,27,),'Actual Dates'!AE92,"")</f>
        <v/>
      </c>
      <c r="O737" s="74" t="e">
        <f t="shared" si="222"/>
        <v>#VALUE!</v>
      </c>
      <c r="P737" s="75">
        <f t="shared" si="223"/>
        <v>1</v>
      </c>
      <c r="Q737" s="75" t="e">
        <f t="shared" si="224"/>
        <v>#VALUE!</v>
      </c>
      <c r="R737" s="132"/>
      <c r="S737" s="133"/>
    </row>
    <row r="738" spans="1:19" x14ac:dyDescent="0.25">
      <c r="A738" s="70" t="str">
        <f>'Date Calcs'!A98</f>
        <v>25-116</v>
      </c>
      <c r="B738" s="71" t="str">
        <f>'Date Calcs'!B98</f>
        <v>Polynt</v>
      </c>
      <c r="C738" s="72">
        <f>'Date Calcs'!C98</f>
        <v>45965</v>
      </c>
      <c r="D738" s="73">
        <f t="shared" si="219"/>
        <v>45992</v>
      </c>
      <c r="E738" s="66">
        <v>44761</v>
      </c>
      <c r="F738" s="73">
        <f>'Date Calcs'!H98</f>
        <v>45993</v>
      </c>
      <c r="G738" s="73">
        <f>IF(VLOOKUP(A738,'Actual Dates'!A4:AF866,8,),'Actual Dates'!H93,"")</f>
        <v>45987</v>
      </c>
      <c r="H738" s="73" t="e">
        <f t="shared" si="220"/>
        <v>#VALUE!</v>
      </c>
      <c r="I738" s="73">
        <f>IF(VLOOKUP(A738,'Actual Dates'!A4:AF861,25,),'Actual Dates'!AA93,"")</f>
        <v>46055</v>
      </c>
      <c r="J738" s="73" t="e">
        <f t="shared" si="221"/>
        <v>#VALUE!</v>
      </c>
      <c r="K738" s="73">
        <f>IF(VLOOKUP(A738,'Actual Dates'!A4:AF889,26,),'Actual Dates'!AB93,"")</f>
        <v>0</v>
      </c>
      <c r="L738" s="73" t="str">
        <f>IF(VLOOKUP(A738,'Actual Dates'!A4:AF889,21,),'Actual Dates'!U93,"")</f>
        <v/>
      </c>
      <c r="M738" s="73">
        <f>'Date Calcs'!AE98</f>
        <v>46089</v>
      </c>
      <c r="N738" s="73">
        <f>IF(VLOOKUP(A738,'Actual Dates'!A4:AF889,27,),'Actual Dates'!AE93,"")</f>
        <v>0</v>
      </c>
      <c r="O738" s="74">
        <f t="shared" si="222"/>
        <v>-45965</v>
      </c>
      <c r="P738" s="75">
        <f t="shared" si="223"/>
        <v>6</v>
      </c>
      <c r="Q738" s="75">
        <f t="shared" si="224"/>
        <v>46089</v>
      </c>
      <c r="R738" s="132"/>
      <c r="S738" s="133"/>
    </row>
    <row r="739" spans="1:19" x14ac:dyDescent="0.25">
      <c r="A739" s="70" t="str">
        <f>'Date Calcs'!A99</f>
        <v>25-117</v>
      </c>
      <c r="B739" s="71" t="str">
        <f>'Date Calcs'!B99</f>
        <v>Merrick</v>
      </c>
      <c r="C739" s="72">
        <f>'Date Calcs'!C99</f>
        <v>45968</v>
      </c>
      <c r="D739" s="73">
        <f t="shared" si="219"/>
        <v>46030</v>
      </c>
      <c r="E739" s="66">
        <v>44762</v>
      </c>
      <c r="F739" s="73">
        <f>'Date Calcs'!H99</f>
        <v>46031</v>
      </c>
      <c r="G739" s="73">
        <f>IF(VLOOKUP(A739,'Actual Dates'!A4:AF867,8,),'Actual Dates'!H94,"")</f>
        <v>45987</v>
      </c>
      <c r="H739" s="73">
        <f t="shared" si="220"/>
        <v>4</v>
      </c>
      <c r="I739" s="73">
        <f>IF(VLOOKUP(A739,'Actual Dates'!A4:AF862,25,),'Actual Dates'!AA94,"")</f>
        <v>0</v>
      </c>
      <c r="J739" s="73">
        <f t="shared" si="221"/>
        <v>5</v>
      </c>
      <c r="K739" s="73">
        <f>IF(VLOOKUP(A739,'Actual Dates'!A4:AF890,26,),'Actual Dates'!AB94,"")</f>
        <v>0</v>
      </c>
      <c r="L739" s="73">
        <f>IF(VLOOKUP(A739,'Actual Dates'!A4:AF890,21,),'Actual Dates'!U94,"")</f>
        <v>0</v>
      </c>
      <c r="M739" s="73">
        <f>'Date Calcs'!AE99</f>
        <v>46079</v>
      </c>
      <c r="N739" s="73">
        <f>IF(VLOOKUP(A739,'Actual Dates'!A4:AF890,27,),'Actual Dates'!AE94,"")</f>
        <v>0</v>
      </c>
      <c r="O739" s="74">
        <f t="shared" si="222"/>
        <v>-45968</v>
      </c>
      <c r="P739" s="75">
        <f t="shared" si="223"/>
        <v>44</v>
      </c>
      <c r="Q739" s="75">
        <f t="shared" si="224"/>
        <v>46079</v>
      </c>
      <c r="R739" s="132"/>
      <c r="S739" s="133"/>
    </row>
    <row r="740" spans="1:19" x14ac:dyDescent="0.25">
      <c r="A740" s="70" t="str">
        <f>'Date Calcs'!A100</f>
        <v>25-118</v>
      </c>
      <c r="B740" s="71" t="str">
        <f>'Date Calcs'!B100</f>
        <v>Merrick</v>
      </c>
      <c r="C740" s="72">
        <f>'Date Calcs'!C100</f>
        <v>45968</v>
      </c>
      <c r="D740" s="73">
        <f t="shared" si="219"/>
        <v>46030</v>
      </c>
      <c r="E740" s="66">
        <v>44763</v>
      </c>
      <c r="F740" s="73">
        <f>'Date Calcs'!H100</f>
        <v>46031</v>
      </c>
      <c r="G740" s="73">
        <f>IF(VLOOKUP(A740,'Actual Dates'!A4:AF868,8,),'Actual Dates'!H95,"")</f>
        <v>45987</v>
      </c>
      <c r="H740" s="73">
        <f t="shared" si="220"/>
        <v>4</v>
      </c>
      <c r="I740" s="73" t="str">
        <f>IF(VLOOKUP(A740,'Actual Dates'!A4:AF863,25,),'Actual Dates'!AA95,"")</f>
        <v/>
      </c>
      <c r="J740" s="73">
        <f t="shared" si="221"/>
        <v>5</v>
      </c>
      <c r="K740" s="73">
        <f>IF(VLOOKUP(A740,'Actual Dates'!A4:AF891,26,),'Actual Dates'!AB95,"")</f>
        <v>0</v>
      </c>
      <c r="L740" s="73">
        <f>IF(VLOOKUP(A740,'Actual Dates'!A4:AF891,21,),'Actual Dates'!U95,"")</f>
        <v>0</v>
      </c>
      <c r="M740" s="73">
        <f>'Date Calcs'!AE100</f>
        <v>46086</v>
      </c>
      <c r="N740" s="73">
        <f>IF(VLOOKUP(A740,'Actual Dates'!A4:AF891,27,),'Actual Dates'!AE95,"")</f>
        <v>0</v>
      </c>
      <c r="O740" s="74">
        <f t="shared" si="222"/>
        <v>-45968</v>
      </c>
      <c r="P740" s="75">
        <f t="shared" si="223"/>
        <v>44</v>
      </c>
      <c r="Q740" s="75">
        <f t="shared" si="224"/>
        <v>46086</v>
      </c>
      <c r="R740" s="132"/>
      <c r="S740" s="133"/>
    </row>
    <row r="741" spans="1:19" x14ac:dyDescent="0.25">
      <c r="A741" s="70" t="str">
        <f>'Date Calcs'!A101</f>
        <v>25-119</v>
      </c>
      <c r="B741" s="71" t="str">
        <f>'Date Calcs'!B101</f>
        <v>Vertiv</v>
      </c>
      <c r="C741" s="72">
        <f>'Date Calcs'!C101</f>
        <v>45975</v>
      </c>
      <c r="D741" s="73">
        <f t="shared" si="219"/>
        <v>45988</v>
      </c>
      <c r="E741" s="66">
        <v>44764</v>
      </c>
      <c r="F741" s="73">
        <f>'Date Calcs'!H101</f>
        <v>45989</v>
      </c>
      <c r="G741" s="73">
        <f>IF(VLOOKUP(A741,'Actual Dates'!A4:AF869,8,),'Actual Dates'!H96,"")</f>
        <v>46003</v>
      </c>
      <c r="H741" s="73">
        <f t="shared" si="220"/>
        <v>4</v>
      </c>
      <c r="I741" s="73" t="str">
        <f>IF(VLOOKUP(A741,'Actual Dates'!A4:AF864,25,),'Actual Dates'!AA96,"")</f>
        <v/>
      </c>
      <c r="J741" s="73">
        <f t="shared" si="221"/>
        <v>5</v>
      </c>
      <c r="K741" s="73" t="str">
        <f>IF(VLOOKUP(A741,'Actual Dates'!A4:AF892,26,),'Actual Dates'!AB96,"")</f>
        <v/>
      </c>
      <c r="L741" s="73">
        <f>IF(VLOOKUP(A741,'Actual Dates'!A4:AF892,21,),'Actual Dates'!U96,"")</f>
        <v>0</v>
      </c>
      <c r="M741" s="73">
        <f>'Date Calcs'!AE101</f>
        <v>46018</v>
      </c>
      <c r="N741" s="73" t="str">
        <f>IF(VLOOKUP(A741,'Actual Dates'!A4:AF892,27,),'Actual Dates'!AE96,"")</f>
        <v/>
      </c>
      <c r="O741" s="74" t="e">
        <f t="shared" si="222"/>
        <v>#VALUE!</v>
      </c>
      <c r="P741" s="75">
        <f t="shared" si="223"/>
        <v>-14</v>
      </c>
      <c r="Q741" s="75" t="e">
        <f t="shared" si="224"/>
        <v>#VALUE!</v>
      </c>
      <c r="R741" s="132"/>
      <c r="S741" s="133"/>
    </row>
    <row r="742" spans="1:19" x14ac:dyDescent="0.25">
      <c r="A742" s="70" t="str">
        <f>'Date Calcs'!A102</f>
        <v>25-120</v>
      </c>
      <c r="B742" s="71" t="str">
        <f>'Date Calcs'!B102</f>
        <v>Andritz</v>
      </c>
      <c r="C742" s="72">
        <f>'Date Calcs'!C102</f>
        <v>45982</v>
      </c>
      <c r="D742" s="73">
        <f t="shared" si="219"/>
        <v>45981</v>
      </c>
      <c r="E742" s="66">
        <v>44765</v>
      </c>
      <c r="F742" s="73">
        <f>'Date Calcs'!H102</f>
        <v>45982</v>
      </c>
      <c r="G742" s="73" t="str">
        <f>IF(VLOOKUP(A742,'Actual Dates'!A4:AF870,8,),'Actual Dates'!H97,"")</f>
        <v/>
      </c>
      <c r="H742" s="73" t="e">
        <f t="shared" si="220"/>
        <v>#VALUE!</v>
      </c>
      <c r="I742" s="73" t="str">
        <f>IF(VLOOKUP(A742,'Actual Dates'!A4:AF865,25,),'Actual Dates'!AA97,"")</f>
        <v/>
      </c>
      <c r="J742" s="73" t="e">
        <f t="shared" si="221"/>
        <v>#VALUE!</v>
      </c>
      <c r="K742" s="73" t="str">
        <f>IF(VLOOKUP(A742,'Actual Dates'!A4:AF893,26,),'Actual Dates'!AB97,"")</f>
        <v/>
      </c>
      <c r="L742" s="73" t="str">
        <f>IF(VLOOKUP(A742,'Actual Dates'!A4:AF893,21,),'Actual Dates'!U97,"")</f>
        <v/>
      </c>
      <c r="M742" s="73">
        <f>'Date Calcs'!AE102</f>
        <v>46020</v>
      </c>
      <c r="N742" s="73" t="str">
        <f>IF(VLOOKUP(A742,'Actual Dates'!A4:AF893,27,),'Actual Dates'!AE97,"")</f>
        <v/>
      </c>
      <c r="O742" s="74" t="e">
        <f t="shared" si="222"/>
        <v>#VALUE!</v>
      </c>
      <c r="P742" s="75" t="e">
        <f t="shared" si="223"/>
        <v>#VALUE!</v>
      </c>
      <c r="Q742" s="75" t="e">
        <f t="shared" si="224"/>
        <v>#VALUE!</v>
      </c>
      <c r="R742" s="132"/>
      <c r="S742" s="133"/>
    </row>
    <row r="743" spans="1:19" x14ac:dyDescent="0.25">
      <c r="A743" s="70" t="str">
        <f>'Date Calcs'!A103</f>
        <v>25-121</v>
      </c>
      <c r="B743" s="71" t="str">
        <f>'Date Calcs'!B103</f>
        <v>Kimberly Clark</v>
      </c>
      <c r="C743" s="72">
        <f>'Date Calcs'!C103</f>
        <v>45995</v>
      </c>
      <c r="D743" s="73">
        <f t="shared" si="219"/>
        <v>46022</v>
      </c>
      <c r="E743" s="66">
        <v>44766</v>
      </c>
      <c r="F743" s="73">
        <f>'Date Calcs'!H103</f>
        <v>46023</v>
      </c>
      <c r="G743" s="73">
        <f>IF(VLOOKUP(A743,'Actual Dates'!A4:AF871,8,),'Actual Dates'!H98,"")</f>
        <v>46010</v>
      </c>
      <c r="H743" s="73" t="e">
        <f t="shared" si="220"/>
        <v>#VALUE!</v>
      </c>
      <c r="I743" s="73" t="str">
        <f>IF(VLOOKUP(A743,'Actual Dates'!A4:AF866,25,),'Actual Dates'!AA98,"")</f>
        <v/>
      </c>
      <c r="J743" s="73" t="e">
        <f t="shared" si="221"/>
        <v>#VALUE!</v>
      </c>
      <c r="K743" s="73" t="str">
        <f>IF(VLOOKUP(A743,'Actual Dates'!A4:AF894,26,),'Actual Dates'!AB98,"")</f>
        <v/>
      </c>
      <c r="L743" s="73" t="str">
        <f>IF(VLOOKUP(A743,'Actual Dates'!A4:AF894,21,),'Actual Dates'!U98,"")</f>
        <v/>
      </c>
      <c r="M743" s="73">
        <f>'Date Calcs'!AE103</f>
        <v>46094</v>
      </c>
      <c r="N743" s="73" t="str">
        <f>IF(VLOOKUP(A743,'Actual Dates'!A4:AF894,27,),'Actual Dates'!AE98,"")</f>
        <v/>
      </c>
      <c r="O743" s="74" t="e">
        <f t="shared" si="222"/>
        <v>#VALUE!</v>
      </c>
      <c r="P743" s="75">
        <f t="shared" si="223"/>
        <v>13</v>
      </c>
      <c r="Q743" s="75" t="e">
        <f t="shared" si="224"/>
        <v>#VALUE!</v>
      </c>
      <c r="R743" s="132"/>
      <c r="S743" s="133"/>
    </row>
    <row r="744" spans="1:19" x14ac:dyDescent="0.25">
      <c r="A744" s="70" t="str">
        <f>'Date Calcs'!A104</f>
        <v>25-122</v>
      </c>
      <c r="B744" s="71" t="str">
        <f>'Date Calcs'!B104</f>
        <v>Kimberly Clark</v>
      </c>
      <c r="C744" s="72">
        <f>'Date Calcs'!C104</f>
        <v>45995</v>
      </c>
      <c r="D744" s="73">
        <f t="shared" si="219"/>
        <v>46022</v>
      </c>
      <c r="E744" s="66">
        <v>44767</v>
      </c>
      <c r="F744" s="73">
        <f>'Date Calcs'!H104</f>
        <v>46023</v>
      </c>
      <c r="G744" s="73">
        <f>IF(VLOOKUP(A744,'Actual Dates'!A4:AF872,8,),'Actual Dates'!H99,"")</f>
        <v>46036</v>
      </c>
      <c r="H744" s="73" t="e">
        <f t="shared" si="220"/>
        <v>#VALUE!</v>
      </c>
      <c r="I744" s="73" t="str">
        <f>IF(VLOOKUP(A744,'Actual Dates'!A4:AF867,25,),'Actual Dates'!AA99,"")</f>
        <v/>
      </c>
      <c r="J744" s="73" t="e">
        <f t="shared" si="221"/>
        <v>#VALUE!</v>
      </c>
      <c r="K744" s="73" t="str">
        <f>IF(VLOOKUP(A744,'Actual Dates'!A4:AF895,26,),'Actual Dates'!AB99,"")</f>
        <v/>
      </c>
      <c r="L744" s="73" t="str">
        <f>IF(VLOOKUP(A744,'Actual Dates'!A4:AF895,21,),'Actual Dates'!U99,"")</f>
        <v/>
      </c>
      <c r="M744" s="73">
        <f>'Date Calcs'!AE104</f>
        <v>46094</v>
      </c>
      <c r="N744" s="73" t="str">
        <f>IF(VLOOKUP(A744,'Actual Dates'!A4:AF895,27,),'Actual Dates'!AE99,"")</f>
        <v/>
      </c>
      <c r="O744" s="74" t="e">
        <f t="shared" si="222"/>
        <v>#VALUE!</v>
      </c>
      <c r="P744" s="75">
        <f t="shared" si="223"/>
        <v>-13</v>
      </c>
      <c r="Q744" s="75" t="e">
        <f t="shared" si="224"/>
        <v>#VALUE!</v>
      </c>
      <c r="R744" s="132"/>
      <c r="S744" s="133"/>
    </row>
    <row r="745" spans="1:19" x14ac:dyDescent="0.25">
      <c r="A745" s="70" t="str">
        <f>'Date Calcs'!A105</f>
        <v>25-123</v>
      </c>
      <c r="B745" s="71" t="str">
        <f>'Date Calcs'!B105</f>
        <v>Kimberly Clark</v>
      </c>
      <c r="C745" s="72">
        <f>'Date Calcs'!C105</f>
        <v>45995</v>
      </c>
      <c r="D745" s="73">
        <f t="shared" si="219"/>
        <v>46022</v>
      </c>
      <c r="E745" s="66">
        <v>44768</v>
      </c>
      <c r="F745" s="73">
        <f>'Date Calcs'!H105</f>
        <v>46023</v>
      </c>
      <c r="G745" s="73">
        <f>IF(VLOOKUP(A745,'Actual Dates'!A4:AF873,8,),'Actual Dates'!H100,"")</f>
        <v>46036</v>
      </c>
      <c r="H745" s="73" t="e">
        <f t="shared" si="220"/>
        <v>#VALUE!</v>
      </c>
      <c r="I745" s="73" t="str">
        <f>IF(VLOOKUP(A745,'Actual Dates'!A4:AF868,25,),'Actual Dates'!AA100,"")</f>
        <v/>
      </c>
      <c r="J745" s="73" t="e">
        <f t="shared" si="221"/>
        <v>#VALUE!</v>
      </c>
      <c r="K745" s="73" t="str">
        <f>IF(VLOOKUP(A745,'Actual Dates'!A4:AF896,26,),'Actual Dates'!AB100,"")</f>
        <v/>
      </c>
      <c r="L745" s="73" t="str">
        <f>IF(VLOOKUP(A745,'Actual Dates'!A4:AF896,21,),'Actual Dates'!U100,"")</f>
        <v/>
      </c>
      <c r="M745" s="73">
        <f>'Date Calcs'!AE105</f>
        <v>46068</v>
      </c>
      <c r="N745" s="73" t="str">
        <f>IF(VLOOKUP(A745,'Actual Dates'!A4:AF896,27,),'Actual Dates'!AE100,"")</f>
        <v/>
      </c>
      <c r="O745" s="74" t="e">
        <f t="shared" si="222"/>
        <v>#VALUE!</v>
      </c>
      <c r="P745" s="75">
        <f t="shared" si="223"/>
        <v>-13</v>
      </c>
      <c r="Q745" s="75" t="e">
        <f t="shared" si="224"/>
        <v>#VALUE!</v>
      </c>
      <c r="R745" s="132"/>
      <c r="S745" s="133"/>
    </row>
    <row r="746" spans="1:19" x14ac:dyDescent="0.25">
      <c r="A746" s="70" t="str">
        <f>'Date Calcs'!A106</f>
        <v>25-124</v>
      </c>
      <c r="B746" s="71" t="str">
        <f>'Date Calcs'!B106</f>
        <v>Vertiv</v>
      </c>
      <c r="C746" s="72">
        <f>'Date Calcs'!C106</f>
        <v>46006</v>
      </c>
      <c r="D746" s="73">
        <f t="shared" si="219"/>
        <v>46003</v>
      </c>
      <c r="E746" s="66">
        <v>44769</v>
      </c>
      <c r="F746" s="73">
        <f>'Date Calcs'!H106</f>
        <v>46006</v>
      </c>
      <c r="G746" s="73" t="str">
        <f>IF(VLOOKUP(A746,'Actual Dates'!A4:AF874,8,),'Actual Dates'!H101,"")</f>
        <v/>
      </c>
      <c r="H746" s="73" t="e">
        <f t="shared" si="220"/>
        <v>#VALUE!</v>
      </c>
      <c r="I746" s="73">
        <f>IF(VLOOKUP(A746,'Actual Dates'!A4:AF869,25,),'Actual Dates'!AA101,"")</f>
        <v>0</v>
      </c>
      <c r="J746" s="73" t="e">
        <f t="shared" si="221"/>
        <v>#VALUE!</v>
      </c>
      <c r="K746" s="73" t="str">
        <f>IF(VLOOKUP(A746,'Actual Dates'!A4:AF897,26,),'Actual Dates'!AB101,"")</f>
        <v/>
      </c>
      <c r="L746" s="73" t="str">
        <f>IF(VLOOKUP(A746,'Actual Dates'!A4:AF897,21,),'Actual Dates'!U101,"")</f>
        <v/>
      </c>
      <c r="M746" s="73">
        <f>'Date Calcs'!AE106</f>
        <v>46044</v>
      </c>
      <c r="N746" s="73">
        <f>IF(VLOOKUP(A746,'Actual Dates'!A4:AF897,27,),'Actual Dates'!AE101,"")</f>
        <v>0</v>
      </c>
      <c r="O746" s="74">
        <f t="shared" si="222"/>
        <v>-46006</v>
      </c>
      <c r="P746" s="75" t="e">
        <f t="shared" si="223"/>
        <v>#VALUE!</v>
      </c>
      <c r="Q746" s="75">
        <f t="shared" si="224"/>
        <v>46044</v>
      </c>
      <c r="R746" s="132"/>
      <c r="S746" s="133"/>
    </row>
    <row r="747" spans="1:19" x14ac:dyDescent="0.25">
      <c r="A747" s="70" t="str">
        <f>'Date Calcs'!A107</f>
        <v>25-356</v>
      </c>
      <c r="B747" s="71" t="str">
        <f>'Date Calcs'!B107</f>
        <v>Synthomer</v>
      </c>
      <c r="C747" s="72">
        <f>'Date Calcs'!C107</f>
        <v>46020</v>
      </c>
      <c r="D747" s="73">
        <f t="shared" si="219"/>
        <v>46045</v>
      </c>
      <c r="E747" s="66">
        <v>44770</v>
      </c>
      <c r="F747" s="73">
        <f>'Date Calcs'!H107</f>
        <v>46048</v>
      </c>
      <c r="G747" s="73">
        <f>IF(VLOOKUP(A747,'Actual Dates'!A4:AF875,8,),'Actual Dates'!H102,"")</f>
        <v>0</v>
      </c>
      <c r="H747" s="73" t="e">
        <f t="shared" si="220"/>
        <v>#VALUE!</v>
      </c>
      <c r="I747" s="73" t="str">
        <f>IF(VLOOKUP(A747,'Actual Dates'!A4:AF870,25,),'Actual Dates'!AA102,"")</f>
        <v/>
      </c>
      <c r="J747" s="73" t="e">
        <f t="shared" si="221"/>
        <v>#VALUE!</v>
      </c>
      <c r="K747" s="73" t="str">
        <f>IF(VLOOKUP(A747,'Actual Dates'!A4:AF898,26,),'Actual Dates'!AB102,"")</f>
        <v/>
      </c>
      <c r="L747" s="73" t="str">
        <f>IF(VLOOKUP(A747,'Actual Dates'!A4:AF898,21,),'Actual Dates'!U102,"")</f>
        <v/>
      </c>
      <c r="M747" s="73">
        <f>'Date Calcs'!AE107</f>
        <v>46079</v>
      </c>
      <c r="N747" s="73" t="str">
        <f>IF(VLOOKUP(A747,'Actual Dates'!A4:AF898,27,),'Actual Dates'!AE102,"")</f>
        <v/>
      </c>
      <c r="O747" s="74" t="e">
        <f t="shared" si="222"/>
        <v>#VALUE!</v>
      </c>
      <c r="P747" s="75">
        <f t="shared" si="223"/>
        <v>46048</v>
      </c>
      <c r="Q747" s="75" t="e">
        <f t="shared" si="224"/>
        <v>#VALUE!</v>
      </c>
      <c r="R747" s="132"/>
      <c r="S747" s="133"/>
    </row>
    <row r="748" spans="1:19" x14ac:dyDescent="0.25">
      <c r="A748" s="70" t="str">
        <f>'Date Calcs'!A108</f>
        <v>25-357</v>
      </c>
      <c r="B748" s="71" t="str">
        <f>'Date Calcs'!B108</f>
        <v>Sylvamo</v>
      </c>
      <c r="C748" s="72">
        <f>'Date Calcs'!C108</f>
        <v>46021</v>
      </c>
      <c r="D748" s="73">
        <f t="shared" si="219"/>
        <v>46048</v>
      </c>
      <c r="E748" s="66">
        <v>44771</v>
      </c>
      <c r="F748" s="73">
        <f>'Date Calcs'!H108</f>
        <v>46049</v>
      </c>
      <c r="G748" s="73">
        <f>IF(VLOOKUP(A748,'Actual Dates'!A4:AF876,8,),'Actual Dates'!H103,"")</f>
        <v>46030</v>
      </c>
      <c r="H748" s="73" t="e">
        <f t="shared" si="220"/>
        <v>#VALUE!</v>
      </c>
      <c r="I748" s="73" t="str">
        <f>IF(VLOOKUP(A748,'Actual Dates'!A4:AF871,25,),'Actual Dates'!AA103,"")</f>
        <v/>
      </c>
      <c r="J748" s="73" t="e">
        <f t="shared" si="221"/>
        <v>#VALUE!</v>
      </c>
      <c r="K748" s="73" t="str">
        <f>IF(VLOOKUP(A748,'Actual Dates'!A4:AF899,26,),'Actual Dates'!AB103,"")</f>
        <v/>
      </c>
      <c r="L748" s="73" t="str">
        <f>IF(VLOOKUP(A748,'Actual Dates'!A4:AF899,21,),'Actual Dates'!U103,"")</f>
        <v/>
      </c>
      <c r="M748" s="73">
        <f>'Date Calcs'!AE108</f>
        <v>46088</v>
      </c>
      <c r="N748" s="73" t="str">
        <f>IF(VLOOKUP(A748,'Actual Dates'!A4:AF899,27,),'Actual Dates'!AE103,"")</f>
        <v/>
      </c>
      <c r="O748" s="74" t="e">
        <f t="shared" si="222"/>
        <v>#VALUE!</v>
      </c>
      <c r="P748" s="75">
        <f t="shared" si="223"/>
        <v>19</v>
      </c>
      <c r="Q748" s="75" t="e">
        <f t="shared" si="224"/>
        <v>#VALUE!</v>
      </c>
      <c r="R748" s="132"/>
      <c r="S748" s="133"/>
    </row>
    <row r="749" spans="1:19" x14ac:dyDescent="0.25">
      <c r="A749" s="70" t="str">
        <f>'Date Calcs'!A109</f>
        <v>25-358</v>
      </c>
      <c r="B749" s="71" t="str">
        <f>'Date Calcs'!B109</f>
        <v>Sylvamo</v>
      </c>
      <c r="C749" s="72">
        <f>'Date Calcs'!C109</f>
        <v>46021</v>
      </c>
      <c r="D749" s="73">
        <f t="shared" si="219"/>
        <v>46048</v>
      </c>
      <c r="E749" s="66">
        <v>44772</v>
      </c>
      <c r="F749" s="73">
        <f>'Date Calcs'!H109</f>
        <v>46049</v>
      </c>
      <c r="G749" s="73">
        <f>IF(VLOOKUP(A749,'Actual Dates'!A4:AF877,8,),'Actual Dates'!H104,"")</f>
        <v>46030</v>
      </c>
      <c r="H749" s="73" t="e">
        <f t="shared" si="220"/>
        <v>#VALUE!</v>
      </c>
      <c r="I749" s="73" t="str">
        <f>IF(VLOOKUP(A749,'Actual Dates'!A4:AF872,25,),'Actual Dates'!AA104,"")</f>
        <v/>
      </c>
      <c r="J749" s="73" t="e">
        <f t="shared" si="221"/>
        <v>#VALUE!</v>
      </c>
      <c r="K749" s="73" t="str">
        <f>IF(VLOOKUP(A749,'Actual Dates'!A4:AF900,26,),'Actual Dates'!AB104,"")</f>
        <v/>
      </c>
      <c r="L749" s="73" t="str">
        <f>IF(VLOOKUP(A749,'Actual Dates'!A4:AF900,21,),'Actual Dates'!U104,"")</f>
        <v/>
      </c>
      <c r="M749" s="73">
        <f>'Date Calcs'!AE109</f>
        <v>46088</v>
      </c>
      <c r="N749" s="73" t="str">
        <f>IF(VLOOKUP(A749,'Actual Dates'!A4:AF900,27,),'Actual Dates'!AE104,"")</f>
        <v/>
      </c>
      <c r="O749" s="74" t="e">
        <f t="shared" si="222"/>
        <v>#VALUE!</v>
      </c>
      <c r="P749" s="75">
        <f t="shared" si="223"/>
        <v>19</v>
      </c>
      <c r="Q749" s="75" t="e">
        <f t="shared" si="224"/>
        <v>#VALUE!</v>
      </c>
      <c r="R749" s="132"/>
      <c r="S749" s="133"/>
    </row>
  </sheetData>
  <mergeCells count="767">
    <mergeCell ref="R248:S248"/>
    <mergeCell ref="R249:S249"/>
    <mergeCell ref="R250:S250"/>
    <mergeCell ref="R244:S244"/>
    <mergeCell ref="R245:S245"/>
    <mergeCell ref="R246:S246"/>
    <mergeCell ref="R247:S247"/>
    <mergeCell ref="R229:S229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0:S240"/>
    <mergeCell ref="R241:S241"/>
    <mergeCell ref="R242:S242"/>
    <mergeCell ref="R243:S243"/>
    <mergeCell ref="R224:S224"/>
    <mergeCell ref="R225:S225"/>
    <mergeCell ref="R226:S226"/>
    <mergeCell ref="R227:S227"/>
    <mergeCell ref="R228:S228"/>
    <mergeCell ref="R215:S215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R209:S209"/>
    <mergeCell ref="R210:S210"/>
    <mergeCell ref="R211:S211"/>
    <mergeCell ref="R212:S212"/>
    <mergeCell ref="R213:S213"/>
    <mergeCell ref="R214:S214"/>
    <mergeCell ref="R199:S199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208:S208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53:S153"/>
    <mergeCell ref="R154:S154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16:S116"/>
    <mergeCell ref="R136:S136"/>
    <mergeCell ref="R137:S137"/>
    <mergeCell ref="R138:S138"/>
    <mergeCell ref="R139:S139"/>
    <mergeCell ref="R140:S140"/>
    <mergeCell ref="R150:S150"/>
    <mergeCell ref="R151:S151"/>
    <mergeCell ref="R152:S152"/>
    <mergeCell ref="R131:S131"/>
    <mergeCell ref="R132:S132"/>
    <mergeCell ref="R133:S133"/>
    <mergeCell ref="R134:S134"/>
    <mergeCell ref="R135:S135"/>
    <mergeCell ref="R121:S121"/>
    <mergeCell ref="R129:S129"/>
    <mergeCell ref="R130:S130"/>
    <mergeCell ref="R122:S122"/>
    <mergeCell ref="R123:S123"/>
    <mergeCell ref="R124:S124"/>
    <mergeCell ref="R125:S125"/>
    <mergeCell ref="R126:S126"/>
    <mergeCell ref="R127:S127"/>
    <mergeCell ref="R128:S128"/>
    <mergeCell ref="R102:S102"/>
    <mergeCell ref="R103:S103"/>
    <mergeCell ref="R104:S104"/>
    <mergeCell ref="R105:S105"/>
    <mergeCell ref="R111:S111"/>
    <mergeCell ref="R112:S112"/>
    <mergeCell ref="R113:S113"/>
    <mergeCell ref="R114:S114"/>
    <mergeCell ref="R115:S115"/>
    <mergeCell ref="A1:Q1"/>
    <mergeCell ref="R25:S25"/>
    <mergeCell ref="R26:S26"/>
    <mergeCell ref="R27:S27"/>
    <mergeCell ref="R28:S28"/>
    <mergeCell ref="R13:S13"/>
    <mergeCell ref="R14:S14"/>
    <mergeCell ref="R15:S15"/>
    <mergeCell ref="R16:S16"/>
    <mergeCell ref="R17:S17"/>
    <mergeCell ref="R18:S18"/>
    <mergeCell ref="R12:S12"/>
    <mergeCell ref="M3:N3"/>
    <mergeCell ref="O3:O4"/>
    <mergeCell ref="P3:P4"/>
    <mergeCell ref="Q3:Q4"/>
    <mergeCell ref="R19:S19"/>
    <mergeCell ref="R20:S20"/>
    <mergeCell ref="A3:A4"/>
    <mergeCell ref="B3:B4"/>
    <mergeCell ref="C3:C4"/>
    <mergeCell ref="D3:E3"/>
    <mergeCell ref="F3:G3"/>
    <mergeCell ref="R10:S10"/>
    <mergeCell ref="R11:S11"/>
    <mergeCell ref="H3:I3"/>
    <mergeCell ref="J3:K3"/>
    <mergeCell ref="L3:L4"/>
    <mergeCell ref="R3:S4"/>
    <mergeCell ref="R6:S6"/>
    <mergeCell ref="R7:S7"/>
    <mergeCell ref="R8:S8"/>
    <mergeCell ref="R9:S9"/>
    <mergeCell ref="R21:S21"/>
    <mergeCell ref="R22:S22"/>
    <mergeCell ref="R23:S23"/>
    <mergeCell ref="R24:S24"/>
    <mergeCell ref="R31:S31"/>
    <mergeCell ref="R32:S32"/>
    <mergeCell ref="R33:S33"/>
    <mergeCell ref="R34:S34"/>
    <mergeCell ref="R29:S29"/>
    <mergeCell ref="R30:S30"/>
    <mergeCell ref="R44:S44"/>
    <mergeCell ref="R70:S70"/>
    <mergeCell ref="R47:S47"/>
    <mergeCell ref="R48:S48"/>
    <mergeCell ref="R49:S49"/>
    <mergeCell ref="R50:S50"/>
    <mergeCell ref="R51:S51"/>
    <mergeCell ref="R35:S35"/>
    <mergeCell ref="R36:S36"/>
    <mergeCell ref="R37:S37"/>
    <mergeCell ref="R38:S38"/>
    <mergeCell ref="R45:S45"/>
    <mergeCell ref="R46:S46"/>
    <mergeCell ref="R79:S79"/>
    <mergeCell ref="R80:S80"/>
    <mergeCell ref="R81:S81"/>
    <mergeCell ref="R82:S82"/>
    <mergeCell ref="R96:S96"/>
    <mergeCell ref="R97:S97"/>
    <mergeCell ref="R98:S98"/>
    <mergeCell ref="R99:S99"/>
    <mergeCell ref="R39:S39"/>
    <mergeCell ref="R40:S40"/>
    <mergeCell ref="R41:S41"/>
    <mergeCell ref="R42:S42"/>
    <mergeCell ref="R43:S43"/>
    <mergeCell ref="R73:S73"/>
    <mergeCell ref="R57:S57"/>
    <mergeCell ref="R63:S63"/>
    <mergeCell ref="R64:S64"/>
    <mergeCell ref="R65:S65"/>
    <mergeCell ref="R66:S66"/>
    <mergeCell ref="R58:S58"/>
    <mergeCell ref="R59:S59"/>
    <mergeCell ref="R60:S60"/>
    <mergeCell ref="R61:S61"/>
    <mergeCell ref="R62:S62"/>
    <mergeCell ref="R74:S74"/>
    <mergeCell ref="R75:S75"/>
    <mergeCell ref="R76:S76"/>
    <mergeCell ref="R77:S77"/>
    <mergeCell ref="R78:S78"/>
    <mergeCell ref="R71:S71"/>
    <mergeCell ref="R72:S72"/>
    <mergeCell ref="R52:S52"/>
    <mergeCell ref="R53:S53"/>
    <mergeCell ref="R54:S54"/>
    <mergeCell ref="R55:S55"/>
    <mergeCell ref="R56:S56"/>
    <mergeCell ref="R68:S68"/>
    <mergeCell ref="R69:S69"/>
    <mergeCell ref="R67:S67"/>
    <mergeCell ref="R86:S86"/>
    <mergeCell ref="R87:S87"/>
    <mergeCell ref="R88:S88"/>
    <mergeCell ref="R89:S89"/>
    <mergeCell ref="R90:S90"/>
    <mergeCell ref="R83:S83"/>
    <mergeCell ref="R84:S84"/>
    <mergeCell ref="R85:S85"/>
    <mergeCell ref="R120:S120"/>
    <mergeCell ref="R100:S100"/>
    <mergeCell ref="R91:S91"/>
    <mergeCell ref="R92:S92"/>
    <mergeCell ref="R93:S93"/>
    <mergeCell ref="R94:S94"/>
    <mergeCell ref="R95:S95"/>
    <mergeCell ref="R117:S117"/>
    <mergeCell ref="R118:S118"/>
    <mergeCell ref="R119:S119"/>
    <mergeCell ref="R108:S108"/>
    <mergeCell ref="R109:S109"/>
    <mergeCell ref="R110:S110"/>
    <mergeCell ref="R106:S106"/>
    <mergeCell ref="R107:S107"/>
    <mergeCell ref="R101:S101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R172:S172"/>
    <mergeCell ref="AD3:AD4"/>
    <mergeCell ref="AE3:AE4"/>
    <mergeCell ref="AF3:AF4"/>
    <mergeCell ref="AG3:AG4"/>
    <mergeCell ref="AD240:AD245"/>
    <mergeCell ref="AE240:AE245"/>
    <mergeCell ref="AF240:AF245"/>
    <mergeCell ref="AG240:AG245"/>
    <mergeCell ref="AG246:AG247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0:S300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R329:S329"/>
    <mergeCell ref="R330:S330"/>
    <mergeCell ref="R331:S331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0:S340"/>
    <mergeCell ref="R341:S341"/>
    <mergeCell ref="R342:S342"/>
    <mergeCell ref="R343:S343"/>
    <mergeCell ref="R344:S344"/>
    <mergeCell ref="R345:S345"/>
    <mergeCell ref="R346:S346"/>
    <mergeCell ref="R347:S347"/>
    <mergeCell ref="R348:S348"/>
    <mergeCell ref="R349:S349"/>
    <mergeCell ref="R350:S350"/>
    <mergeCell ref="R351:S351"/>
    <mergeCell ref="R352:S352"/>
    <mergeCell ref="R353:S353"/>
    <mergeCell ref="R354:S354"/>
    <mergeCell ref="R355:S355"/>
    <mergeCell ref="R356:S356"/>
    <mergeCell ref="R357:S357"/>
    <mergeCell ref="R358:S358"/>
    <mergeCell ref="R359:S359"/>
    <mergeCell ref="R360:S360"/>
    <mergeCell ref="R361:S361"/>
    <mergeCell ref="R362:S362"/>
    <mergeCell ref="R363:S363"/>
    <mergeCell ref="R364:S364"/>
    <mergeCell ref="R365:S365"/>
    <mergeCell ref="R366:S366"/>
    <mergeCell ref="R367:S367"/>
    <mergeCell ref="R368:S368"/>
    <mergeCell ref="R369:S369"/>
    <mergeCell ref="R370:S370"/>
    <mergeCell ref="R371:S371"/>
    <mergeCell ref="R372:S372"/>
    <mergeCell ref="R373:S373"/>
    <mergeCell ref="R374:S374"/>
    <mergeCell ref="R375:S375"/>
    <mergeCell ref="R376:S376"/>
    <mergeCell ref="R377:S377"/>
    <mergeCell ref="R378:S378"/>
    <mergeCell ref="R379:S379"/>
    <mergeCell ref="R380:S380"/>
    <mergeCell ref="R381:S381"/>
    <mergeCell ref="R382:S382"/>
    <mergeCell ref="R383:S383"/>
    <mergeCell ref="R384:S384"/>
    <mergeCell ref="R385:S385"/>
    <mergeCell ref="R386:S386"/>
    <mergeCell ref="R387:S387"/>
    <mergeCell ref="R388:S388"/>
    <mergeCell ref="R389:S389"/>
    <mergeCell ref="R390:S390"/>
    <mergeCell ref="R391:S391"/>
    <mergeCell ref="R392:S392"/>
    <mergeCell ref="R393:S393"/>
    <mergeCell ref="R394:S394"/>
    <mergeCell ref="R395:S395"/>
    <mergeCell ref="R396:S396"/>
    <mergeCell ref="R397:S397"/>
    <mergeCell ref="R398:S398"/>
    <mergeCell ref="R399:S399"/>
    <mergeCell ref="R400:S400"/>
    <mergeCell ref="R401:S401"/>
    <mergeCell ref="R402:S402"/>
    <mergeCell ref="R403:S403"/>
    <mergeCell ref="R404:S404"/>
    <mergeCell ref="R405:S405"/>
    <mergeCell ref="R406:S406"/>
    <mergeCell ref="R407:S407"/>
    <mergeCell ref="R408:S408"/>
    <mergeCell ref="R409:S409"/>
    <mergeCell ref="R410:S410"/>
    <mergeCell ref="R411:S411"/>
    <mergeCell ref="R412:S412"/>
    <mergeCell ref="R413:S413"/>
    <mergeCell ref="R414:S414"/>
    <mergeCell ref="R415:S415"/>
    <mergeCell ref="R416:S416"/>
    <mergeCell ref="R417:S417"/>
    <mergeCell ref="R418:S418"/>
    <mergeCell ref="R419:S419"/>
    <mergeCell ref="R420:S420"/>
    <mergeCell ref="R421:S421"/>
    <mergeCell ref="R422:S422"/>
    <mergeCell ref="R423:S423"/>
    <mergeCell ref="R424:S424"/>
    <mergeCell ref="R425:S425"/>
    <mergeCell ref="R426:S426"/>
    <mergeCell ref="R427:S427"/>
    <mergeCell ref="R428:S428"/>
    <mergeCell ref="R429:S429"/>
    <mergeCell ref="R430:S430"/>
    <mergeCell ref="R431:S431"/>
    <mergeCell ref="R432:S432"/>
    <mergeCell ref="R433:S433"/>
    <mergeCell ref="R434:S434"/>
    <mergeCell ref="R435:S435"/>
    <mergeCell ref="R436:S436"/>
    <mergeCell ref="R437:S437"/>
    <mergeCell ref="R438:S438"/>
    <mergeCell ref="R439:S439"/>
    <mergeCell ref="R440:S440"/>
    <mergeCell ref="R441:S441"/>
    <mergeCell ref="R442:S442"/>
    <mergeCell ref="R443:S443"/>
    <mergeCell ref="R444:S444"/>
    <mergeCell ref="R445:S445"/>
    <mergeCell ref="R446:S446"/>
    <mergeCell ref="R447:S447"/>
    <mergeCell ref="R448:S448"/>
    <mergeCell ref="R449:S449"/>
    <mergeCell ref="R450:S450"/>
    <mergeCell ref="R451:S451"/>
    <mergeCell ref="R452:S452"/>
    <mergeCell ref="R453:S453"/>
    <mergeCell ref="R454:S454"/>
    <mergeCell ref="R455:S455"/>
    <mergeCell ref="R456:S456"/>
    <mergeCell ref="R457:S457"/>
    <mergeCell ref="R458:S458"/>
    <mergeCell ref="R459:S459"/>
    <mergeCell ref="R460:S460"/>
    <mergeCell ref="R461:S461"/>
    <mergeCell ref="R462:S462"/>
    <mergeCell ref="R463:S463"/>
    <mergeCell ref="R464:S464"/>
    <mergeCell ref="R465:S465"/>
    <mergeCell ref="R466:S466"/>
    <mergeCell ref="R467:S467"/>
    <mergeCell ref="R468:S468"/>
    <mergeCell ref="R469:S469"/>
    <mergeCell ref="R470:S470"/>
    <mergeCell ref="R471:S471"/>
    <mergeCell ref="R472:S472"/>
    <mergeCell ref="R473:S473"/>
    <mergeCell ref="R474:S474"/>
    <mergeCell ref="R475:S475"/>
    <mergeCell ref="R476:S476"/>
    <mergeCell ref="R477:S477"/>
    <mergeCell ref="R478:S478"/>
    <mergeCell ref="R479:S479"/>
    <mergeCell ref="R480:S480"/>
    <mergeCell ref="R481:S481"/>
    <mergeCell ref="R482:S482"/>
    <mergeCell ref="R483:S483"/>
    <mergeCell ref="R484:S484"/>
    <mergeCell ref="R485:S485"/>
    <mergeCell ref="R486:S486"/>
    <mergeCell ref="R487:S487"/>
    <mergeCell ref="R488:S488"/>
    <mergeCell ref="R489:S489"/>
    <mergeCell ref="R490:S490"/>
    <mergeCell ref="R491:S491"/>
    <mergeCell ref="R492:S492"/>
    <mergeCell ref="R493:S493"/>
    <mergeCell ref="R494:S494"/>
    <mergeCell ref="R495:S495"/>
    <mergeCell ref="R496:S496"/>
    <mergeCell ref="R497:S497"/>
    <mergeCell ref="R498:S498"/>
    <mergeCell ref="R499:S499"/>
    <mergeCell ref="R500:S500"/>
    <mergeCell ref="R501:S501"/>
    <mergeCell ref="R502:S502"/>
    <mergeCell ref="R503:S503"/>
    <mergeCell ref="R504:S504"/>
    <mergeCell ref="R505:S505"/>
    <mergeCell ref="R506:S506"/>
    <mergeCell ref="R507:S507"/>
    <mergeCell ref="R508:S508"/>
    <mergeCell ref="R509:S509"/>
    <mergeCell ref="R510:S510"/>
    <mergeCell ref="R511:S511"/>
    <mergeCell ref="R512:S512"/>
    <mergeCell ref="R513:S513"/>
    <mergeCell ref="R514:S514"/>
    <mergeCell ref="R515:S515"/>
    <mergeCell ref="R516:S516"/>
    <mergeCell ref="R517:S517"/>
    <mergeCell ref="R518:S518"/>
    <mergeCell ref="R519:S519"/>
    <mergeCell ref="R520:S520"/>
    <mergeCell ref="R521:S521"/>
    <mergeCell ref="R522:S522"/>
    <mergeCell ref="R523:S523"/>
    <mergeCell ref="R524:S524"/>
    <mergeCell ref="R525:S525"/>
    <mergeCell ref="R526:S526"/>
    <mergeCell ref="R527:S527"/>
    <mergeCell ref="R528:S528"/>
    <mergeCell ref="R529:S529"/>
    <mergeCell ref="R530:S530"/>
    <mergeCell ref="R531:S531"/>
    <mergeCell ref="R532:S532"/>
    <mergeCell ref="R533:S533"/>
    <mergeCell ref="R534:S534"/>
    <mergeCell ref="R535:S535"/>
    <mergeCell ref="R536:S536"/>
    <mergeCell ref="R537:S537"/>
    <mergeCell ref="R538:S538"/>
    <mergeCell ref="R539:S539"/>
    <mergeCell ref="R540:S540"/>
    <mergeCell ref="R541:S541"/>
    <mergeCell ref="R542:S542"/>
    <mergeCell ref="R543:S543"/>
    <mergeCell ref="R544:S544"/>
    <mergeCell ref="R545:S545"/>
    <mergeCell ref="R546:S546"/>
    <mergeCell ref="R547:S547"/>
    <mergeCell ref="R548:S548"/>
    <mergeCell ref="R549:S549"/>
    <mergeCell ref="R550:S550"/>
    <mergeCell ref="R551:S551"/>
    <mergeCell ref="R552:S552"/>
    <mergeCell ref="R553:S553"/>
    <mergeCell ref="R554:S554"/>
    <mergeCell ref="R555:S555"/>
    <mergeCell ref="R556:S556"/>
    <mergeCell ref="R557:S557"/>
    <mergeCell ref="R558:S558"/>
    <mergeCell ref="R559:S559"/>
    <mergeCell ref="R560:S560"/>
    <mergeCell ref="R561:S561"/>
    <mergeCell ref="R562:S562"/>
    <mergeCell ref="R563:S563"/>
    <mergeCell ref="R564:S564"/>
    <mergeCell ref="R565:S565"/>
    <mergeCell ref="R566:S566"/>
    <mergeCell ref="R567:S567"/>
    <mergeCell ref="R568:S568"/>
    <mergeCell ref="R569:S569"/>
    <mergeCell ref="R570:S570"/>
    <mergeCell ref="R571:S571"/>
    <mergeCell ref="R572:S572"/>
    <mergeCell ref="R573:S573"/>
    <mergeCell ref="R574:S574"/>
    <mergeCell ref="R575:S575"/>
    <mergeCell ref="R576:S576"/>
    <mergeCell ref="R577:S577"/>
    <mergeCell ref="R578:S578"/>
    <mergeCell ref="R579:S579"/>
    <mergeCell ref="R580:S580"/>
    <mergeCell ref="R581:S581"/>
    <mergeCell ref="R582:S582"/>
    <mergeCell ref="R583:S583"/>
    <mergeCell ref="R584:S584"/>
    <mergeCell ref="R585:S585"/>
    <mergeCell ref="R586:S586"/>
    <mergeCell ref="R587:S587"/>
    <mergeCell ref="R588:S588"/>
    <mergeCell ref="R589:S589"/>
    <mergeCell ref="R590:S590"/>
    <mergeCell ref="R591:S591"/>
    <mergeCell ref="R592:S592"/>
    <mergeCell ref="R593:S593"/>
    <mergeCell ref="R594:S594"/>
    <mergeCell ref="R595:S595"/>
    <mergeCell ref="R596:S596"/>
    <mergeCell ref="R597:S597"/>
    <mergeCell ref="R598:S598"/>
    <mergeCell ref="R599:S599"/>
    <mergeCell ref="R600:S600"/>
    <mergeCell ref="R601:S601"/>
    <mergeCell ref="R602:S602"/>
    <mergeCell ref="R603:S603"/>
    <mergeCell ref="R604:S604"/>
    <mergeCell ref="R605:S605"/>
    <mergeCell ref="R606:S606"/>
    <mergeCell ref="R607:S607"/>
    <mergeCell ref="R608:S608"/>
    <mergeCell ref="R609:S609"/>
    <mergeCell ref="R610:S610"/>
    <mergeCell ref="R611:S611"/>
    <mergeCell ref="R612:S612"/>
    <mergeCell ref="R613:S613"/>
    <mergeCell ref="R614:S614"/>
    <mergeCell ref="R615:S615"/>
    <mergeCell ref="R616:S616"/>
    <mergeCell ref="R617:S617"/>
    <mergeCell ref="R618:S618"/>
    <mergeCell ref="R619:S619"/>
    <mergeCell ref="R620:S620"/>
    <mergeCell ref="R621:S621"/>
    <mergeCell ref="R622:S622"/>
    <mergeCell ref="R623:S623"/>
    <mergeCell ref="R624:S624"/>
    <mergeCell ref="R625:S625"/>
    <mergeCell ref="R626:S626"/>
    <mergeCell ref="R627:S627"/>
    <mergeCell ref="R628:S628"/>
    <mergeCell ref="R629:S629"/>
    <mergeCell ref="R630:S630"/>
    <mergeCell ref="R631:S631"/>
    <mergeCell ref="R632:S632"/>
    <mergeCell ref="R633:S633"/>
    <mergeCell ref="R634:S634"/>
    <mergeCell ref="R635:S635"/>
    <mergeCell ref="R636:S636"/>
    <mergeCell ref="R637:S637"/>
    <mergeCell ref="R638:S638"/>
    <mergeCell ref="R639:S639"/>
    <mergeCell ref="R640:S640"/>
    <mergeCell ref="R641:S641"/>
    <mergeCell ref="R642:S642"/>
    <mergeCell ref="R643:S643"/>
    <mergeCell ref="R644:S644"/>
    <mergeCell ref="R645:S645"/>
    <mergeCell ref="R646:S646"/>
    <mergeCell ref="R647:S647"/>
    <mergeCell ref="R648:S648"/>
    <mergeCell ref="R649:S649"/>
    <mergeCell ref="R650:S650"/>
    <mergeCell ref="R651:S651"/>
    <mergeCell ref="R652:S652"/>
    <mergeCell ref="R653:S653"/>
    <mergeCell ref="R654:S654"/>
    <mergeCell ref="R655:S655"/>
    <mergeCell ref="R656:S656"/>
    <mergeCell ref="R657:S657"/>
    <mergeCell ref="R658:S658"/>
    <mergeCell ref="R659:S659"/>
    <mergeCell ref="R660:S660"/>
    <mergeCell ref="R661:S661"/>
    <mergeCell ref="R662:S662"/>
    <mergeCell ref="R663:S663"/>
    <mergeCell ref="R664:S664"/>
    <mergeCell ref="R665:S665"/>
    <mergeCell ref="R666:S666"/>
    <mergeCell ref="R667:S667"/>
    <mergeCell ref="R668:S668"/>
    <mergeCell ref="R669:S669"/>
    <mergeCell ref="R670:S670"/>
    <mergeCell ref="R671:S671"/>
    <mergeCell ref="R672:S672"/>
    <mergeCell ref="R673:S673"/>
    <mergeCell ref="R674:S674"/>
    <mergeCell ref="R675:S675"/>
    <mergeCell ref="R676:S676"/>
    <mergeCell ref="R677:S677"/>
    <mergeCell ref="R678:S678"/>
    <mergeCell ref="R679:S679"/>
    <mergeCell ref="R680:S680"/>
    <mergeCell ref="R681:S681"/>
    <mergeCell ref="R682:S682"/>
    <mergeCell ref="R683:S683"/>
    <mergeCell ref="R684:S684"/>
    <mergeCell ref="R685:S685"/>
    <mergeCell ref="R686:S686"/>
    <mergeCell ref="R687:S687"/>
    <mergeCell ref="R688:S688"/>
    <mergeCell ref="R689:S689"/>
    <mergeCell ref="R690:S690"/>
    <mergeCell ref="R691:S691"/>
    <mergeCell ref="R692:S692"/>
    <mergeCell ref="R693:S693"/>
    <mergeCell ref="R694:S694"/>
    <mergeCell ref="R695:S695"/>
    <mergeCell ref="R696:S696"/>
    <mergeCell ref="R697:S697"/>
    <mergeCell ref="R698:S698"/>
    <mergeCell ref="R699:S699"/>
    <mergeCell ref="R700:S700"/>
    <mergeCell ref="R701:S701"/>
    <mergeCell ref="R702:S702"/>
    <mergeCell ref="R703:S703"/>
    <mergeCell ref="R704:S704"/>
    <mergeCell ref="R705:S705"/>
    <mergeCell ref="R706:S706"/>
    <mergeCell ref="R707:S707"/>
    <mergeCell ref="R708:S708"/>
    <mergeCell ref="R709:S709"/>
    <mergeCell ref="R710:S710"/>
    <mergeCell ref="R711:S711"/>
    <mergeCell ref="R712:S712"/>
    <mergeCell ref="R713:S713"/>
    <mergeCell ref="R714:S714"/>
    <mergeCell ref="R715:S715"/>
    <mergeCell ref="R716:S716"/>
    <mergeCell ref="R717:S717"/>
    <mergeCell ref="R718:S718"/>
    <mergeCell ref="R719:S719"/>
    <mergeCell ref="R720:S720"/>
    <mergeCell ref="R721:S721"/>
    <mergeCell ref="R722:S722"/>
    <mergeCell ref="R723:S723"/>
    <mergeCell ref="R724:S724"/>
    <mergeCell ref="R725:S725"/>
    <mergeCell ref="R726:S726"/>
    <mergeCell ref="R727:S727"/>
    <mergeCell ref="R728:S728"/>
    <mergeCell ref="R729:S729"/>
    <mergeCell ref="R730:S730"/>
    <mergeCell ref="R731:S731"/>
    <mergeCell ref="R732:S732"/>
    <mergeCell ref="R733:S733"/>
    <mergeCell ref="R734:S734"/>
    <mergeCell ref="R735:S735"/>
    <mergeCell ref="R736:S736"/>
    <mergeCell ref="R746:S746"/>
    <mergeCell ref="R747:S747"/>
    <mergeCell ref="R748:S748"/>
    <mergeCell ref="R749:S749"/>
    <mergeCell ref="R737:S737"/>
    <mergeCell ref="R738:S738"/>
    <mergeCell ref="R739:S739"/>
    <mergeCell ref="R740:S740"/>
    <mergeCell ref="R741:S741"/>
    <mergeCell ref="R742:S742"/>
    <mergeCell ref="R743:S743"/>
    <mergeCell ref="R744:S744"/>
    <mergeCell ref="R745:S745"/>
  </mergeCells>
  <printOptions horizontalCentered="1"/>
  <pageMargins left="0.25" right="0.25" top="0.75" bottom="0.75" header="0.3" footer="0.3"/>
  <pageSetup paperSize="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E83D-F045-4803-8DF3-C4A7C226FBE2}">
  <dimension ref="A3:F28"/>
  <sheetViews>
    <sheetView workbookViewId="0">
      <pane xSplit="1" ySplit="4" topLeftCell="B5" activePane="bottomRight" state="frozenSplit"/>
      <selection pane="topRight" activeCell="L1" sqref="L1"/>
      <selection pane="bottomLeft" activeCell="A20" sqref="A20"/>
      <selection pane="bottomRight" activeCell="F33" sqref="F33"/>
    </sheetView>
  </sheetViews>
  <sheetFormatPr defaultRowHeight="15" x14ac:dyDescent="0.25"/>
  <cols>
    <col min="2" max="2" width="12.42578125" bestFit="1" customWidth="1"/>
    <col min="5" max="5" width="11" bestFit="1" customWidth="1"/>
  </cols>
  <sheetData>
    <row r="3" spans="1:6" s="62" customFormat="1" ht="15" customHeight="1" x14ac:dyDescent="0.25">
      <c r="B3" s="134" t="s">
        <v>120</v>
      </c>
      <c r="C3" s="135" t="s">
        <v>121</v>
      </c>
      <c r="D3" s="134" t="s">
        <v>122</v>
      </c>
      <c r="E3" s="135" t="s">
        <v>123</v>
      </c>
      <c r="F3" s="162" t="s">
        <v>138</v>
      </c>
    </row>
    <row r="4" spans="1:6" s="65" customFormat="1" ht="15.75" customHeight="1" x14ac:dyDescent="0.25">
      <c r="B4" s="134"/>
      <c r="C4" s="135"/>
      <c r="D4" s="134"/>
      <c r="E4" s="135"/>
      <c r="F4" s="162"/>
    </row>
    <row r="5" spans="1:6" x14ac:dyDescent="0.25">
      <c r="A5" s="136">
        <v>2021</v>
      </c>
      <c r="B5" s="79" t="s">
        <v>126</v>
      </c>
      <c r="C5" s="81" t="e">
        <f>SUM('OGSM 2019'!AC240:AC245)</f>
        <v>#REF!</v>
      </c>
      <c r="D5" s="82">
        <v>6</v>
      </c>
      <c r="E5" s="80" t="e">
        <f>D5/C5</f>
        <v>#REF!</v>
      </c>
      <c r="F5" s="90">
        <v>0.95</v>
      </c>
    </row>
    <row r="6" spans="1:6" ht="15" customHeight="1" x14ac:dyDescent="0.25">
      <c r="A6" s="136"/>
      <c r="B6" s="79" t="s">
        <v>127</v>
      </c>
      <c r="C6" s="81" t="e">
        <f>'OGSM 2019'!AE246</f>
        <v>#REF!</v>
      </c>
      <c r="D6" s="82">
        <v>2</v>
      </c>
      <c r="E6" s="80" t="e">
        <f>D6/C6</f>
        <v>#REF!</v>
      </c>
      <c r="F6" s="90">
        <v>0.95</v>
      </c>
    </row>
    <row r="7" spans="1:6" x14ac:dyDescent="0.25">
      <c r="A7" s="136"/>
      <c r="B7" s="79" t="s">
        <v>128</v>
      </c>
      <c r="C7" s="81">
        <v>2</v>
      </c>
      <c r="D7" s="82">
        <v>2</v>
      </c>
      <c r="E7" s="80">
        <f>D7/C7</f>
        <v>1</v>
      </c>
      <c r="F7" s="90">
        <v>0.95</v>
      </c>
    </row>
    <row r="8" spans="1:6" x14ac:dyDescent="0.25">
      <c r="A8" s="136"/>
      <c r="B8" s="79" t="s">
        <v>129</v>
      </c>
      <c r="C8" s="81">
        <v>2</v>
      </c>
      <c r="D8" s="82">
        <v>2</v>
      </c>
      <c r="E8" s="80"/>
      <c r="F8" s="90">
        <v>0.95</v>
      </c>
    </row>
    <row r="9" spans="1:6" x14ac:dyDescent="0.25">
      <c r="A9" s="136"/>
      <c r="B9" s="79" t="s">
        <v>130</v>
      </c>
      <c r="C9" s="81">
        <v>2</v>
      </c>
      <c r="D9" s="82">
        <v>2</v>
      </c>
      <c r="E9" s="80"/>
      <c r="F9" s="90">
        <v>0.95</v>
      </c>
    </row>
    <row r="10" spans="1:6" x14ac:dyDescent="0.25">
      <c r="A10" s="136"/>
      <c r="B10" s="79" t="s">
        <v>131</v>
      </c>
      <c r="C10" s="81"/>
      <c r="D10" s="82"/>
      <c r="E10" s="80"/>
      <c r="F10" s="90">
        <v>0.95</v>
      </c>
    </row>
    <row r="11" spans="1:6" x14ac:dyDescent="0.25">
      <c r="A11" s="136"/>
      <c r="B11" s="79" t="s">
        <v>132</v>
      </c>
      <c r="C11" s="83"/>
      <c r="D11" s="84"/>
      <c r="E11" s="1"/>
      <c r="F11" s="90">
        <v>0.95</v>
      </c>
    </row>
    <row r="12" spans="1:6" x14ac:dyDescent="0.25">
      <c r="A12" s="136"/>
      <c r="B12" s="79" t="s">
        <v>133</v>
      </c>
      <c r="C12" s="83"/>
      <c r="D12" s="84"/>
      <c r="E12" s="1"/>
      <c r="F12" s="90">
        <v>0.95</v>
      </c>
    </row>
    <row r="13" spans="1:6" x14ac:dyDescent="0.25">
      <c r="A13" s="136"/>
      <c r="B13" s="79" t="s">
        <v>134</v>
      </c>
      <c r="C13" s="83"/>
      <c r="D13" s="84"/>
      <c r="E13" s="1"/>
      <c r="F13" s="90">
        <v>0.95</v>
      </c>
    </row>
    <row r="14" spans="1:6" x14ac:dyDescent="0.25">
      <c r="A14" s="136"/>
      <c r="B14" s="79" t="s">
        <v>135</v>
      </c>
      <c r="C14" s="83"/>
      <c r="D14" s="84"/>
      <c r="E14" s="1"/>
      <c r="F14" s="90">
        <v>0.95</v>
      </c>
    </row>
    <row r="15" spans="1:6" x14ac:dyDescent="0.25">
      <c r="A15" s="136"/>
      <c r="B15" s="79" t="s">
        <v>136</v>
      </c>
      <c r="C15" s="83"/>
      <c r="D15" s="84"/>
      <c r="E15" s="1"/>
      <c r="F15" s="90">
        <v>0.95</v>
      </c>
    </row>
    <row r="16" spans="1:6" x14ac:dyDescent="0.25">
      <c r="A16" s="136"/>
      <c r="B16" s="79" t="s">
        <v>137</v>
      </c>
      <c r="C16" s="83"/>
      <c r="D16" s="84"/>
      <c r="E16" s="1"/>
      <c r="F16" s="90">
        <v>0.95</v>
      </c>
    </row>
    <row r="17" spans="1:6" x14ac:dyDescent="0.25">
      <c r="A17" s="136">
        <v>2022</v>
      </c>
      <c r="B17" s="79" t="s">
        <v>126</v>
      </c>
      <c r="C17" s="83"/>
      <c r="D17" s="84"/>
      <c r="E17" s="1"/>
      <c r="F17" s="90">
        <v>0.95</v>
      </c>
    </row>
    <row r="18" spans="1:6" x14ac:dyDescent="0.25">
      <c r="A18" s="136"/>
      <c r="B18" s="79" t="s">
        <v>127</v>
      </c>
      <c r="C18" s="83"/>
      <c r="D18" s="84"/>
      <c r="E18" s="1"/>
      <c r="F18" s="90">
        <v>0.95</v>
      </c>
    </row>
    <row r="19" spans="1:6" x14ac:dyDescent="0.25">
      <c r="A19" s="136"/>
      <c r="B19" s="79" t="s">
        <v>128</v>
      </c>
      <c r="C19" s="83"/>
      <c r="D19" s="84"/>
      <c r="E19" s="1"/>
      <c r="F19" s="90">
        <v>0.95</v>
      </c>
    </row>
    <row r="20" spans="1:6" x14ac:dyDescent="0.25">
      <c r="A20" s="136"/>
      <c r="B20" s="79" t="s">
        <v>129</v>
      </c>
      <c r="C20" s="83"/>
      <c r="D20" s="84"/>
      <c r="E20" s="1"/>
      <c r="F20" s="90">
        <v>0.95</v>
      </c>
    </row>
    <row r="21" spans="1:6" x14ac:dyDescent="0.25">
      <c r="A21" s="136"/>
      <c r="B21" s="79" t="s">
        <v>130</v>
      </c>
      <c r="C21" s="83"/>
      <c r="D21" s="42"/>
      <c r="E21" s="1"/>
      <c r="F21" s="90">
        <v>0.95</v>
      </c>
    </row>
    <row r="22" spans="1:6" x14ac:dyDescent="0.25">
      <c r="A22" s="136"/>
      <c r="B22" s="79" t="s">
        <v>131</v>
      </c>
      <c r="C22" s="83"/>
      <c r="D22" s="42"/>
      <c r="E22" s="1"/>
      <c r="F22" s="90">
        <v>0.95</v>
      </c>
    </row>
    <row r="23" spans="1:6" x14ac:dyDescent="0.25">
      <c r="A23" s="136"/>
      <c r="B23" s="79" t="s">
        <v>132</v>
      </c>
      <c r="C23" s="83"/>
      <c r="D23" s="42"/>
      <c r="E23" s="1"/>
      <c r="F23" s="90">
        <v>0.95</v>
      </c>
    </row>
    <row r="24" spans="1:6" x14ac:dyDescent="0.25">
      <c r="A24" s="136"/>
      <c r="B24" s="79" t="s">
        <v>133</v>
      </c>
      <c r="C24" s="83"/>
      <c r="D24" s="42"/>
      <c r="E24" s="1"/>
      <c r="F24" s="90">
        <v>0.95</v>
      </c>
    </row>
    <row r="25" spans="1:6" x14ac:dyDescent="0.25">
      <c r="A25" s="136"/>
      <c r="B25" s="79" t="s">
        <v>134</v>
      </c>
      <c r="C25" s="83"/>
      <c r="D25" s="42"/>
      <c r="E25" s="1"/>
      <c r="F25" s="90">
        <v>0.95</v>
      </c>
    </row>
    <row r="26" spans="1:6" x14ac:dyDescent="0.25">
      <c r="A26" s="136"/>
      <c r="B26" s="79" t="s">
        <v>135</v>
      </c>
      <c r="C26" s="83"/>
      <c r="D26" s="42"/>
      <c r="E26" s="1"/>
      <c r="F26" s="90">
        <v>0.95</v>
      </c>
    </row>
    <row r="27" spans="1:6" x14ac:dyDescent="0.25">
      <c r="A27" s="136"/>
      <c r="B27" s="79" t="s">
        <v>136</v>
      </c>
      <c r="C27" s="83"/>
      <c r="D27" s="42"/>
      <c r="E27" s="1"/>
      <c r="F27" s="90">
        <v>0.95</v>
      </c>
    </row>
    <row r="28" spans="1:6" x14ac:dyDescent="0.25">
      <c r="A28" s="136"/>
      <c r="B28" s="79" t="s">
        <v>137</v>
      </c>
      <c r="C28" s="83"/>
      <c r="D28" s="42"/>
      <c r="E28" s="1"/>
      <c r="F28" s="90">
        <v>0.95</v>
      </c>
    </row>
  </sheetData>
  <mergeCells count="7">
    <mergeCell ref="F3:F4"/>
    <mergeCell ref="D3:D4"/>
    <mergeCell ref="E3:E4"/>
    <mergeCell ref="A5:A16"/>
    <mergeCell ref="A17:A28"/>
    <mergeCell ref="B3:B4"/>
    <mergeCell ref="C3:C4"/>
  </mergeCells>
  <printOptions horizontalCentered="1"/>
  <pageMargins left="0.25" right="0.25" top="0.75" bottom="0.75" header="0.3" footer="0.3"/>
  <pageSetup paperSize="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Drawing Submittal</vt:lpstr>
      <vt:lpstr>Cust Dwg Return</vt:lpstr>
      <vt:lpstr>RTR v2</vt:lpstr>
      <vt:lpstr>Actual Dates</vt:lpstr>
      <vt:lpstr>Change Order (3)</vt:lpstr>
      <vt:lpstr>Date</vt:lpstr>
      <vt:lpstr>Date Calcs</vt:lpstr>
      <vt:lpstr>Date Calcs from Ship Date</vt:lpstr>
      <vt:lpstr>OGSM 2019</vt:lpstr>
      <vt:lpstr>DRAWING EFFICIENCY</vt:lpstr>
      <vt:lpstr>Dates</vt:lpstr>
      <vt:lpstr>Jobs</vt:lpstr>
      <vt:lpstr>'Cust Dwg Return'!Print_Area</vt:lpstr>
      <vt:lpstr>'Drawing Submittal'!Print_Area</vt:lpstr>
      <vt:lpstr>'OGSM 2019'!Print_Area</vt:lpstr>
      <vt:lpstr>'RTR v2'!Print_Area</vt:lpstr>
      <vt:lpstr>'Actual Dates'!Print_Titles</vt:lpstr>
      <vt:lpstr>'Drawing Submittal'!Print_Titles</vt:lpstr>
      <vt:lpstr>'RTR v2'!Print_Titles</vt:lpstr>
      <vt:lpstr>'Date Calcs from Ship Date'!Ship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Onachilla</dc:creator>
  <cp:lastModifiedBy>April Lewis</cp:lastModifiedBy>
  <cp:lastPrinted>2026-02-20T18:24:20Z</cp:lastPrinted>
  <dcterms:created xsi:type="dcterms:W3CDTF">2015-07-27T12:47:56Z</dcterms:created>
  <dcterms:modified xsi:type="dcterms:W3CDTF">2026-02-20T18:24:25Z</dcterms:modified>
</cp:coreProperties>
</file>