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163F6A15-FB9F-4DA4-AA8F-05C370AE41D9}" xr6:coauthVersionLast="47" xr6:coauthVersionMax="47" xr10:uidLastSave="{00000000-0000-0000-0000-000000000000}"/>
  <bookViews>
    <workbookView xWindow="-120" yWindow="-120" windowWidth="29040" windowHeight="15840" xr2:uid="{EA397852-5D24-4EDE-9D7F-4339795E4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14" i="1"/>
</calcChain>
</file>

<file path=xl/sharedStrings.xml><?xml version="1.0" encoding="utf-8"?>
<sst xmlns="http://schemas.openxmlformats.org/spreadsheetml/2006/main" count="29" uniqueCount="25">
  <si>
    <t>Bottom: Complete (awaiting X-ray reshoot) (Vacuum Box Complete)</t>
  </si>
  <si>
    <t>Shell: Complete (X-ray complete)</t>
  </si>
  <si>
    <t>Top: Long seams still need to be welded (Vacuum Box not complete)</t>
  </si>
  <si>
    <t>Shell to Top: In Staging (awaiting Shell to Bottom)</t>
  </si>
  <si>
    <t>Nozzles: Fabricated; in staging (awaiting shell to top)</t>
  </si>
  <si>
    <t>Shell Stiffeners: Fabricated; in staging (awaiting shell to top)</t>
  </si>
  <si>
    <t>Wall Rings:  In staging (awaiting shell to top)</t>
  </si>
  <si>
    <t>MF01000510-1</t>
  </si>
  <si>
    <t>MF01000510-2</t>
  </si>
  <si>
    <t>Bottom: Complete (X-Ray Complete) (Vacuum Box Complete)</t>
  </si>
  <si>
    <t>Top:  Long seams still need to be welded (Vacuum Box not complete)</t>
  </si>
  <si>
    <t>MF01000510-3</t>
  </si>
  <si>
    <t>MF01000510-4</t>
  </si>
  <si>
    <t>Pieces cut need to be constructed (in progress)</t>
  </si>
  <si>
    <t>Assembly #</t>
  </si>
  <si>
    <t>Process</t>
  </si>
  <si>
    <t>% Complete</t>
  </si>
  <si>
    <t>Hours Left</t>
  </si>
  <si>
    <t>Disassemble, prep and ship</t>
  </si>
  <si>
    <t>Final QC checks and testing</t>
  </si>
  <si>
    <t>Weld outside Seams</t>
  </si>
  <si>
    <t>Fit handrail and install clips</t>
  </si>
  <si>
    <t>Shell: weld complete (X-ray to be conducted on the 12th)</t>
  </si>
  <si>
    <t>Shell to Bottom: in staging (awaiting x-ray of shel 12th)</t>
  </si>
  <si>
    <t>Shell to Bottom: In Staging (awaiting bottom X-ray 12th)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</si>
</sst>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0" fillId="0" borderId="0" xfId="0" applyNumberFormat="1"/>
    <xf numFmtId="14" fontId="0" fillId="0" borderId="0" xfId="0" applyNumberFormat="1" applyAlignment="1">
      <alignment textRotation="144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wrapText="1"/>
    </xf>
    <xf numFmtId="14" fontId="0" fillId="4" borderId="0" xfId="0" applyNumberFormat="1" applyFill="1" applyAlignment="1">
      <alignment textRotation="144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9617-81A7-40F8-8C0B-024E21E2D406}">
  <sheetPr>
    <pageSetUpPr fitToPage="1"/>
  </sheetPr>
  <dimension ref="C1:AL23"/>
  <sheetViews>
    <sheetView tabSelected="1" topLeftCell="C1" workbookViewId="0">
      <selection activeCell="P12" sqref="P12"/>
    </sheetView>
  </sheetViews>
  <sheetFormatPr defaultRowHeight="15" x14ac:dyDescent="0.25"/>
  <cols>
    <col min="3" max="3" width="13.42578125" bestFit="1" customWidth="1"/>
    <col min="4" max="4" width="62.28515625" customWidth="1"/>
    <col min="5" max="5" width="6.5703125" customWidth="1"/>
    <col min="6" max="6" width="9.140625" customWidth="1"/>
    <col min="8" max="38" width="4.28515625" customWidth="1"/>
  </cols>
  <sheetData>
    <row r="1" spans="3:38" ht="60" customHeight="1" x14ac:dyDescent="0.25">
      <c r="C1" t="s">
        <v>14</v>
      </c>
      <c r="D1" t="s">
        <v>15</v>
      </c>
      <c r="E1" s="7" t="s">
        <v>17</v>
      </c>
      <c r="F1" s="7" t="s">
        <v>16</v>
      </c>
      <c r="H1" s="4">
        <v>46065</v>
      </c>
      <c r="I1" s="4">
        <v>46066</v>
      </c>
      <c r="J1" s="4">
        <v>46067</v>
      </c>
      <c r="K1" s="4">
        <v>46068</v>
      </c>
      <c r="L1" s="4">
        <v>46069</v>
      </c>
      <c r="M1" s="4">
        <v>46070</v>
      </c>
      <c r="N1" s="4">
        <v>46071</v>
      </c>
      <c r="O1" s="4">
        <v>46072</v>
      </c>
      <c r="P1" s="4">
        <v>46073</v>
      </c>
      <c r="Q1" s="4">
        <v>46074</v>
      </c>
      <c r="R1" s="4">
        <v>46075</v>
      </c>
      <c r="S1" s="4">
        <v>46076</v>
      </c>
      <c r="T1" s="4">
        <v>46077</v>
      </c>
      <c r="U1" s="4">
        <v>46078</v>
      </c>
      <c r="V1" s="4">
        <v>46079</v>
      </c>
      <c r="W1" s="8">
        <v>46080</v>
      </c>
      <c r="X1" s="4">
        <v>46081</v>
      </c>
      <c r="Y1" s="4">
        <v>46082</v>
      </c>
      <c r="Z1" s="4">
        <v>46083</v>
      </c>
      <c r="AA1" s="4">
        <v>46084</v>
      </c>
      <c r="AB1" s="4">
        <v>46085</v>
      </c>
      <c r="AC1" s="4">
        <v>46086</v>
      </c>
      <c r="AD1" s="4">
        <v>46087</v>
      </c>
      <c r="AE1" s="4">
        <v>46088</v>
      </c>
      <c r="AF1" s="4">
        <v>46089</v>
      </c>
      <c r="AG1" s="4">
        <v>46090</v>
      </c>
      <c r="AH1" s="4">
        <v>46091</v>
      </c>
      <c r="AI1" s="4">
        <v>46092</v>
      </c>
      <c r="AJ1" s="4">
        <v>46093</v>
      </c>
      <c r="AK1" s="4">
        <v>46094</v>
      </c>
      <c r="AL1" s="4"/>
    </row>
    <row r="2" spans="3:38" x14ac:dyDescent="0.25">
      <c r="C2" s="1" t="s">
        <v>7</v>
      </c>
      <c r="D2" t="s">
        <v>1</v>
      </c>
      <c r="E2">
        <v>0</v>
      </c>
      <c r="F2">
        <v>100</v>
      </c>
      <c r="H2" s="5"/>
      <c r="K2" s="6"/>
      <c r="R2" s="6"/>
      <c r="W2" s="9"/>
      <c r="Y2" s="6"/>
      <c r="AF2" s="6"/>
    </row>
    <row r="3" spans="3:38" x14ac:dyDescent="0.25">
      <c r="D3" t="s">
        <v>0</v>
      </c>
      <c r="E3">
        <v>0.5</v>
      </c>
      <c r="F3">
        <v>95</v>
      </c>
      <c r="H3" s="5"/>
      <c r="K3" s="6"/>
      <c r="R3" s="6"/>
      <c r="W3" s="9"/>
      <c r="Y3" s="6"/>
      <c r="AF3" s="6"/>
    </row>
    <row r="4" spans="3:38" x14ac:dyDescent="0.25">
      <c r="D4" t="s">
        <v>24</v>
      </c>
      <c r="E4">
        <v>0.5</v>
      </c>
      <c r="F4">
        <v>95</v>
      </c>
      <c r="H4" s="5"/>
      <c r="I4" s="5"/>
      <c r="K4" s="6"/>
      <c r="R4" s="6"/>
      <c r="W4" s="9"/>
      <c r="Y4" s="6"/>
      <c r="AF4" s="6"/>
    </row>
    <row r="5" spans="3:38" x14ac:dyDescent="0.25">
      <c r="D5" t="s">
        <v>3</v>
      </c>
      <c r="E5">
        <v>100</v>
      </c>
      <c r="F5">
        <v>0</v>
      </c>
      <c r="I5" s="5"/>
      <c r="J5" s="5"/>
      <c r="K5" s="6"/>
      <c r="L5" s="5"/>
      <c r="R5" s="6"/>
      <c r="W5" s="9"/>
      <c r="Y5" s="6"/>
      <c r="AF5" s="6"/>
    </row>
    <row r="6" spans="3:38" x14ac:dyDescent="0.25">
      <c r="D6" t="s">
        <v>2</v>
      </c>
      <c r="E6">
        <v>60</v>
      </c>
      <c r="F6">
        <v>0</v>
      </c>
      <c r="K6" s="6"/>
      <c r="L6" s="5"/>
      <c r="M6" s="5"/>
      <c r="N6" s="5"/>
      <c r="R6" s="6"/>
      <c r="W6" s="9"/>
      <c r="Y6" s="6"/>
      <c r="AF6" s="6"/>
    </row>
    <row r="7" spans="3:38" x14ac:dyDescent="0.25">
      <c r="D7" t="s">
        <v>4</v>
      </c>
      <c r="E7">
        <v>33</v>
      </c>
      <c r="F7">
        <v>60</v>
      </c>
      <c r="K7" s="6"/>
      <c r="N7" s="5"/>
      <c r="O7" s="5"/>
      <c r="R7" s="6"/>
      <c r="W7" s="9"/>
      <c r="Y7" s="6"/>
      <c r="AF7" s="6"/>
    </row>
    <row r="8" spans="3:38" x14ac:dyDescent="0.25">
      <c r="D8" t="s">
        <v>6</v>
      </c>
      <c r="E8">
        <v>36</v>
      </c>
      <c r="F8">
        <v>60</v>
      </c>
      <c r="K8" s="6"/>
      <c r="O8" s="5"/>
      <c r="P8" s="5"/>
      <c r="R8" s="6"/>
      <c r="W8" s="9"/>
      <c r="Y8" s="6"/>
      <c r="AF8" s="6"/>
    </row>
    <row r="9" spans="3:38" x14ac:dyDescent="0.25">
      <c r="D9" t="s">
        <v>5</v>
      </c>
      <c r="E9">
        <v>33</v>
      </c>
      <c r="F9">
        <v>60</v>
      </c>
      <c r="K9" s="6"/>
      <c r="P9" s="5"/>
      <c r="Q9" s="5"/>
      <c r="R9" s="6"/>
      <c r="W9" s="9"/>
      <c r="Y9" s="6"/>
      <c r="AF9" s="6"/>
    </row>
    <row r="10" spans="3:38" x14ac:dyDescent="0.25">
      <c r="C10" s="1" t="s">
        <v>8</v>
      </c>
      <c r="D10" t="s">
        <v>9</v>
      </c>
      <c r="E10">
        <v>0.5</v>
      </c>
      <c r="F10">
        <v>95</v>
      </c>
      <c r="H10" s="5"/>
      <c r="K10" s="6"/>
      <c r="R10" s="6"/>
      <c r="W10" s="9"/>
      <c r="Y10" s="6"/>
      <c r="AF10" s="6"/>
    </row>
    <row r="11" spans="3:38" x14ac:dyDescent="0.25">
      <c r="D11" t="s">
        <v>23</v>
      </c>
      <c r="E11">
        <v>0.5</v>
      </c>
      <c r="F11">
        <v>95</v>
      </c>
      <c r="H11" s="5"/>
      <c r="K11" s="6"/>
      <c r="R11" s="6"/>
      <c r="W11" s="9"/>
      <c r="Y11" s="6"/>
      <c r="AF11" s="6"/>
    </row>
    <row r="12" spans="3:38" x14ac:dyDescent="0.25">
      <c r="D12" t="s">
        <v>22</v>
      </c>
      <c r="E12">
        <v>0.5</v>
      </c>
      <c r="F12">
        <v>95</v>
      </c>
      <c r="H12" s="5"/>
      <c r="K12" s="6"/>
      <c r="R12" s="6"/>
      <c r="W12" s="9"/>
      <c r="Y12" s="6"/>
      <c r="AF12" s="6"/>
    </row>
    <row r="13" spans="3:38" x14ac:dyDescent="0.25">
      <c r="D13" t="s">
        <v>10</v>
      </c>
      <c r="E13">
        <v>60</v>
      </c>
      <c r="F13">
        <v>0</v>
      </c>
      <c r="K13" s="6"/>
      <c r="Q13" s="5"/>
      <c r="R13" s="6"/>
      <c r="S13" s="5"/>
      <c r="W13" s="9"/>
      <c r="Y13" s="6"/>
      <c r="AF13" s="6"/>
    </row>
    <row r="14" spans="3:38" x14ac:dyDescent="0.25">
      <c r="D14" t="s">
        <v>3</v>
      </c>
      <c r="E14">
        <f>80+50</f>
        <v>130</v>
      </c>
      <c r="F14">
        <v>0</v>
      </c>
      <c r="K14" s="6"/>
      <c r="R14" s="6"/>
      <c r="S14" s="5"/>
      <c r="T14" s="5"/>
      <c r="U14" s="5"/>
      <c r="V14" s="5"/>
      <c r="W14" s="5"/>
      <c r="Y14" s="6"/>
      <c r="AF14" s="6"/>
    </row>
    <row r="15" spans="3:38" x14ac:dyDescent="0.25">
      <c r="D15" t="s">
        <v>4</v>
      </c>
      <c r="E15">
        <v>40</v>
      </c>
      <c r="F15">
        <v>60</v>
      </c>
      <c r="K15" s="6"/>
      <c r="R15" s="6"/>
      <c r="W15" s="5"/>
      <c r="X15" s="5"/>
      <c r="Y15" s="6"/>
      <c r="AF15" s="6"/>
    </row>
    <row r="16" spans="3:38" x14ac:dyDescent="0.25">
      <c r="D16" t="s">
        <v>5</v>
      </c>
      <c r="E16">
        <v>40</v>
      </c>
      <c r="F16">
        <v>60</v>
      </c>
      <c r="K16" s="6"/>
      <c r="R16" s="6"/>
      <c r="W16" s="9"/>
      <c r="Y16" s="6"/>
      <c r="Z16" s="5"/>
      <c r="AA16" s="5"/>
      <c r="AB16" s="5"/>
      <c r="AF16" s="6"/>
    </row>
    <row r="17" spans="3:36" x14ac:dyDescent="0.25">
      <c r="C17" s="1" t="s">
        <v>11</v>
      </c>
      <c r="D17" t="s">
        <v>13</v>
      </c>
      <c r="E17">
        <v>34</v>
      </c>
      <c r="F17">
        <v>60</v>
      </c>
      <c r="K17" s="6"/>
      <c r="R17" s="6"/>
      <c r="W17" s="9"/>
      <c r="Y17" s="6"/>
      <c r="AB17" s="5"/>
      <c r="AC17" s="5"/>
      <c r="AD17" s="5"/>
      <c r="AF17" s="6"/>
    </row>
    <row r="18" spans="3:36" x14ac:dyDescent="0.25">
      <c r="C18" s="1" t="s">
        <v>12</v>
      </c>
      <c r="D18" t="s">
        <v>13</v>
      </c>
      <c r="E18">
        <v>30</v>
      </c>
      <c r="F18">
        <v>60</v>
      </c>
      <c r="K18" s="6"/>
      <c r="R18" s="6"/>
      <c r="W18" s="9"/>
      <c r="Y18" s="6"/>
      <c r="AD18" s="5"/>
      <c r="AE18" s="5"/>
      <c r="AF18" s="6"/>
    </row>
    <row r="19" spans="3:36" x14ac:dyDescent="0.25">
      <c r="C19" s="2"/>
      <c r="D19" t="s">
        <v>20</v>
      </c>
      <c r="E19">
        <v>90</v>
      </c>
      <c r="F19">
        <v>0</v>
      </c>
      <c r="K19" s="6"/>
      <c r="R19" s="6"/>
      <c r="W19" s="9"/>
      <c r="Y19" s="6"/>
      <c r="AD19" s="5"/>
      <c r="AE19" s="5"/>
      <c r="AF19" s="6"/>
      <c r="AG19" s="5"/>
    </row>
    <row r="20" spans="3:36" x14ac:dyDescent="0.25">
      <c r="C20" s="2"/>
      <c r="D20" t="s">
        <v>21</v>
      </c>
      <c r="E20">
        <v>60</v>
      </c>
      <c r="F20">
        <v>0</v>
      </c>
      <c r="K20" s="6"/>
      <c r="R20" s="6"/>
      <c r="W20" s="9"/>
      <c r="Y20" s="6"/>
      <c r="AF20" s="6"/>
      <c r="AG20" s="5"/>
      <c r="AH20" s="5"/>
    </row>
    <row r="21" spans="3:36" x14ac:dyDescent="0.25">
      <c r="C21" s="2"/>
      <c r="D21" t="s">
        <v>19</v>
      </c>
      <c r="E21">
        <v>40</v>
      </c>
      <c r="F21">
        <v>0</v>
      </c>
      <c r="K21" s="6"/>
      <c r="R21" s="6"/>
      <c r="W21" s="9"/>
      <c r="Y21" s="6"/>
      <c r="AF21" s="6"/>
      <c r="AH21" s="5"/>
    </row>
    <row r="22" spans="3:36" x14ac:dyDescent="0.25">
      <c r="C22" s="2"/>
      <c r="D22" t="s">
        <v>18</v>
      </c>
      <c r="E22" s="3">
        <v>51.5</v>
      </c>
      <c r="F22">
        <v>0</v>
      </c>
      <c r="K22" s="6"/>
      <c r="R22" s="6"/>
      <c r="W22" s="9"/>
      <c r="Y22" s="6"/>
      <c r="AF22" s="6"/>
      <c r="AH22" s="5"/>
      <c r="AI22" s="5"/>
      <c r="AJ22" s="5"/>
    </row>
    <row r="23" spans="3:36" x14ac:dyDescent="0.25">
      <c r="E23">
        <f>SUM(E2:E22)</f>
        <v>840</v>
      </c>
    </row>
  </sheetData>
  <pageMargins left="0.25" right="0.25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Lewis</dc:creator>
  <cp:lastModifiedBy>April Lewis</cp:lastModifiedBy>
  <cp:lastPrinted>2026-02-12T13:36:49Z</cp:lastPrinted>
  <dcterms:created xsi:type="dcterms:W3CDTF">2026-02-12T12:42:56Z</dcterms:created>
  <dcterms:modified xsi:type="dcterms:W3CDTF">2026-02-12T13:51:37Z</dcterms:modified>
</cp:coreProperties>
</file>